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USER\Desktop\"/>
    </mc:Choice>
  </mc:AlternateContent>
  <xr:revisionPtr revIDLastSave="0" documentId="13_ncr:1_{96B19B65-847F-4450-95E7-6CCE365FFDCE}" xr6:coauthVersionLast="47" xr6:coauthVersionMax="47" xr10:uidLastSave="{00000000-0000-0000-0000-000000000000}"/>
  <bookViews>
    <workbookView xWindow="-120" yWindow="-120" windowWidth="20730" windowHeight="11760" activeTab="3" xr2:uid="{38FAAAE2-97C5-42A8-87DE-6AE154914E09}"/>
  </bookViews>
  <sheets>
    <sheet name="student_lifestyle_dataset" sheetId="2" r:id="rId1"/>
    <sheet name="student_lifestyle_dataset (WORK" sheetId="3" r:id="rId2"/>
    <sheet name="Analysis" sheetId="1" r:id="rId3"/>
    <sheet name="DashBoard" sheetId="5" r:id="rId4"/>
  </sheets>
  <definedNames>
    <definedName name="ExternalData_1" localSheetId="0" hidden="1">student_lifestyle_dataset!$A$1:$H$2001</definedName>
    <definedName name="ExternalData_2" localSheetId="1" hidden="1">'student_lifestyle_dataset (WORK'!$A$1:$M$2001</definedName>
    <definedName name="Slicer_Balanced_Profile">#N/A</definedName>
    <definedName name="Slicer_GPA_Category">#N/A</definedName>
    <definedName name="Slicer_Stress_Level">#N/A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7" i="1" l="1"/>
  <c r="AQ9" i="1"/>
  <c r="AQ10" i="1"/>
  <c r="AQ11" i="1"/>
  <c r="AQ12" i="1"/>
  <c r="AQ13" i="1"/>
  <c r="AQ8" i="1"/>
  <c r="AP9" i="1"/>
  <c r="AP10" i="1"/>
  <c r="AP11" i="1"/>
  <c r="AP12" i="1"/>
  <c r="AP13" i="1"/>
  <c r="AP8" i="1"/>
  <c r="W18" i="1"/>
  <c r="W19" i="1"/>
  <c r="W20" i="1"/>
  <c r="W21" i="1"/>
  <c r="W22" i="1"/>
  <c r="W23" i="1"/>
  <c r="W17" i="1"/>
  <c r="V18" i="1"/>
  <c r="V19" i="1"/>
  <c r="V20" i="1"/>
  <c r="V21" i="1"/>
  <c r="V22" i="1"/>
  <c r="V23" i="1"/>
  <c r="V17" i="1"/>
  <c r="P16" i="1"/>
  <c r="P17" i="1"/>
  <c r="P18" i="1"/>
  <c r="P19" i="1"/>
  <c r="P15" i="1"/>
  <c r="Q16" i="1"/>
  <c r="Q17" i="1"/>
  <c r="Q18" i="1"/>
  <c r="Q19" i="1"/>
  <c r="Q15" i="1"/>
  <c r="K30" i="1"/>
  <c r="J30" i="1"/>
  <c r="K29" i="1"/>
  <c r="J29" i="1"/>
  <c r="K28" i="1"/>
  <c r="J28" i="1"/>
  <c r="K27" i="1"/>
  <c r="J27" i="1"/>
  <c r="K26" i="1"/>
  <c r="J26" i="1"/>
  <c r="B5" i="1"/>
  <c r="B3" i="1"/>
  <c r="B4" i="1"/>
  <c r="BA13" i="1" l="1"/>
  <c r="BB13" i="1"/>
  <c r="BC13" i="1"/>
  <c r="BD13" i="1"/>
  <c r="BE13" i="1"/>
  <c r="BF13" i="1"/>
  <c r="BA14" i="1"/>
  <c r="BB14" i="1"/>
  <c r="BC14" i="1"/>
  <c r="BD14" i="1"/>
  <c r="BE14" i="1"/>
  <c r="BF14" i="1"/>
  <c r="BA15" i="1"/>
  <c r="BB15" i="1"/>
  <c r="BC15" i="1"/>
  <c r="BD15" i="1"/>
  <c r="BE15" i="1"/>
  <c r="BF15" i="1"/>
  <c r="BB12" i="1"/>
  <c r="BC12" i="1"/>
  <c r="BD12" i="1"/>
  <c r="BE12" i="1"/>
  <c r="BF12" i="1"/>
  <c r="BA12" i="1"/>
  <c r="BA27" i="1"/>
  <c r="BB27" i="1"/>
  <c r="BA28" i="1"/>
  <c r="BB28" i="1"/>
  <c r="BA29" i="1"/>
  <c r="BB29" i="1"/>
  <c r="BB26" i="1"/>
  <c r="BA26" i="1"/>
  <c r="AU16" i="1"/>
  <c r="AV16" i="1"/>
  <c r="AW16" i="1"/>
  <c r="AU17" i="1"/>
  <c r="AV17" i="1"/>
  <c r="AW17" i="1"/>
  <c r="AU18" i="1"/>
  <c r="AV18" i="1"/>
  <c r="AW18" i="1"/>
  <c r="AU19" i="1"/>
  <c r="AV19" i="1"/>
  <c r="AW19" i="1"/>
  <c r="AU20" i="1"/>
  <c r="AV20" i="1"/>
  <c r="AW20" i="1"/>
  <c r="AV15" i="1"/>
  <c r="AU15" i="1"/>
  <c r="AQ7" i="1"/>
  <c r="AP7" i="1"/>
  <c r="AE15" i="1"/>
  <c r="AF15" i="1"/>
  <c r="AE16" i="1"/>
  <c r="AF16" i="1"/>
  <c r="AE17" i="1"/>
  <c r="AF17" i="1"/>
  <c r="AF14" i="1"/>
  <c r="AE14" i="1"/>
  <c r="AF8" i="1"/>
  <c r="AG8" i="1"/>
  <c r="AH8" i="1"/>
  <c r="AF9" i="1"/>
  <c r="AG9" i="1"/>
  <c r="AH9" i="1"/>
  <c r="AF10" i="1"/>
  <c r="AG10" i="1"/>
  <c r="AH10" i="1"/>
  <c r="AG7" i="1"/>
  <c r="AH7" i="1"/>
  <c r="AF7" i="1"/>
  <c r="W16" i="1"/>
  <c r="V16" i="1"/>
  <c r="Q14" i="1"/>
  <c r="P14" i="1"/>
  <c r="B6" i="1"/>
  <c r="AV26" i="1" l="1"/>
  <c r="AV25" i="1"/>
  <c r="AW24" i="1"/>
  <c r="AV27" i="1"/>
  <c r="AI9" i="1"/>
  <c r="AC23" i="1" s="1"/>
  <c r="AW25" i="1"/>
  <c r="AV24" i="1"/>
  <c r="AW27" i="1"/>
  <c r="AW26" i="1"/>
  <c r="AI10" i="1"/>
  <c r="AC24" i="1" s="1"/>
  <c r="AI8" i="1"/>
  <c r="AC22" i="1" s="1"/>
  <c r="AG17" i="1"/>
  <c r="AD24" i="1" s="1"/>
  <c r="AG16" i="1"/>
  <c r="AD23" i="1" s="1"/>
  <c r="AG15" i="1"/>
  <c r="AD22" i="1" s="1"/>
  <c r="L30" i="1"/>
  <c r="L28" i="1"/>
  <c r="L26" i="1"/>
  <c r="L27" i="1"/>
  <c r="L2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34E5DF-AF1B-4A5C-8A1B-0DD75E1237CD}" keepAlive="1" name="Query - student_lifestyle_dataset" description="Connection to the 'student_lifestyle_dataset' query in the workbook." type="5" refreshedVersion="8" background="1" saveData="1">
    <dbPr connection="Provider=Microsoft.Mashup.OleDb.1;Data Source=$Workbook$;Location=student_lifestyle_dataset;Extended Properties=&quot;&quot;" command="SELECT * FROM [student_lifestyle_dataset]"/>
  </connection>
  <connection id="2" xr16:uid="{BBE1A361-8E4C-40D1-8AD0-F55C761FCDEE}" keepAlive="1" name="Query - student_lifestyle_dataset (WORKING COPY)" description="Connection to the 'student_lifestyle_dataset (WORKING COPY)' query in the workbook." type="5" refreshedVersion="8" background="1" saveData="1">
    <dbPr connection="Provider=Microsoft.Mashup.OleDb.1;Data Source=$Workbook$;Location=&quot;student_lifestyle_dataset (WORKING COPY)&quot;;Extended Properties=&quot;&quot;" command="SELECT * FROM [student_lifestyle_dataset (WORKING COPY)]"/>
  </connection>
</connections>
</file>

<file path=xl/sharedStrings.xml><?xml version="1.0" encoding="utf-8"?>
<sst xmlns="http://schemas.openxmlformats.org/spreadsheetml/2006/main" count="8161" uniqueCount="69">
  <si>
    <t>Student_ID</t>
  </si>
  <si>
    <t>Study_Hours_Per_Day</t>
  </si>
  <si>
    <t>Extracurricular_Hours_Per_Day</t>
  </si>
  <si>
    <t>Sleep_Hours_Per_Day</t>
  </si>
  <si>
    <t>Social_Hours_Per_Day</t>
  </si>
  <si>
    <t>Physical_Activity_Hours_Per_Day</t>
  </si>
  <si>
    <t>GPA</t>
  </si>
  <si>
    <t>Stress_Level</t>
  </si>
  <si>
    <t>Moderate</t>
  </si>
  <si>
    <t>Low</t>
  </si>
  <si>
    <t>High</t>
  </si>
  <si>
    <t>Total Productive Hours</t>
  </si>
  <si>
    <t>GPA Category</t>
  </si>
  <si>
    <t>Average</t>
  </si>
  <si>
    <t>High Performer</t>
  </si>
  <si>
    <t>Above Average</t>
  </si>
  <si>
    <t>Below Average</t>
  </si>
  <si>
    <t>KPI's</t>
  </si>
  <si>
    <t>Total number of students</t>
  </si>
  <si>
    <t>Average GPA</t>
  </si>
  <si>
    <t>Avg Study hr per day</t>
  </si>
  <si>
    <t>%age of high stress students</t>
  </si>
  <si>
    <t>High performer count</t>
  </si>
  <si>
    <t>Average of GPA</t>
  </si>
  <si>
    <t>5-6</t>
  </si>
  <si>
    <t>6-7</t>
  </si>
  <si>
    <t>7-8</t>
  </si>
  <si>
    <t>8-9</t>
  </si>
  <si>
    <t>9-10</t>
  </si>
  <si>
    <t>0-1</t>
  </si>
  <si>
    <t>1-2</t>
  </si>
  <si>
    <t>2-3</t>
  </si>
  <si>
    <t>3-4</t>
  </si>
  <si>
    <t>4-5</t>
  </si>
  <si>
    <t>&gt;6</t>
  </si>
  <si>
    <t>Activity</t>
  </si>
  <si>
    <t>Low Hours Avg GPA</t>
  </si>
  <si>
    <t>High Hours Avg GPA</t>
  </si>
  <si>
    <t>GPA Difference</t>
  </si>
  <si>
    <t>Study Hours</t>
  </si>
  <si>
    <t>Physical Activity</t>
  </si>
  <si>
    <t>Social Hours</t>
  </si>
  <si>
    <t>Sleep Hours</t>
  </si>
  <si>
    <t>Extracurricular Hours</t>
  </si>
  <si>
    <t>Number of Stds</t>
  </si>
  <si>
    <t>High Performers</t>
  </si>
  <si>
    <t>Stress Level</t>
  </si>
  <si>
    <t xml:space="preserve">Percentage of all students </t>
  </si>
  <si>
    <t>Pecentage of high performers</t>
  </si>
  <si>
    <t>Activity_StdDev</t>
  </si>
  <si>
    <t xml:space="preserve">Balanced_Profile </t>
  </si>
  <si>
    <t xml:space="preserve">Balanced </t>
  </si>
  <si>
    <t xml:space="preserve">Concentrated </t>
  </si>
  <si>
    <t xml:space="preserve">Number of Students </t>
  </si>
  <si>
    <t>Balanced percentage</t>
  </si>
  <si>
    <t>Concentrated percentage</t>
  </si>
  <si>
    <t xml:space="preserve">S.D Treshhold used </t>
  </si>
  <si>
    <t>&lt;=1.5</t>
  </si>
  <si>
    <t>Average Study_Hours</t>
  </si>
  <si>
    <t>Average Extracurricular_Hours</t>
  </si>
  <si>
    <t>Average Sleep_Hours</t>
  </si>
  <si>
    <t>Average Social_Hour</t>
  </si>
  <si>
    <t>Average Physical_Activity_Hours</t>
  </si>
  <si>
    <t>Study_Share_Pct</t>
  </si>
  <si>
    <t xml:space="preserve"> Study_Share_Pct</t>
  </si>
  <si>
    <t>number of students</t>
  </si>
  <si>
    <t>Average of Study_Hours_Per_Day</t>
  </si>
  <si>
    <t>Count of GPA Category</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</si>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</sst>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
  </numFmts>
  <fonts count="6" x14ac:knownFonts="1">
    <font>
      <sz val="11"/>
      <color theme="1"/>
      <name val="Calibri"/>
      <family val="2"/>
      <scheme val="minor"/>
    </font>
    <font>
      <sz val="11"/>
      <color theme="1"/>
      <name val="Calibri"/>
      <family val="2"/>
      <scheme val="minor"/>
    </font>
    <font>
      <b/>
      <sz val="14"/>
      <color theme="1"/>
      <name val="Arial"/>
      <family val="2"/>
    </font>
    <font>
      <sz val="11"/>
      <color theme="1"/>
      <name val="Arial"/>
      <family val="2"/>
    </font>
    <font>
      <b/>
      <sz val="11"/>
      <color theme="1"/>
      <name val="Calibri"/>
      <family val="2"/>
      <scheme val="minor"/>
    </font>
    <font>
      <sz val="8"/>
      <name val="Calibri"/>
      <family val="2"/>
      <scheme val="minor"/>
    </font>
  </fonts>
  <fills count="5">
    <fill>
      <patternFill patternType="none"/>
    </fill>
    <fill>
      <patternFill patternType="gray125"/>
    </fill>
    <fill>
      <patternFill patternType="solid">
        <fgColor theme="1" tint="0.34998626667073579"/>
        <bgColor indexed="64"/>
      </patternFill>
    </fill>
    <fill>
      <patternFill patternType="solid">
        <fgColor theme="2" tint="-0.499984740745262"/>
        <bgColor indexed="64"/>
      </patternFill>
    </fill>
    <fill>
      <patternFill patternType="solid">
        <fgColor rgb="FFC7D6F3"/>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0" borderId="0" xfId="0" applyFont="1"/>
    <xf numFmtId="0" fontId="3" fillId="0" borderId="0" xfId="0" applyFont="1"/>
    <xf numFmtId="2" fontId="3" fillId="0" borderId="0" xfId="0" applyNumberFormat="1" applyFont="1"/>
    <xf numFmtId="164" fontId="3" fillId="0" borderId="0" xfId="0" applyNumberFormat="1" applyFont="1"/>
    <xf numFmtId="165" fontId="3" fillId="0" borderId="0" xfId="1" applyNumberFormat="1" applyFont="1"/>
    <xf numFmtId="0" fontId="0" fillId="2" borderId="0" xfId="0" applyFill="1"/>
    <xf numFmtId="0" fontId="0" fillId="0" borderId="0" xfId="0" pivotButton="1"/>
    <xf numFmtId="2" fontId="0" fillId="0" borderId="0" xfId="0" applyNumberFormat="1"/>
    <xf numFmtId="0" fontId="4" fillId="0" borderId="0" xfId="0" applyFont="1"/>
    <xf numFmtId="165" fontId="0" fillId="0" borderId="0" xfId="0" applyNumberFormat="1"/>
    <xf numFmtId="0" fontId="0" fillId="3" borderId="0" xfId="0" applyFill="1"/>
    <xf numFmtId="0" fontId="0" fillId="4" borderId="0" xfId="0" applyFill="1"/>
    <xf numFmtId="164" fontId="0" fillId="0" borderId="0" xfId="0" applyNumberFormat="1"/>
    <xf numFmtId="1" fontId="0" fillId="0" borderId="0" xfId="0" applyNumberFormat="1"/>
    <xf numFmtId="1" fontId="3" fillId="0" borderId="0" xfId="0" applyNumberFormat="1" applyFont="1"/>
  </cellXfs>
  <cellStyles count="2">
    <cellStyle name="Normal" xfId="0" builtinId="0"/>
    <cellStyle name="Percent" xfId="1" builtinId="5"/>
  </cellStyles>
  <dxfs count="9">
    <dxf>
      <numFmt numFmtId="164" formatCode="0.0"/>
    </dxf>
    <dxf>
      <numFmt numFmtId="2" formatCode="0.00"/>
    </dxf>
    <dxf>
      <numFmt numFmtId="1" formatCode="0"/>
    </dxf>
    <dxf>
      <numFmt numFmtId="2" formatCode="0.00"/>
    </dxf>
    <dxf>
      <numFmt numFmtId="2" formatCode="0.00"/>
    </dxf>
    <dxf>
      <numFmt numFmtId="0" formatCode="General"/>
    </dxf>
    <dxf>
      <numFmt numFmtId="0" formatCode="General"/>
    </dxf>
    <dxf>
      <font>
        <sz val="11"/>
        <color theme="1"/>
        <name val="Arial"/>
        <family val="2"/>
        <scheme val="none"/>
      </font>
      <border>
        <bottom style="thin">
          <color theme="4"/>
        </bottom>
        <vertical/>
        <horizontal/>
      </border>
    </dxf>
    <dxf>
      <font>
        <b/>
        <i val="0"/>
        <sz val="11"/>
        <color theme="1"/>
        <name val="Arial"/>
        <family val="2"/>
        <scheme val="none"/>
      </font>
      <fill>
        <patternFill patternType="solid">
          <bgColor rgb="FFE0E8F5"/>
        </patternFill>
      </fill>
      <border diagonalUp="0" diagonalDown="0">
        <left/>
        <right/>
        <top/>
        <bottom/>
        <vertical/>
        <horizontal/>
      </border>
    </dxf>
  </dxfs>
  <tableStyles count="1" defaultTableStyle="TableStyleMedium2" defaultPivotStyle="PivotStyleLight16">
    <tableStyle name="Stress_Level" pivot="0" table="0" count="10" xr9:uid="{A23DCF0F-8814-48AB-8CE7-1BC4C0963A75}">
      <tableStyleElement type="wholeTable" dxfId="8"/>
      <tableStyleElement type="headerRow" dxfId="7"/>
    </tableStyle>
  </tableStyles>
  <colors>
    <mruColors>
      <color rgb="FFF2F2F2"/>
      <color rgb="FFE0E8F5"/>
      <color rgb="FF4CB050"/>
      <color rgb="FFFFABBB"/>
      <color rgb="FFD4012B"/>
      <color rgb="FF905954"/>
      <color rgb="FF6AF0AD"/>
      <color rgb="FF9DF5C9"/>
      <color rgb="FF69F0AE"/>
      <color rgb="FF949494"/>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00B05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2065187536243"/>
              <bgColor theme="0" tint="-4.9989318521683403E-2"/>
            </patternFill>
          </fill>
          <border>
            <left style="thin">
              <color rgb="FFCCCCCC"/>
            </left>
            <right style="thin">
              <color rgb="FFCCCCCC"/>
            </right>
            <top style="thin">
              <color rgb="FFCCCCCC"/>
            </top>
            <bottom style="thin">
              <color rgb="FFCCCCCC"/>
            </bottom>
            <vertical/>
            <horizontal/>
          </border>
        </dxf>
        <dxf>
          <font>
            <b/>
            <i val="0"/>
            <sz val="12"/>
            <color theme="1"/>
            <name val="Arial"/>
            <family val="2"/>
            <scheme val="none"/>
          </font>
          <fill>
            <patternFill patternType="solid">
              <fgColor theme="4" tint="0.59999389629810485"/>
              <bgColor rgb="FF00B05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theme="0" tint="-4.9989318521683403E-2"/>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tress_Level">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568438320209975"/>
          <c:y val="0.32870370370370372"/>
          <c:w val="0.68956677912565778"/>
          <c:h val="0.62037037037037035"/>
        </c:manualLayout>
      </c:layout>
      <c:barChart>
        <c:barDir val="bar"/>
        <c:grouping val="clustered"/>
        <c:varyColors val="0"/>
        <c:ser>
          <c:idx val="0"/>
          <c:order val="0"/>
          <c:spPr>
            <a:solidFill>
              <a:srgbClr val="EA580C"/>
            </a:solidFill>
            <a:ln>
              <a:noFill/>
            </a:ln>
            <a:effectLst/>
          </c:spPr>
          <c:invertIfNegative val="0"/>
          <c:dPt>
            <c:idx val="0"/>
            <c:invertIfNegative val="0"/>
            <c:bubble3D val="0"/>
            <c:spPr>
              <a:solidFill>
                <a:srgbClr val="4CB050"/>
              </a:solidFill>
              <a:ln>
                <a:noFill/>
              </a:ln>
              <a:effectLst/>
            </c:spPr>
            <c:extLst>
              <c:ext xmlns:c16="http://schemas.microsoft.com/office/drawing/2014/chart" uri="{C3380CC4-5D6E-409C-BE32-E72D297353CC}">
                <c16:uniqueId val="{00000004-962A-4195-9CCD-6FFB561FDB4F}"/>
              </c:ext>
            </c:extLst>
          </c:dPt>
          <c:dPt>
            <c:idx val="1"/>
            <c:invertIfNegative val="0"/>
            <c:bubble3D val="0"/>
            <c:spPr>
              <a:solidFill>
                <a:schemeClr val="bg2">
                  <a:lumMod val="75000"/>
                </a:schemeClr>
              </a:solidFill>
              <a:ln>
                <a:noFill/>
              </a:ln>
              <a:effectLst/>
            </c:spPr>
            <c:extLst>
              <c:ext xmlns:c16="http://schemas.microsoft.com/office/drawing/2014/chart" uri="{C3380CC4-5D6E-409C-BE32-E72D297353CC}">
                <c16:uniqueId val="{00000003-962A-4195-9CCD-6FFB561FDB4F}"/>
              </c:ext>
            </c:extLst>
          </c:dPt>
          <c:dPt>
            <c:idx val="2"/>
            <c:invertIfNegative val="0"/>
            <c:bubble3D val="0"/>
            <c:spPr>
              <a:solidFill>
                <a:schemeClr val="bg2">
                  <a:lumMod val="75000"/>
                </a:schemeClr>
              </a:solidFill>
              <a:ln>
                <a:noFill/>
              </a:ln>
              <a:effectLst/>
            </c:spPr>
            <c:extLst>
              <c:ext xmlns:c16="http://schemas.microsoft.com/office/drawing/2014/chart" uri="{C3380CC4-5D6E-409C-BE32-E72D297353CC}">
                <c16:uniqueId val="{00000000-962A-4195-9CCD-6FFB561FDB4F}"/>
              </c:ext>
            </c:extLst>
          </c:dPt>
          <c:dPt>
            <c:idx val="3"/>
            <c:invertIfNegative val="0"/>
            <c:bubble3D val="0"/>
            <c:spPr>
              <a:solidFill>
                <a:schemeClr val="bg2">
                  <a:lumMod val="75000"/>
                </a:schemeClr>
              </a:solidFill>
              <a:ln>
                <a:noFill/>
              </a:ln>
              <a:effectLst/>
            </c:spPr>
            <c:extLst>
              <c:ext xmlns:c16="http://schemas.microsoft.com/office/drawing/2014/chart" uri="{C3380CC4-5D6E-409C-BE32-E72D297353CC}">
                <c16:uniqueId val="{00000001-962A-4195-9CCD-6FFB561FDB4F}"/>
              </c:ext>
            </c:extLst>
          </c:dPt>
          <c:dPt>
            <c:idx val="4"/>
            <c:invertIfNegative val="0"/>
            <c:bubble3D val="0"/>
            <c:spPr>
              <a:solidFill>
                <a:schemeClr val="bg2">
                  <a:lumMod val="75000"/>
                </a:schemeClr>
              </a:solidFill>
              <a:ln>
                <a:noFill/>
              </a:ln>
              <a:effectLst/>
            </c:spPr>
            <c:extLst>
              <c:ext xmlns:c16="http://schemas.microsoft.com/office/drawing/2014/chart" uri="{C3380CC4-5D6E-409C-BE32-E72D297353CC}">
                <c16:uniqueId val="{00000002-962A-4195-9CCD-6FFB561FDB4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(Analysis!$I$26,Analysis!$I$27,Analysis!$I$28,Analysis!$I$29,Analysis!$I$30)</c:f>
              <c:strCache>
                <c:ptCount val="5"/>
                <c:pt idx="0">
                  <c:v>Study Hours</c:v>
                </c:pt>
                <c:pt idx="1">
                  <c:v>Sleep Hours</c:v>
                </c:pt>
                <c:pt idx="2">
                  <c:v>Social Hours</c:v>
                </c:pt>
                <c:pt idx="3">
                  <c:v>Extracurricular Hours</c:v>
                </c:pt>
                <c:pt idx="4">
                  <c:v>Physical Activity</c:v>
                </c:pt>
              </c:strCache>
            </c:strRef>
          </c:cat>
          <c:val>
            <c:numRef>
              <c:f>(Analysis!$L$26,Analysis!$L$27,Analysis!$L$28,Analysis!$L$29,Analysis!$L$30)</c:f>
              <c:numCache>
                <c:formatCode>0.00</c:formatCode>
                <c:ptCount val="5"/>
                <c:pt idx="0">
                  <c:v>0.6107953168044018</c:v>
                </c:pt>
                <c:pt idx="1">
                  <c:v>-1.3483053118480637E-2</c:v>
                </c:pt>
                <c:pt idx="2">
                  <c:v>-6.3003451251077092E-2</c:v>
                </c:pt>
                <c:pt idx="3">
                  <c:v>-0.10132531328320482</c:v>
                </c:pt>
                <c:pt idx="4">
                  <c:v>-0.28884189848265862</c:v>
                </c:pt>
              </c:numCache>
            </c:numRef>
          </c:val>
          <c:extLst>
            <c:ext xmlns:c16="http://schemas.microsoft.com/office/drawing/2014/chart" uri="{C3380CC4-5D6E-409C-BE32-E72D297353CC}">
              <c16:uniqueId val="{00000000-64C0-469E-BF08-00BDB2751115}"/>
            </c:ext>
          </c:extLst>
        </c:ser>
        <c:dLbls>
          <c:dLblPos val="outEnd"/>
          <c:showLegendKey val="0"/>
          <c:showVal val="1"/>
          <c:showCatName val="0"/>
          <c:showSerName val="0"/>
          <c:showPercent val="0"/>
          <c:showBubbleSize val="0"/>
        </c:dLbls>
        <c:gapWidth val="38"/>
        <c:axId val="1558819504"/>
        <c:axId val="1558812784"/>
      </c:barChart>
      <c:catAx>
        <c:axId val="1558819504"/>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G"/>
          </a:p>
        </c:txPr>
        <c:crossAx val="1558812784"/>
        <c:crosses val="autoZero"/>
        <c:auto val="1"/>
        <c:lblAlgn val="ctr"/>
        <c:lblOffset val="100"/>
        <c:noMultiLvlLbl val="0"/>
      </c:catAx>
      <c:valAx>
        <c:axId val="1558812784"/>
        <c:scaling>
          <c:orientation val="minMax"/>
        </c:scaling>
        <c:delete val="1"/>
        <c:axPos val="t"/>
        <c:numFmt formatCode="0.00" sourceLinked="1"/>
        <c:majorTickMark val="out"/>
        <c:minorTickMark val="none"/>
        <c:tickLblPos val="nextTo"/>
        <c:crossAx val="1558819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169216238199322E-2"/>
          <c:y val="0.36316472114137482"/>
          <c:w val="0.87084082211425351"/>
          <c:h val="0.51648110134093161"/>
        </c:manualLayout>
      </c:layout>
      <c:lineChart>
        <c:grouping val="standard"/>
        <c:varyColors val="0"/>
        <c:ser>
          <c:idx val="0"/>
          <c:order val="0"/>
          <c:spPr>
            <a:ln w="31750" cap="rnd">
              <a:solidFill>
                <a:srgbClr val="4CB050"/>
              </a:solidFill>
              <a:round/>
            </a:ln>
            <a:effectLst/>
          </c:spPr>
          <c:marker>
            <c:symbol val="circle"/>
            <c:size val="7"/>
            <c:spPr>
              <a:solidFill>
                <a:srgbClr val="4CB050"/>
              </a:solidFill>
              <a:ln w="9525">
                <a:noFill/>
              </a:ln>
              <a:effectLst/>
            </c:spPr>
          </c:marker>
          <c:dLbls>
            <c:dLbl>
              <c:idx val="0"/>
              <c:layout>
                <c:manualLayout>
                  <c:x val="-6.488992678168104E-2"/>
                  <c:y val="-6.74448767833982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2F5-4BDC-B641-CF0623531265}"/>
                </c:ext>
              </c:extLst>
            </c:dLbl>
            <c:dLbl>
              <c:idx val="1"/>
              <c:layout>
                <c:manualLayout>
                  <c:x val="-4.6349947701200801E-2"/>
                  <c:y val="-8.30090791180285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2F5-4BDC-B641-CF0623531265}"/>
                </c:ext>
              </c:extLst>
            </c:dLbl>
            <c:dLbl>
              <c:idx val="2"/>
              <c:layout>
                <c:manualLayout>
                  <c:x val="-4.9439944214614069E-2"/>
                  <c:y val="-7.78210116731516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2F5-4BDC-B641-CF0623531265}"/>
                </c:ext>
              </c:extLst>
            </c:dLbl>
            <c:dLbl>
              <c:idx val="3"/>
              <c:layout>
                <c:manualLayout>
                  <c:x val="-5.5619937241441007E-2"/>
                  <c:y val="-7.78210116731517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2F5-4BDC-B641-CF0623531265}"/>
                </c:ext>
              </c:extLst>
            </c:dLbl>
            <c:dLbl>
              <c:idx val="4"/>
              <c:layout>
                <c:manualLayout>
                  <c:x val="-6.1799930268267661E-2"/>
                  <c:y val="-7.26329442282750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2F5-4BDC-B641-CF062353126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Analysis!$P$15:$P$19</c:f>
              <c:strCache>
                <c:ptCount val="5"/>
                <c:pt idx="0">
                  <c:v>5-6 hrs</c:v>
                </c:pt>
                <c:pt idx="1">
                  <c:v>6-7 hrs</c:v>
                </c:pt>
                <c:pt idx="2">
                  <c:v>7-8 hrs</c:v>
                </c:pt>
                <c:pt idx="3">
                  <c:v>8-9 hrs</c:v>
                </c:pt>
                <c:pt idx="4">
                  <c:v>9-10 hrs</c:v>
                </c:pt>
              </c:strCache>
            </c:strRef>
          </c:cat>
          <c:val>
            <c:numRef>
              <c:f>Analysis!$Q$15:$Q$19</c:f>
              <c:numCache>
                <c:formatCode>0.00</c:formatCode>
                <c:ptCount val="5"/>
                <c:pt idx="0">
                  <c:v>2.8141046831955934</c:v>
                </c:pt>
                <c:pt idx="1">
                  <c:v>2.9523041474654366</c:v>
                </c:pt>
                <c:pt idx="2">
                  <c:v>3.104812030075184</c:v>
                </c:pt>
                <c:pt idx="3">
                  <c:v>3.2681188118811879</c:v>
                </c:pt>
                <c:pt idx="4">
                  <c:v>3.4248999999999952</c:v>
                </c:pt>
              </c:numCache>
            </c:numRef>
          </c:val>
          <c:smooth val="0"/>
          <c:extLst>
            <c:ext xmlns:c16="http://schemas.microsoft.com/office/drawing/2014/chart" uri="{C3380CC4-5D6E-409C-BE32-E72D297353CC}">
              <c16:uniqueId val="{00000000-02F5-4BDC-B641-CF0623531265}"/>
            </c:ext>
          </c:extLst>
        </c:ser>
        <c:dLbls>
          <c:showLegendKey val="0"/>
          <c:showVal val="0"/>
          <c:showCatName val="0"/>
          <c:showSerName val="0"/>
          <c:showPercent val="0"/>
          <c:showBubbleSize val="0"/>
        </c:dLbls>
        <c:marker val="1"/>
        <c:smooth val="0"/>
        <c:axId val="1080140271"/>
        <c:axId val="1080140751"/>
      </c:lineChart>
      <c:catAx>
        <c:axId val="1080140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G"/>
          </a:p>
        </c:txPr>
        <c:crossAx val="1080140751"/>
        <c:crosses val="autoZero"/>
        <c:auto val="1"/>
        <c:lblAlgn val="ctr"/>
        <c:lblOffset val="100"/>
        <c:noMultiLvlLbl val="0"/>
      </c:catAx>
      <c:valAx>
        <c:axId val="1080140751"/>
        <c:scaling>
          <c:orientation val="minMax"/>
        </c:scaling>
        <c:delete val="1"/>
        <c:axPos val="l"/>
        <c:numFmt formatCode="0.00" sourceLinked="1"/>
        <c:majorTickMark val="none"/>
        <c:minorTickMark val="none"/>
        <c:tickLblPos val="nextTo"/>
        <c:crossAx val="1080140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291036699955844E-2"/>
          <c:y val="0.3546239499214589"/>
          <c:w val="0.79692505199162655"/>
          <c:h val="0.5379763387610792"/>
        </c:manualLayout>
      </c:layout>
      <c:lineChart>
        <c:grouping val="standard"/>
        <c:varyColors val="0"/>
        <c:ser>
          <c:idx val="0"/>
          <c:order val="0"/>
          <c:spPr>
            <a:ln w="31750" cap="rnd">
              <a:solidFill>
                <a:srgbClr val="4CB050"/>
              </a:solidFill>
              <a:round/>
            </a:ln>
            <a:effectLst/>
          </c:spPr>
          <c:marker>
            <c:symbol val="circle"/>
            <c:size val="6"/>
            <c:spPr>
              <a:solidFill>
                <a:srgbClr val="4CB050"/>
              </a:solidFill>
              <a:ln w="9525">
                <a:noFill/>
              </a:ln>
              <a:effectLst/>
            </c:spPr>
          </c:marker>
          <c:dLbls>
            <c:dLbl>
              <c:idx val="0"/>
              <c:layout>
                <c:manualLayout>
                  <c:x val="-4.6351644285802608E-2"/>
                  <c:y val="-9.04857142378160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FAB-4060-A706-31555FE0D931}"/>
                </c:ext>
              </c:extLst>
            </c:dLbl>
            <c:dLbl>
              <c:idx val="1"/>
              <c:layout>
                <c:manualLayout>
                  <c:x val="-4.3454666517939909E-2"/>
                  <c:y val="-0.106453781456254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FAB-4060-A706-31555FE0D931}"/>
                </c:ext>
              </c:extLst>
            </c:dLbl>
            <c:dLbl>
              <c:idx val="2"/>
              <c:layout>
                <c:manualLayout>
                  <c:x val="-4.3454666517939937E-2"/>
                  <c:y val="-9.58084033106288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FAB-4060-A706-31555FE0D931}"/>
                </c:ext>
              </c:extLst>
            </c:dLbl>
            <c:dLbl>
              <c:idx val="3"/>
              <c:layout>
                <c:manualLayout>
                  <c:x val="-4.3454666517939937E-2"/>
                  <c:y val="-7.98403360921906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FAB-4060-A706-31555FE0D931}"/>
                </c:ext>
              </c:extLst>
            </c:dLbl>
            <c:dLbl>
              <c:idx val="4"/>
              <c:layout>
                <c:manualLayout>
                  <c:x val="-4.0557688750077273E-2"/>
                  <c:y val="-8.51630251650034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FAB-4060-A706-31555FE0D931}"/>
                </c:ext>
              </c:extLst>
            </c:dLbl>
            <c:dLbl>
              <c:idx val="5"/>
              <c:layout>
                <c:manualLayout>
                  <c:x val="-4.6351644285802594E-2"/>
                  <c:y val="-7.984033609219075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FAB-4060-A706-31555FE0D931}"/>
                </c:ext>
              </c:extLst>
            </c:dLbl>
            <c:dLbl>
              <c:idx val="6"/>
              <c:layout>
                <c:manualLayout>
                  <c:x val="-4.3454666517939937E-2"/>
                  <c:y val="-6.91949579465653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FAB-4060-A706-31555FE0D93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Analysis!$V$17:$V$23</c:f>
              <c:strCache>
                <c:ptCount val="7"/>
                <c:pt idx="0">
                  <c:v>0-1 hrs</c:v>
                </c:pt>
                <c:pt idx="1">
                  <c:v>1-2 hrs</c:v>
                </c:pt>
                <c:pt idx="2">
                  <c:v>2-3 hrs</c:v>
                </c:pt>
                <c:pt idx="3">
                  <c:v>3-4 hrs</c:v>
                </c:pt>
                <c:pt idx="4">
                  <c:v>4-5 hrs</c:v>
                </c:pt>
                <c:pt idx="5">
                  <c:v>5-6 hrs</c:v>
                </c:pt>
                <c:pt idx="6">
                  <c:v>&gt;6 hrs</c:v>
                </c:pt>
              </c:strCache>
            </c:strRef>
          </c:cat>
          <c:val>
            <c:numRef>
              <c:f>Analysis!$W$17:$W$23</c:f>
              <c:numCache>
                <c:formatCode>0.00</c:formatCode>
                <c:ptCount val="7"/>
                <c:pt idx="0">
                  <c:v>3.271849710982659</c:v>
                </c:pt>
                <c:pt idx="1">
                  <c:v>3.2465610859728504</c:v>
                </c:pt>
                <c:pt idx="2">
                  <c:v>3.1911111111111099</c:v>
                </c:pt>
                <c:pt idx="3">
                  <c:v>3.1458214285714274</c:v>
                </c:pt>
                <c:pt idx="4">
                  <c:v>3.0948409893992905</c:v>
                </c:pt>
                <c:pt idx="5">
                  <c:v>3.0759770114942513</c:v>
                </c:pt>
                <c:pt idx="6">
                  <c:v>2.9830078125000004</c:v>
                </c:pt>
              </c:numCache>
            </c:numRef>
          </c:val>
          <c:smooth val="0"/>
          <c:extLst>
            <c:ext xmlns:c16="http://schemas.microsoft.com/office/drawing/2014/chart" uri="{C3380CC4-5D6E-409C-BE32-E72D297353CC}">
              <c16:uniqueId val="{00000000-0FAB-4060-A706-31555FE0D931}"/>
            </c:ext>
          </c:extLst>
        </c:ser>
        <c:dLbls>
          <c:showLegendKey val="0"/>
          <c:showVal val="0"/>
          <c:showCatName val="0"/>
          <c:showSerName val="0"/>
          <c:showPercent val="0"/>
          <c:showBubbleSize val="0"/>
        </c:dLbls>
        <c:marker val="1"/>
        <c:smooth val="0"/>
        <c:axId val="1406521759"/>
        <c:axId val="1406532799"/>
      </c:lineChart>
      <c:catAx>
        <c:axId val="1406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G"/>
          </a:p>
        </c:txPr>
        <c:crossAx val="1406532799"/>
        <c:crosses val="autoZero"/>
        <c:auto val="1"/>
        <c:lblAlgn val="ctr"/>
        <c:lblOffset val="100"/>
        <c:noMultiLvlLbl val="0"/>
      </c:catAx>
      <c:valAx>
        <c:axId val="1406532799"/>
        <c:scaling>
          <c:orientation val="minMax"/>
        </c:scaling>
        <c:delete val="1"/>
        <c:axPos val="l"/>
        <c:numFmt formatCode="0.00" sourceLinked="1"/>
        <c:majorTickMark val="none"/>
        <c:minorTickMark val="none"/>
        <c:tickLblPos val="nextTo"/>
        <c:crossAx val="1406521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31481481481481483"/>
          <c:w val="0.75555555555555554"/>
          <c:h val="0.57778579760863225"/>
        </c:manualLayout>
      </c:layout>
      <c:barChart>
        <c:barDir val="col"/>
        <c:grouping val="clustered"/>
        <c:varyColors val="0"/>
        <c:ser>
          <c:idx val="0"/>
          <c:order val="0"/>
          <c:spPr>
            <a:solidFill>
              <a:srgbClr val="4CB050"/>
            </a:solidFill>
            <a:ln>
              <a:noFill/>
            </a:ln>
            <a:effectLst/>
          </c:spPr>
          <c:invertIfNegative val="0"/>
          <c:dPt>
            <c:idx val="1"/>
            <c:invertIfNegative val="0"/>
            <c:bubble3D val="0"/>
            <c:spPr>
              <a:solidFill>
                <a:schemeClr val="bg2">
                  <a:lumMod val="75000"/>
                </a:schemeClr>
              </a:solidFill>
              <a:ln>
                <a:noFill/>
              </a:ln>
              <a:effectLst/>
            </c:spPr>
            <c:extLst>
              <c:ext xmlns:c16="http://schemas.microsoft.com/office/drawing/2014/chart" uri="{C3380CC4-5D6E-409C-BE32-E72D297353CC}">
                <c16:uniqueId val="{00000002-1210-4E88-BDC6-69B1E2E0178A}"/>
              </c:ext>
            </c:extLst>
          </c:dPt>
          <c:dPt>
            <c:idx val="2"/>
            <c:invertIfNegative val="0"/>
            <c:bubble3D val="0"/>
            <c:spPr>
              <a:solidFill>
                <a:schemeClr val="bg2">
                  <a:lumMod val="75000"/>
                </a:schemeClr>
              </a:solidFill>
              <a:ln>
                <a:noFill/>
              </a:ln>
              <a:effectLst/>
            </c:spPr>
            <c:extLst>
              <c:ext xmlns:c16="http://schemas.microsoft.com/office/drawing/2014/chart" uri="{C3380CC4-5D6E-409C-BE32-E72D297353CC}">
                <c16:uniqueId val="{00000001-1210-4E88-BDC6-69B1E2E0178A}"/>
              </c:ext>
            </c:extLst>
          </c:dPt>
          <c:dPt>
            <c:idx val="3"/>
            <c:invertIfNegative val="0"/>
            <c:bubble3D val="0"/>
            <c:spPr>
              <a:solidFill>
                <a:schemeClr val="bg2">
                  <a:lumMod val="75000"/>
                </a:schemeClr>
              </a:solidFill>
              <a:ln>
                <a:noFill/>
              </a:ln>
              <a:effectLst/>
            </c:spPr>
            <c:extLst>
              <c:ext xmlns:c16="http://schemas.microsoft.com/office/drawing/2014/chart" uri="{C3380CC4-5D6E-409C-BE32-E72D297353CC}">
                <c16:uniqueId val="{00000003-1210-4E88-BDC6-69B1E2E0178A}"/>
              </c:ext>
            </c:extLst>
          </c:dPt>
          <c:dPt>
            <c:idx val="4"/>
            <c:invertIfNegative val="0"/>
            <c:bubble3D val="0"/>
            <c:spPr>
              <a:solidFill>
                <a:schemeClr val="bg2">
                  <a:lumMod val="75000"/>
                </a:schemeClr>
              </a:solidFill>
              <a:ln>
                <a:noFill/>
              </a:ln>
              <a:effectLst/>
            </c:spPr>
            <c:extLst>
              <c:ext xmlns:c16="http://schemas.microsoft.com/office/drawing/2014/chart" uri="{C3380CC4-5D6E-409C-BE32-E72D297353CC}">
                <c16:uniqueId val="{00000004-1210-4E88-BDC6-69B1E2E0178A}"/>
              </c:ext>
            </c:extLst>
          </c:dPt>
          <c:dPt>
            <c:idx val="5"/>
            <c:invertIfNegative val="0"/>
            <c:bubble3D val="0"/>
            <c:spPr>
              <a:solidFill>
                <a:srgbClr val="4CB050"/>
              </a:solidFill>
              <a:ln>
                <a:noFill/>
              </a:ln>
              <a:effectLst/>
            </c:spPr>
            <c:extLst>
              <c:ext xmlns:c16="http://schemas.microsoft.com/office/drawing/2014/chart" uri="{C3380CC4-5D6E-409C-BE32-E72D297353CC}">
                <c16:uniqueId val="{00000005-1210-4E88-BDC6-69B1E2E0178A}"/>
              </c:ext>
            </c:extLst>
          </c:dPt>
          <c:dLbls>
            <c:dLbl>
              <c:idx val="1"/>
              <c:delete val="1"/>
              <c:extLst>
                <c:ext xmlns:c15="http://schemas.microsoft.com/office/drawing/2012/chart" uri="{CE6537A1-D6FC-4f65-9D91-7224C49458BB}"/>
                <c:ext xmlns:c16="http://schemas.microsoft.com/office/drawing/2014/chart" uri="{C3380CC4-5D6E-409C-BE32-E72D297353CC}">
                  <c16:uniqueId val="{00000002-1210-4E88-BDC6-69B1E2E0178A}"/>
                </c:ext>
              </c:extLst>
            </c:dLbl>
            <c:dLbl>
              <c:idx val="2"/>
              <c:delete val="1"/>
              <c:extLst>
                <c:ext xmlns:c15="http://schemas.microsoft.com/office/drawing/2012/chart" uri="{CE6537A1-D6FC-4f65-9D91-7224C49458BB}"/>
                <c:ext xmlns:c16="http://schemas.microsoft.com/office/drawing/2014/chart" uri="{C3380CC4-5D6E-409C-BE32-E72D297353CC}">
                  <c16:uniqueId val="{00000001-1210-4E88-BDC6-69B1E2E0178A}"/>
                </c:ext>
              </c:extLst>
            </c:dLbl>
            <c:dLbl>
              <c:idx val="3"/>
              <c:delete val="1"/>
              <c:extLst>
                <c:ext xmlns:c15="http://schemas.microsoft.com/office/drawing/2012/chart" uri="{CE6537A1-D6FC-4f65-9D91-7224C49458BB}"/>
                <c:ext xmlns:c16="http://schemas.microsoft.com/office/drawing/2014/chart" uri="{C3380CC4-5D6E-409C-BE32-E72D297353CC}">
                  <c16:uniqueId val="{00000003-1210-4E88-BDC6-69B1E2E0178A}"/>
                </c:ext>
              </c:extLst>
            </c:dLbl>
            <c:dLbl>
              <c:idx val="4"/>
              <c:delete val="1"/>
              <c:extLst>
                <c:ext xmlns:c15="http://schemas.microsoft.com/office/drawing/2012/chart" uri="{CE6537A1-D6FC-4f65-9D91-7224C49458BB}"/>
                <c:ext xmlns:c16="http://schemas.microsoft.com/office/drawing/2014/chart" uri="{C3380CC4-5D6E-409C-BE32-E72D297353CC}">
                  <c16:uniqueId val="{00000004-1210-4E88-BDC6-69B1E2E0178A}"/>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Analysis!$AP$8:$AP$13</c:f>
              <c:strCache>
                <c:ptCount val="6"/>
                <c:pt idx="0">
                  <c:v>0-1 hrs</c:v>
                </c:pt>
                <c:pt idx="1">
                  <c:v>1-2 hrs</c:v>
                </c:pt>
                <c:pt idx="2">
                  <c:v>2-3 hrs</c:v>
                </c:pt>
                <c:pt idx="3">
                  <c:v>3-4 hrs</c:v>
                </c:pt>
                <c:pt idx="4">
                  <c:v>4-5 hrs</c:v>
                </c:pt>
                <c:pt idx="5">
                  <c:v>5-6 hrs</c:v>
                </c:pt>
              </c:strCache>
            </c:strRef>
          </c:cat>
          <c:val>
            <c:numRef>
              <c:f>Analysis!$AQ$8:$AQ$13</c:f>
              <c:numCache>
                <c:formatCode>0.00</c:formatCode>
                <c:ptCount val="6"/>
                <c:pt idx="0">
                  <c:v>3.1375526315789442</c:v>
                </c:pt>
                <c:pt idx="1">
                  <c:v>3.1354408060453398</c:v>
                </c:pt>
                <c:pt idx="2">
                  <c:v>3.1391740412979332</c:v>
                </c:pt>
                <c:pt idx="3">
                  <c:v>3.1176506024096362</c:v>
                </c:pt>
                <c:pt idx="4">
                  <c:v>3.0696428571428567</c:v>
                </c:pt>
                <c:pt idx="5">
                  <c:v>3.0745491803278671</c:v>
                </c:pt>
              </c:numCache>
            </c:numRef>
          </c:val>
          <c:extLst>
            <c:ext xmlns:c16="http://schemas.microsoft.com/office/drawing/2014/chart" uri="{C3380CC4-5D6E-409C-BE32-E72D297353CC}">
              <c16:uniqueId val="{00000000-1210-4E88-BDC6-69B1E2E0178A}"/>
            </c:ext>
          </c:extLst>
        </c:ser>
        <c:dLbls>
          <c:showLegendKey val="0"/>
          <c:showVal val="0"/>
          <c:showCatName val="0"/>
          <c:showSerName val="0"/>
          <c:showPercent val="0"/>
          <c:showBubbleSize val="0"/>
        </c:dLbls>
        <c:gapWidth val="99"/>
        <c:axId val="1997755583"/>
        <c:axId val="1997767583"/>
      </c:barChart>
      <c:catAx>
        <c:axId val="1997755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G"/>
          </a:p>
        </c:txPr>
        <c:crossAx val="1997767583"/>
        <c:crosses val="autoZero"/>
        <c:auto val="1"/>
        <c:lblAlgn val="ctr"/>
        <c:lblOffset val="100"/>
        <c:noMultiLvlLbl val="0"/>
      </c:catAx>
      <c:valAx>
        <c:axId val="1997767583"/>
        <c:scaling>
          <c:orientation val="minMax"/>
          <c:min val="0"/>
        </c:scaling>
        <c:delete val="1"/>
        <c:axPos val="l"/>
        <c:numFmt formatCode="0.00" sourceLinked="1"/>
        <c:majorTickMark val="none"/>
        <c:minorTickMark val="none"/>
        <c:tickLblPos val="nextTo"/>
        <c:crossAx val="1997755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818584244133662"/>
          <c:y val="0.30555555555555558"/>
          <c:w val="0.7420416477791022"/>
          <c:h val="0.62928988043161282"/>
        </c:manualLayout>
      </c:layout>
      <c:barChart>
        <c:barDir val="bar"/>
        <c:grouping val="percentStacked"/>
        <c:varyColors val="0"/>
        <c:ser>
          <c:idx val="0"/>
          <c:order val="0"/>
          <c:tx>
            <c:strRef>
              <c:f>Analysis!$AV$23</c:f>
              <c:strCache>
                <c:ptCount val="1"/>
                <c:pt idx="0">
                  <c:v>Balanced percentage</c:v>
                </c:pt>
              </c:strCache>
            </c:strRef>
          </c:tx>
          <c:spPr>
            <a:solidFill>
              <a:schemeClr val="accent2">
                <a:lumMod val="75000"/>
              </a:schemeClr>
            </a:solidFill>
            <a:ln>
              <a:noFill/>
            </a:ln>
            <a:effectLst/>
          </c:spPr>
          <c:invertIfNegative val="0"/>
          <c:dLbls>
            <c:dLbl>
              <c:idx val="0"/>
              <c:layout>
                <c:manualLayout>
                  <c:x val="8.5287846481876071E-3"/>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961-402A-BD88-BFA541D214AD}"/>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NG"/>
                </a:p>
              </c:txPr>
              <c:showLegendKey val="0"/>
              <c:showVal val="1"/>
              <c:showCatName val="0"/>
              <c:showSerName val="0"/>
              <c:showPercent val="0"/>
              <c:showBubbleSize val="0"/>
              <c:extLst>
                <c:ext xmlns:c16="http://schemas.microsoft.com/office/drawing/2014/chart" uri="{C3380CC4-5D6E-409C-BE32-E72D297353CC}">
                  <c16:uniqueId val="{00000004-E961-402A-BD88-BFA541D214AD}"/>
                </c:ext>
              </c:extLst>
            </c:dLbl>
            <c:dLbl>
              <c:idx val="2"/>
              <c:layout>
                <c:manualLayout>
                  <c:x val="3.9800995024875593E-2"/>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NG"/>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961-402A-BD88-BFA541D214AD}"/>
                </c:ext>
              </c:extLst>
            </c:dLbl>
            <c:dLbl>
              <c:idx val="3"/>
              <c:delete val="1"/>
              <c:extLst>
                <c:ext xmlns:c15="http://schemas.microsoft.com/office/drawing/2012/chart" uri="{CE6537A1-D6FC-4f65-9D91-7224C49458BB}"/>
                <c:ext xmlns:c16="http://schemas.microsoft.com/office/drawing/2014/chart" uri="{C3380CC4-5D6E-409C-BE32-E72D297353CC}">
                  <c16:uniqueId val="{00000002-E961-402A-BD88-BFA541D214A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Analysis!$AU$24:$AU$27</c:f>
              <c:strCache>
                <c:ptCount val="4"/>
                <c:pt idx="0">
                  <c:v>Below Average</c:v>
                </c:pt>
                <c:pt idx="1">
                  <c:v>Average</c:v>
                </c:pt>
                <c:pt idx="2">
                  <c:v>Above Average</c:v>
                </c:pt>
                <c:pt idx="3">
                  <c:v>High Performer</c:v>
                </c:pt>
              </c:strCache>
            </c:strRef>
          </c:cat>
          <c:val>
            <c:numRef>
              <c:f>Analysis!$AV$24:$AV$27</c:f>
              <c:numCache>
                <c:formatCode>0.0%</c:formatCode>
                <c:ptCount val="4"/>
                <c:pt idx="0">
                  <c:v>6.4516129032258063E-2</c:v>
                </c:pt>
                <c:pt idx="1">
                  <c:v>9.8384728340675479E-2</c:v>
                </c:pt>
                <c:pt idx="2">
                  <c:v>1.2183692596063731E-2</c:v>
                </c:pt>
                <c:pt idx="3">
                  <c:v>0</c:v>
                </c:pt>
              </c:numCache>
            </c:numRef>
          </c:val>
          <c:extLst>
            <c:ext xmlns:c16="http://schemas.microsoft.com/office/drawing/2014/chart" uri="{C3380CC4-5D6E-409C-BE32-E72D297353CC}">
              <c16:uniqueId val="{00000000-E961-402A-BD88-BFA541D214AD}"/>
            </c:ext>
          </c:extLst>
        </c:ser>
        <c:ser>
          <c:idx val="1"/>
          <c:order val="1"/>
          <c:tx>
            <c:strRef>
              <c:f>Analysis!$AW$23</c:f>
              <c:strCache>
                <c:ptCount val="1"/>
                <c:pt idx="0">
                  <c:v>Concentrated percentage</c:v>
                </c:pt>
              </c:strCache>
            </c:strRef>
          </c:tx>
          <c:spPr>
            <a:solidFill>
              <a:schemeClr val="bg2">
                <a:lumMod val="75000"/>
              </a:schemeClr>
            </a:solidFill>
            <a:ln>
              <a:noFill/>
            </a:ln>
            <a:effectLst/>
          </c:spPr>
          <c:invertIfNegative val="0"/>
          <c:cat>
            <c:strRef>
              <c:f>Analysis!$AU$24:$AU$27</c:f>
              <c:strCache>
                <c:ptCount val="4"/>
                <c:pt idx="0">
                  <c:v>Below Average</c:v>
                </c:pt>
                <c:pt idx="1">
                  <c:v>Average</c:v>
                </c:pt>
                <c:pt idx="2">
                  <c:v>Above Average</c:v>
                </c:pt>
                <c:pt idx="3">
                  <c:v>High Performer</c:v>
                </c:pt>
              </c:strCache>
            </c:strRef>
          </c:cat>
          <c:val>
            <c:numRef>
              <c:f>Analysis!$AW$24:$AW$27</c:f>
              <c:numCache>
                <c:formatCode>0.0%</c:formatCode>
                <c:ptCount val="4"/>
                <c:pt idx="0">
                  <c:v>0.93548387096774188</c:v>
                </c:pt>
                <c:pt idx="1">
                  <c:v>0.90161527165932454</c:v>
                </c:pt>
                <c:pt idx="2">
                  <c:v>0.98781630740393622</c:v>
                </c:pt>
                <c:pt idx="3">
                  <c:v>1</c:v>
                </c:pt>
              </c:numCache>
            </c:numRef>
          </c:val>
          <c:extLst>
            <c:ext xmlns:c16="http://schemas.microsoft.com/office/drawing/2014/chart" uri="{C3380CC4-5D6E-409C-BE32-E72D297353CC}">
              <c16:uniqueId val="{00000001-E961-402A-BD88-BFA541D214AD}"/>
            </c:ext>
          </c:extLst>
        </c:ser>
        <c:dLbls>
          <c:showLegendKey val="0"/>
          <c:showVal val="0"/>
          <c:showCatName val="0"/>
          <c:showSerName val="0"/>
          <c:showPercent val="0"/>
          <c:showBubbleSize val="0"/>
        </c:dLbls>
        <c:gapWidth val="60"/>
        <c:overlap val="100"/>
        <c:axId val="946799280"/>
        <c:axId val="946805520"/>
      </c:barChart>
      <c:catAx>
        <c:axId val="9467992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NG"/>
          </a:p>
        </c:txPr>
        <c:crossAx val="946805520"/>
        <c:crosses val="autoZero"/>
        <c:auto val="1"/>
        <c:lblAlgn val="ctr"/>
        <c:lblOffset val="100"/>
        <c:noMultiLvlLbl val="0"/>
      </c:catAx>
      <c:valAx>
        <c:axId val="946805520"/>
        <c:scaling>
          <c:orientation val="minMax"/>
        </c:scaling>
        <c:delete val="1"/>
        <c:axPos val="b"/>
        <c:numFmt formatCode="0%" sourceLinked="1"/>
        <c:majorTickMark val="none"/>
        <c:minorTickMark val="none"/>
        <c:tickLblPos val="nextTo"/>
        <c:crossAx val="946799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037327935871818"/>
          <c:y val="0.33374999999999999"/>
          <c:w val="0.55623612908396403"/>
          <c:h val="0.62053186060075816"/>
        </c:manualLayout>
      </c:layout>
      <c:barChart>
        <c:barDir val="bar"/>
        <c:grouping val="percentStacked"/>
        <c:varyColors val="0"/>
        <c:ser>
          <c:idx val="0"/>
          <c:order val="0"/>
          <c:tx>
            <c:strRef>
              <c:f>Analysis!$AB$22</c:f>
              <c:strCache>
                <c:ptCount val="1"/>
                <c:pt idx="0">
                  <c:v>High</c:v>
                </c:pt>
              </c:strCache>
            </c:strRef>
          </c:tx>
          <c:spPr>
            <a:solidFill>
              <a:srgbClr val="4C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95000"/>
                        <a:lumOff val="5000"/>
                      </a:schemeClr>
                    </a:solidFill>
                    <a:latin typeface="Arial" panose="020B0604020202020204" pitchFamily="34" charset="0"/>
                    <a:ea typeface="+mn-ea"/>
                    <a:cs typeface="Arial" panose="020B0604020202020204" pitchFamily="34" charset="0"/>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Analysis!$AC$21:$AD$21</c:f>
              <c:strCache>
                <c:ptCount val="2"/>
                <c:pt idx="0">
                  <c:v>Percentage of all students </c:v>
                </c:pt>
                <c:pt idx="1">
                  <c:v>Pecentage of high performers</c:v>
                </c:pt>
              </c:strCache>
            </c:strRef>
          </c:cat>
          <c:val>
            <c:numRef>
              <c:f>Analysis!$AC$22:$AD$22</c:f>
              <c:numCache>
                <c:formatCode>0.0%</c:formatCode>
                <c:ptCount val="2"/>
                <c:pt idx="0">
                  <c:v>0.51449999999999996</c:v>
                </c:pt>
                <c:pt idx="1">
                  <c:v>0.96832579185520362</c:v>
                </c:pt>
              </c:numCache>
            </c:numRef>
          </c:val>
          <c:extLst>
            <c:ext xmlns:c16="http://schemas.microsoft.com/office/drawing/2014/chart" uri="{C3380CC4-5D6E-409C-BE32-E72D297353CC}">
              <c16:uniqueId val="{00000002-A560-4710-A062-3593144054D5}"/>
            </c:ext>
          </c:extLst>
        </c:ser>
        <c:ser>
          <c:idx val="1"/>
          <c:order val="1"/>
          <c:tx>
            <c:strRef>
              <c:f>Analysis!$AB$23</c:f>
              <c:strCache>
                <c:ptCount val="1"/>
                <c:pt idx="0">
                  <c:v>Moderate</c:v>
                </c:pt>
              </c:strCache>
            </c:strRef>
          </c:tx>
          <c:spPr>
            <a:solidFill>
              <a:schemeClr val="bg1">
                <a:lumMod val="50000"/>
                <a:alpha val="75000"/>
              </a:schemeClr>
            </a:solidFill>
            <a:ln>
              <a:noFill/>
            </a:ln>
            <a:effectLst/>
          </c:spPr>
          <c:invertIfNegative val="0"/>
          <c:dLbls>
            <c:delete val="1"/>
          </c:dLbls>
          <c:cat>
            <c:strRef>
              <c:f>Analysis!$AC$21:$AD$21</c:f>
              <c:strCache>
                <c:ptCount val="2"/>
                <c:pt idx="0">
                  <c:v>Percentage of all students </c:v>
                </c:pt>
                <c:pt idx="1">
                  <c:v>Pecentage of high performers</c:v>
                </c:pt>
              </c:strCache>
            </c:strRef>
          </c:cat>
          <c:val>
            <c:numRef>
              <c:f>Analysis!$AC$23:$AD$23</c:f>
              <c:numCache>
                <c:formatCode>0.0%</c:formatCode>
                <c:ptCount val="2"/>
                <c:pt idx="0">
                  <c:v>0.33700000000000002</c:v>
                </c:pt>
                <c:pt idx="1">
                  <c:v>2.7149321266968326E-2</c:v>
                </c:pt>
              </c:numCache>
            </c:numRef>
          </c:val>
          <c:extLst>
            <c:ext xmlns:c16="http://schemas.microsoft.com/office/drawing/2014/chart" uri="{C3380CC4-5D6E-409C-BE32-E72D297353CC}">
              <c16:uniqueId val="{00000005-A560-4710-A062-3593144054D5}"/>
            </c:ext>
          </c:extLst>
        </c:ser>
        <c:ser>
          <c:idx val="2"/>
          <c:order val="2"/>
          <c:tx>
            <c:strRef>
              <c:f>Analysis!$AB$24</c:f>
              <c:strCache>
                <c:ptCount val="1"/>
                <c:pt idx="0">
                  <c:v>Low</c:v>
                </c:pt>
              </c:strCache>
            </c:strRef>
          </c:tx>
          <c:spPr>
            <a:solidFill>
              <a:schemeClr val="bg1">
                <a:lumMod val="75000"/>
              </a:schemeClr>
            </a:solidFill>
            <a:ln>
              <a:noFill/>
            </a:ln>
            <a:effectLst/>
          </c:spPr>
          <c:invertIfNegative val="0"/>
          <c:dLbls>
            <c:delete val="1"/>
          </c:dLbls>
          <c:cat>
            <c:strRef>
              <c:f>Analysis!$AC$21:$AD$21</c:f>
              <c:strCache>
                <c:ptCount val="2"/>
                <c:pt idx="0">
                  <c:v>Percentage of all students </c:v>
                </c:pt>
                <c:pt idx="1">
                  <c:v>Pecentage of high performers</c:v>
                </c:pt>
              </c:strCache>
            </c:strRef>
          </c:cat>
          <c:val>
            <c:numRef>
              <c:f>Analysis!$AC$24:$AD$24</c:f>
              <c:numCache>
                <c:formatCode>0.0%</c:formatCode>
                <c:ptCount val="2"/>
                <c:pt idx="0">
                  <c:v>0.14849999999999999</c:v>
                </c:pt>
                <c:pt idx="1">
                  <c:v>4.5248868778280547E-3</c:v>
                </c:pt>
              </c:numCache>
            </c:numRef>
          </c:val>
          <c:extLst>
            <c:ext xmlns:c16="http://schemas.microsoft.com/office/drawing/2014/chart" uri="{C3380CC4-5D6E-409C-BE32-E72D297353CC}">
              <c16:uniqueId val="{00000008-A560-4710-A062-3593144054D5}"/>
            </c:ext>
          </c:extLst>
        </c:ser>
        <c:dLbls>
          <c:showLegendKey val="0"/>
          <c:showVal val="1"/>
          <c:showCatName val="0"/>
          <c:showSerName val="0"/>
          <c:showPercent val="0"/>
          <c:showBubbleSize val="0"/>
        </c:dLbls>
        <c:gapWidth val="150"/>
        <c:overlap val="100"/>
        <c:axId val="1080451119"/>
        <c:axId val="1080449679"/>
      </c:barChart>
      <c:catAx>
        <c:axId val="10804511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G"/>
          </a:p>
        </c:txPr>
        <c:crossAx val="1080449679"/>
        <c:crosses val="autoZero"/>
        <c:auto val="1"/>
        <c:lblAlgn val="ctr"/>
        <c:lblOffset val="100"/>
        <c:noMultiLvlLbl val="0"/>
      </c:catAx>
      <c:valAx>
        <c:axId val="1080449679"/>
        <c:scaling>
          <c:orientation val="minMax"/>
        </c:scaling>
        <c:delete val="1"/>
        <c:axPos val="b"/>
        <c:numFmt formatCode="0%" sourceLinked="1"/>
        <c:majorTickMark val="none"/>
        <c:minorTickMark val="none"/>
        <c:tickLblPos val="nextTo"/>
        <c:crossAx val="108045111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812478796769796"/>
          <c:y val="0.21521687259448302"/>
          <c:w val="0.52359347240236964"/>
          <c:h val="0.65966574336310724"/>
        </c:manualLayout>
      </c:layout>
      <c:doughnutChart>
        <c:varyColors val="1"/>
        <c:ser>
          <c:idx val="0"/>
          <c:order val="0"/>
          <c:spPr>
            <a:ln>
              <a:noFill/>
            </a:ln>
          </c:spPr>
          <c:dPt>
            <c:idx val="0"/>
            <c:bubble3D val="0"/>
            <c:spPr>
              <a:solidFill>
                <a:srgbClr val="4CB050"/>
              </a:solidFill>
              <a:ln w="19050">
                <a:noFill/>
              </a:ln>
              <a:effectLst/>
            </c:spPr>
            <c:extLst>
              <c:ext xmlns:c16="http://schemas.microsoft.com/office/drawing/2014/chart" uri="{C3380CC4-5D6E-409C-BE32-E72D297353CC}">
                <c16:uniqueId val="{00000001-BDE1-4E65-ADCE-BE6269BCB3D1}"/>
              </c:ext>
            </c:extLst>
          </c:dPt>
          <c:dPt>
            <c:idx val="1"/>
            <c:bubble3D val="0"/>
            <c:spPr>
              <a:solidFill>
                <a:schemeClr val="bg1">
                  <a:lumMod val="65000"/>
                </a:schemeClr>
              </a:solidFill>
              <a:ln w="19050">
                <a:noFill/>
              </a:ln>
              <a:effectLst/>
            </c:spPr>
            <c:extLst>
              <c:ext xmlns:c16="http://schemas.microsoft.com/office/drawing/2014/chart" uri="{C3380CC4-5D6E-409C-BE32-E72D297353CC}">
                <c16:uniqueId val="{00000003-BDE1-4E65-ADCE-BE6269BCB3D1}"/>
              </c:ext>
            </c:extLst>
          </c:dPt>
          <c:dPt>
            <c:idx val="2"/>
            <c:bubble3D val="0"/>
            <c:spPr>
              <a:solidFill>
                <a:schemeClr val="bg1">
                  <a:lumMod val="75000"/>
                  <a:alpha val="85000"/>
                </a:schemeClr>
              </a:solidFill>
              <a:ln w="19050">
                <a:noFill/>
              </a:ln>
              <a:effectLst/>
            </c:spPr>
            <c:extLst>
              <c:ext xmlns:c16="http://schemas.microsoft.com/office/drawing/2014/chart" uri="{C3380CC4-5D6E-409C-BE32-E72D297353CC}">
                <c16:uniqueId val="{00000005-BDE1-4E65-ADCE-BE6269BCB3D1}"/>
              </c:ext>
            </c:extLst>
          </c:dPt>
          <c:dLbls>
            <c:dLbl>
              <c:idx val="0"/>
              <c:layout>
                <c:manualLayout>
                  <c:x val="-0.1673202476603162"/>
                  <c:y val="-4.21607378129117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DE1-4E65-ADCE-BE6269BCB3D1}"/>
                </c:ext>
              </c:extLst>
            </c:dLbl>
            <c:dLbl>
              <c:idx val="1"/>
              <c:delete val="1"/>
              <c:extLst>
                <c:ext xmlns:c15="http://schemas.microsoft.com/office/drawing/2012/chart" uri="{CE6537A1-D6FC-4f65-9D91-7224C49458BB}"/>
                <c:ext xmlns:c16="http://schemas.microsoft.com/office/drawing/2014/chart" uri="{C3380CC4-5D6E-409C-BE32-E72D297353CC}">
                  <c16:uniqueId val="{00000003-BDE1-4E65-ADCE-BE6269BCB3D1}"/>
                </c:ext>
              </c:extLst>
            </c:dLbl>
            <c:dLbl>
              <c:idx val="2"/>
              <c:delete val="1"/>
              <c:extLst>
                <c:ext xmlns:c15="http://schemas.microsoft.com/office/drawing/2012/chart" uri="{CE6537A1-D6FC-4f65-9D91-7224C49458BB}"/>
                <c:ext xmlns:c16="http://schemas.microsoft.com/office/drawing/2014/chart" uri="{C3380CC4-5D6E-409C-BE32-E72D297353CC}">
                  <c16:uniqueId val="{00000005-BDE1-4E65-ADCE-BE6269BCB3D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Arial" panose="020B0604020202020204" pitchFamily="34" charset="0"/>
                    <a:ea typeface="+mn-ea"/>
                    <a:cs typeface="Arial" panose="020B0604020202020204" pitchFamily="34" charset="0"/>
                  </a:defRPr>
                </a:pPr>
                <a:endParaRPr lang="en-NG"/>
              </a:p>
            </c:txPr>
            <c:showLegendKey val="0"/>
            <c:showVal val="1"/>
            <c:showCatName val="0"/>
            <c:showSerName val="0"/>
            <c:showPercent val="0"/>
            <c:showBubbleSize val="0"/>
            <c:showLeaderLines val="1"/>
            <c:leaderLines>
              <c:spPr>
                <a:ln w="12700"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Analysis!$BA$27:$BA$29</c:f>
              <c:strCache>
                <c:ptCount val="3"/>
                <c:pt idx="0">
                  <c:v>High</c:v>
                </c:pt>
                <c:pt idx="1">
                  <c:v>Moderate</c:v>
                </c:pt>
                <c:pt idx="2">
                  <c:v>Low</c:v>
                </c:pt>
              </c:strCache>
            </c:strRef>
          </c:cat>
          <c:val>
            <c:numRef>
              <c:f>Analysis!$BB$27:$BB$29</c:f>
              <c:numCache>
                <c:formatCode>0.0%</c:formatCode>
                <c:ptCount val="3"/>
                <c:pt idx="0">
                  <c:v>0.5024392614188532</c:v>
                </c:pt>
                <c:pt idx="1">
                  <c:v>0.4362908011869428</c:v>
                </c:pt>
                <c:pt idx="2">
                  <c:v>0.3457239057239056</c:v>
                </c:pt>
              </c:numCache>
            </c:numRef>
          </c:val>
          <c:extLst>
            <c:ext xmlns:c16="http://schemas.microsoft.com/office/drawing/2014/chart" uri="{C3380CC4-5D6E-409C-BE32-E72D297353CC}">
              <c16:uniqueId val="{00000006-BDE1-4E65-ADCE-BE6269BCB3D1}"/>
            </c:ext>
          </c:extLst>
        </c:ser>
        <c:dLbls>
          <c:showLegendKey val="0"/>
          <c:showVal val="0"/>
          <c:showCatName val="0"/>
          <c:showSerName val="0"/>
          <c:showPercent val="0"/>
          <c:showBubbleSize val="0"/>
          <c:showLeaderLines val="1"/>
        </c:dLbls>
        <c:firstSliceAng val="19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4</xdr:col>
      <xdr:colOff>9526</xdr:colOff>
      <xdr:row>0</xdr:row>
      <xdr:rowOff>19051</xdr:rowOff>
    </xdr:from>
    <xdr:ext cx="1790700" cy="809624"/>
    <xdr:sp macro="" textlink="">
      <xdr:nvSpPr>
        <xdr:cNvPr id="2" name="TextBox 1">
          <a:extLst>
            <a:ext uri="{FF2B5EF4-FFF2-40B4-BE49-F238E27FC236}">
              <a16:creationId xmlns:a16="http://schemas.microsoft.com/office/drawing/2014/main" id="{36A2D91B-3B67-F4BA-C8CF-295D6F0C7618}"/>
            </a:ext>
          </a:extLst>
        </xdr:cNvPr>
        <xdr:cNvSpPr txBox="1"/>
      </xdr:nvSpPr>
      <xdr:spPr>
        <a:xfrm>
          <a:off x="2781301" y="19051"/>
          <a:ext cx="1790700" cy="80962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latin typeface="Arial" panose="020B0604020202020204" pitchFamily="34" charset="0"/>
              <a:cs typeface="Arial" panose="020B0604020202020204" pitchFamily="34" charset="0"/>
            </a:rPr>
            <a:t>Q1</a:t>
          </a:r>
          <a:r>
            <a:rPr lang="en-US" b="1">
              <a:latin typeface="Arial" panose="020B0604020202020204" pitchFamily="34" charset="0"/>
              <a:cs typeface="Arial" panose="020B0604020202020204" pitchFamily="34" charset="0"/>
            </a:rPr>
            <a:t> — Which Lifestyle Factor Has the Strongest Relationship with GPA?</a:t>
          </a:r>
        </a:p>
        <a:p>
          <a:endParaRPr lang="en-NG" sz="1100">
            <a:latin typeface="Arial" panose="020B0604020202020204" pitchFamily="34" charset="0"/>
            <a:cs typeface="Arial" panose="020B0604020202020204" pitchFamily="34" charset="0"/>
          </a:endParaRPr>
        </a:p>
      </xdr:txBody>
    </xdr:sp>
    <xdr:clientData/>
  </xdr:oneCellAnchor>
  <xdr:oneCellAnchor>
    <xdr:from>
      <xdr:col>4</xdr:col>
      <xdr:colOff>38102</xdr:colOff>
      <xdr:row>4</xdr:row>
      <xdr:rowOff>133350</xdr:rowOff>
    </xdr:from>
    <xdr:ext cx="1895473" cy="219075"/>
    <xdr:sp macro="" textlink="">
      <xdr:nvSpPr>
        <xdr:cNvPr id="3" name="TextBox 2">
          <a:extLst>
            <a:ext uri="{FF2B5EF4-FFF2-40B4-BE49-F238E27FC236}">
              <a16:creationId xmlns:a16="http://schemas.microsoft.com/office/drawing/2014/main" id="{9B7939AF-0707-DEFB-7B6B-1967C564400B}"/>
            </a:ext>
          </a:extLst>
        </xdr:cNvPr>
        <xdr:cNvSpPr txBox="1"/>
      </xdr:nvSpPr>
      <xdr:spPr>
        <a:xfrm>
          <a:off x="2809877" y="933450"/>
          <a:ext cx="1895473" cy="219075"/>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900">
              <a:solidFill>
                <a:schemeClr val="tx1"/>
              </a:solidFill>
              <a:latin typeface="Arial" panose="020B0604020202020204" pitchFamily="34" charset="0"/>
              <a:ea typeface="+mn-ea"/>
              <a:cs typeface="Arial" panose="020B0604020202020204" pitchFamily="34" charset="0"/>
            </a:rPr>
            <a:t>Q1a — Study Hours vs Avg GPA</a:t>
          </a:r>
          <a:endParaRPr lang="en-US" sz="900">
            <a:latin typeface="Arial" panose="020B0604020202020204" pitchFamily="34" charset="0"/>
            <a:cs typeface="Arial" panose="020B0604020202020204" pitchFamily="34" charset="0"/>
          </a:endParaRPr>
        </a:p>
        <a:p>
          <a:endParaRPr lang="en-NG" sz="900">
            <a:latin typeface="Arial" panose="020B0604020202020204" pitchFamily="34" charset="0"/>
            <a:cs typeface="Arial" panose="020B0604020202020204" pitchFamily="34" charset="0"/>
          </a:endParaRPr>
        </a:p>
      </xdr:txBody>
    </xdr:sp>
    <xdr:clientData/>
  </xdr:oneCellAnchor>
  <xdr:oneCellAnchor>
    <xdr:from>
      <xdr:col>4</xdr:col>
      <xdr:colOff>2</xdr:colOff>
      <xdr:row>13</xdr:row>
      <xdr:rowOff>123826</xdr:rowOff>
    </xdr:from>
    <xdr:ext cx="2047873" cy="228600"/>
    <xdr:sp macro="" textlink="">
      <xdr:nvSpPr>
        <xdr:cNvPr id="4" name="TextBox 3">
          <a:extLst>
            <a:ext uri="{FF2B5EF4-FFF2-40B4-BE49-F238E27FC236}">
              <a16:creationId xmlns:a16="http://schemas.microsoft.com/office/drawing/2014/main" id="{32E0BCF7-D317-219B-5FB9-C91F586A08EF}"/>
            </a:ext>
          </a:extLst>
        </xdr:cNvPr>
        <xdr:cNvSpPr txBox="1"/>
      </xdr:nvSpPr>
      <xdr:spPr>
        <a:xfrm>
          <a:off x="2771777" y="2638426"/>
          <a:ext cx="2047873" cy="2286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900">
              <a:solidFill>
                <a:schemeClr val="tx1"/>
              </a:solidFill>
              <a:latin typeface="Arial" panose="020B0604020202020204" pitchFamily="34" charset="0"/>
              <a:ea typeface="+mn-ea"/>
              <a:cs typeface="Arial" panose="020B0604020202020204" pitchFamily="34" charset="0"/>
            </a:rPr>
            <a:t>Q1b — Physical_Hour vs Avg GPA</a:t>
          </a:r>
          <a:endParaRPr lang="en-US" sz="900">
            <a:latin typeface="Arial" panose="020B0604020202020204" pitchFamily="34" charset="0"/>
            <a:cs typeface="Arial" panose="020B0604020202020204" pitchFamily="34" charset="0"/>
          </a:endParaRPr>
        </a:p>
        <a:p>
          <a:endParaRPr lang="en-NG" sz="900">
            <a:latin typeface="Arial" panose="020B0604020202020204" pitchFamily="34" charset="0"/>
            <a:cs typeface="Arial" panose="020B0604020202020204" pitchFamily="34" charset="0"/>
          </a:endParaRPr>
        </a:p>
      </xdr:txBody>
    </xdr:sp>
    <xdr:clientData/>
  </xdr:oneCellAnchor>
  <xdr:oneCellAnchor>
    <xdr:from>
      <xdr:col>8</xdr:col>
      <xdr:colOff>19052</xdr:colOff>
      <xdr:row>4</xdr:row>
      <xdr:rowOff>114301</xdr:rowOff>
    </xdr:from>
    <xdr:ext cx="2047873" cy="228600"/>
    <xdr:sp macro="" textlink="">
      <xdr:nvSpPr>
        <xdr:cNvPr id="5" name="TextBox 4">
          <a:extLst>
            <a:ext uri="{FF2B5EF4-FFF2-40B4-BE49-F238E27FC236}">
              <a16:creationId xmlns:a16="http://schemas.microsoft.com/office/drawing/2014/main" id="{5F2012BE-EF17-3209-97E5-C97FF8478EBD}"/>
            </a:ext>
          </a:extLst>
        </xdr:cNvPr>
        <xdr:cNvSpPr txBox="1"/>
      </xdr:nvSpPr>
      <xdr:spPr>
        <a:xfrm>
          <a:off x="6172202" y="914401"/>
          <a:ext cx="2047873" cy="2286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900">
              <a:solidFill>
                <a:schemeClr val="tx1"/>
              </a:solidFill>
              <a:latin typeface="Arial" panose="020B0604020202020204" pitchFamily="34" charset="0"/>
              <a:ea typeface="+mn-ea"/>
              <a:cs typeface="Arial" panose="020B0604020202020204" pitchFamily="34" charset="0"/>
            </a:rPr>
            <a:t>Q1c — Social_Hour vs Avg GPA</a:t>
          </a:r>
          <a:endParaRPr lang="en-US" sz="900">
            <a:latin typeface="Arial" panose="020B0604020202020204" pitchFamily="34" charset="0"/>
            <a:cs typeface="Arial" panose="020B0604020202020204" pitchFamily="34" charset="0"/>
          </a:endParaRPr>
        </a:p>
        <a:p>
          <a:endParaRPr lang="en-NG" sz="900">
            <a:latin typeface="Arial" panose="020B0604020202020204" pitchFamily="34" charset="0"/>
            <a:cs typeface="Arial" panose="020B0604020202020204" pitchFamily="34" charset="0"/>
          </a:endParaRPr>
        </a:p>
      </xdr:txBody>
    </xdr:sp>
    <xdr:clientData/>
  </xdr:oneCellAnchor>
  <xdr:oneCellAnchor>
    <xdr:from>
      <xdr:col>7</xdr:col>
      <xdr:colOff>600077</xdr:colOff>
      <xdr:row>13</xdr:row>
      <xdr:rowOff>114301</xdr:rowOff>
    </xdr:from>
    <xdr:ext cx="2047873" cy="228600"/>
    <xdr:sp macro="" textlink="">
      <xdr:nvSpPr>
        <xdr:cNvPr id="6" name="TextBox 5">
          <a:extLst>
            <a:ext uri="{FF2B5EF4-FFF2-40B4-BE49-F238E27FC236}">
              <a16:creationId xmlns:a16="http://schemas.microsoft.com/office/drawing/2014/main" id="{8211E88B-B21E-E20A-20FA-E2A23F3D6FEC}"/>
            </a:ext>
          </a:extLst>
        </xdr:cNvPr>
        <xdr:cNvSpPr txBox="1"/>
      </xdr:nvSpPr>
      <xdr:spPr>
        <a:xfrm>
          <a:off x="6143627" y="2628901"/>
          <a:ext cx="2047873" cy="2286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900">
              <a:solidFill>
                <a:schemeClr val="tx1"/>
              </a:solidFill>
              <a:latin typeface="Arial" panose="020B0604020202020204" pitchFamily="34" charset="0"/>
              <a:ea typeface="+mn-ea"/>
              <a:cs typeface="Arial" panose="020B0604020202020204" pitchFamily="34" charset="0"/>
            </a:rPr>
            <a:t>Q1d</a:t>
          </a:r>
          <a:r>
            <a:rPr lang="en-US" sz="900" baseline="0">
              <a:solidFill>
                <a:schemeClr val="tx1"/>
              </a:solidFill>
              <a:latin typeface="Arial" panose="020B0604020202020204" pitchFamily="34" charset="0"/>
              <a:ea typeface="+mn-ea"/>
              <a:cs typeface="Arial" panose="020B0604020202020204" pitchFamily="34" charset="0"/>
            </a:rPr>
            <a:t> </a:t>
          </a:r>
          <a:r>
            <a:rPr lang="en-US" sz="900">
              <a:solidFill>
                <a:schemeClr val="tx1"/>
              </a:solidFill>
              <a:latin typeface="Arial" panose="020B0604020202020204" pitchFamily="34" charset="0"/>
              <a:ea typeface="+mn-ea"/>
              <a:cs typeface="Arial" panose="020B0604020202020204" pitchFamily="34" charset="0"/>
            </a:rPr>
            <a:t>— Sleep_Hour vs Avg GPA</a:t>
          </a:r>
          <a:endParaRPr lang="en-US" sz="900">
            <a:latin typeface="Arial" panose="020B0604020202020204" pitchFamily="34" charset="0"/>
            <a:cs typeface="Arial" panose="020B0604020202020204" pitchFamily="34" charset="0"/>
          </a:endParaRPr>
        </a:p>
        <a:p>
          <a:endParaRPr lang="en-NG" sz="900">
            <a:latin typeface="Arial" panose="020B0604020202020204" pitchFamily="34" charset="0"/>
            <a:cs typeface="Arial" panose="020B0604020202020204" pitchFamily="34" charset="0"/>
          </a:endParaRPr>
        </a:p>
      </xdr:txBody>
    </xdr:sp>
    <xdr:clientData/>
  </xdr:oneCellAnchor>
  <xdr:oneCellAnchor>
    <xdr:from>
      <xdr:col>4</xdr:col>
      <xdr:colOff>142877</xdr:colOff>
      <xdr:row>23</xdr:row>
      <xdr:rowOff>19051</xdr:rowOff>
    </xdr:from>
    <xdr:ext cx="2047873" cy="228600"/>
    <xdr:sp macro="" textlink="">
      <xdr:nvSpPr>
        <xdr:cNvPr id="7" name="TextBox 6">
          <a:extLst>
            <a:ext uri="{FF2B5EF4-FFF2-40B4-BE49-F238E27FC236}">
              <a16:creationId xmlns:a16="http://schemas.microsoft.com/office/drawing/2014/main" id="{A8461C3B-0BE7-16BE-FC82-DE0F182A887C}"/>
            </a:ext>
          </a:extLst>
        </xdr:cNvPr>
        <xdr:cNvSpPr txBox="1"/>
      </xdr:nvSpPr>
      <xdr:spPr>
        <a:xfrm>
          <a:off x="2914652" y="4438651"/>
          <a:ext cx="2047873" cy="2286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900">
              <a:solidFill>
                <a:schemeClr val="tx1"/>
              </a:solidFill>
              <a:latin typeface="Arial" panose="020B0604020202020204" pitchFamily="34" charset="0"/>
              <a:ea typeface="+mn-ea"/>
              <a:cs typeface="Arial" panose="020B0604020202020204" pitchFamily="34" charset="0"/>
            </a:rPr>
            <a:t>Q1e</a:t>
          </a:r>
          <a:r>
            <a:rPr lang="en-US" sz="900" baseline="0">
              <a:solidFill>
                <a:schemeClr val="tx1"/>
              </a:solidFill>
              <a:latin typeface="Arial" panose="020B0604020202020204" pitchFamily="34" charset="0"/>
              <a:ea typeface="+mn-ea"/>
              <a:cs typeface="Arial" panose="020B0604020202020204" pitchFamily="34" charset="0"/>
            </a:rPr>
            <a:t> </a:t>
          </a:r>
          <a:r>
            <a:rPr lang="en-US" sz="900">
              <a:solidFill>
                <a:schemeClr val="tx1"/>
              </a:solidFill>
              <a:latin typeface="Arial" panose="020B0604020202020204" pitchFamily="34" charset="0"/>
              <a:ea typeface="+mn-ea"/>
              <a:cs typeface="Arial" panose="020B0604020202020204" pitchFamily="34" charset="0"/>
            </a:rPr>
            <a:t>— ExtraC_Hour vs Avg GPA</a:t>
          </a:r>
          <a:endParaRPr lang="en-US" sz="900">
            <a:latin typeface="Arial" panose="020B0604020202020204" pitchFamily="34" charset="0"/>
            <a:cs typeface="Arial" panose="020B0604020202020204" pitchFamily="34" charset="0"/>
          </a:endParaRPr>
        </a:p>
        <a:p>
          <a:endParaRPr lang="en-NG" sz="900">
            <a:latin typeface="Arial" panose="020B0604020202020204" pitchFamily="34" charset="0"/>
            <a:cs typeface="Arial" panose="020B0604020202020204" pitchFamily="34" charset="0"/>
          </a:endParaRPr>
        </a:p>
      </xdr:txBody>
    </xdr:sp>
    <xdr:clientData/>
  </xdr:oneCellAnchor>
  <xdr:oneCellAnchor>
    <xdr:from>
      <xdr:col>6</xdr:col>
      <xdr:colOff>28576</xdr:colOff>
      <xdr:row>0</xdr:row>
      <xdr:rowOff>28576</xdr:rowOff>
    </xdr:from>
    <xdr:ext cx="2809874" cy="762000"/>
    <xdr:sp macro="" textlink="">
      <xdr:nvSpPr>
        <xdr:cNvPr id="8" name="TextBox 7">
          <a:extLst>
            <a:ext uri="{FF2B5EF4-FFF2-40B4-BE49-F238E27FC236}">
              <a16:creationId xmlns:a16="http://schemas.microsoft.com/office/drawing/2014/main" id="{AA89BCDE-4A8C-D5D8-00F4-D57465CA777C}"/>
            </a:ext>
          </a:extLst>
        </xdr:cNvPr>
        <xdr:cNvSpPr txBox="1"/>
      </xdr:nvSpPr>
      <xdr:spPr>
        <a:xfrm>
          <a:off x="4572001" y="28576"/>
          <a:ext cx="2809874" cy="762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t>The question Q1 is asking is: </a:t>
          </a:r>
          <a:r>
            <a:rPr lang="en-US" b="0">
              <a:latin typeface="Arial" panose="020B0604020202020204" pitchFamily="34" charset="0"/>
              <a:cs typeface="Arial" panose="020B0604020202020204" pitchFamily="34" charset="0"/>
            </a:rPr>
            <a:t>how much does GPA change when you go from the least active end to the most active end of each activity?</a:t>
          </a:r>
          <a:endParaRPr lang="en-NG" sz="1100" b="0">
            <a:latin typeface="Arial" panose="020B0604020202020204" pitchFamily="34" charset="0"/>
            <a:cs typeface="Arial" panose="020B0604020202020204" pitchFamily="34" charset="0"/>
          </a:endParaRPr>
        </a:p>
      </xdr:txBody>
    </xdr:sp>
    <xdr:clientData/>
  </xdr:oneCellAnchor>
  <xdr:oneCellAnchor>
    <xdr:from>
      <xdr:col>7</xdr:col>
      <xdr:colOff>552452</xdr:colOff>
      <xdr:row>22</xdr:row>
      <xdr:rowOff>142876</xdr:rowOff>
    </xdr:from>
    <xdr:ext cx="2047873" cy="228600"/>
    <xdr:sp macro="" textlink="">
      <xdr:nvSpPr>
        <xdr:cNvPr id="9" name="TextBox 8">
          <a:extLst>
            <a:ext uri="{FF2B5EF4-FFF2-40B4-BE49-F238E27FC236}">
              <a16:creationId xmlns:a16="http://schemas.microsoft.com/office/drawing/2014/main" id="{81B93637-E05E-E80D-9FAE-5AA04632C8DC}"/>
            </a:ext>
          </a:extLst>
        </xdr:cNvPr>
        <xdr:cNvSpPr txBox="1"/>
      </xdr:nvSpPr>
      <xdr:spPr>
        <a:xfrm>
          <a:off x="6096002" y="4371976"/>
          <a:ext cx="2047873" cy="2286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50" b="1">
              <a:latin typeface="Arial" panose="020B0604020202020204" pitchFamily="34" charset="0"/>
              <a:cs typeface="Arial" panose="020B0604020202020204" pitchFamily="34" charset="0"/>
            </a:rPr>
            <a:t>CHART</a:t>
          </a:r>
          <a:r>
            <a:rPr lang="en-US" sz="1050" b="1" baseline="0">
              <a:latin typeface="Arial" panose="020B0604020202020204" pitchFamily="34" charset="0"/>
              <a:cs typeface="Arial" panose="020B0604020202020204" pitchFamily="34" charset="0"/>
            </a:rPr>
            <a:t> HELPER TABLE</a:t>
          </a:r>
          <a:endParaRPr lang="en-NG" sz="1050" b="1">
            <a:latin typeface="Arial" panose="020B0604020202020204" pitchFamily="34" charset="0"/>
            <a:cs typeface="Arial" panose="020B0604020202020204" pitchFamily="34" charset="0"/>
          </a:endParaRPr>
        </a:p>
      </xdr:txBody>
    </xdr:sp>
    <xdr:clientData/>
  </xdr:oneCellAnchor>
  <xdr:oneCellAnchor>
    <xdr:from>
      <xdr:col>14</xdr:col>
      <xdr:colOff>28575</xdr:colOff>
      <xdr:row>0</xdr:row>
      <xdr:rowOff>19050</xdr:rowOff>
    </xdr:from>
    <xdr:ext cx="1790700" cy="914400"/>
    <xdr:sp macro="" textlink="">
      <xdr:nvSpPr>
        <xdr:cNvPr id="11" name="TextBox 10">
          <a:extLst>
            <a:ext uri="{FF2B5EF4-FFF2-40B4-BE49-F238E27FC236}">
              <a16:creationId xmlns:a16="http://schemas.microsoft.com/office/drawing/2014/main" id="{E99C2118-54FC-4762-801F-AB7A97E65736}"/>
            </a:ext>
          </a:extLst>
        </xdr:cNvPr>
        <xdr:cNvSpPr txBox="1"/>
      </xdr:nvSpPr>
      <xdr:spPr>
        <a:xfrm>
          <a:off x="11344275" y="19050"/>
          <a:ext cx="1790700" cy="9144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latin typeface="Arial" panose="020B0604020202020204" pitchFamily="34" charset="0"/>
              <a:cs typeface="Arial" panose="020B0604020202020204" pitchFamily="34" charset="0"/>
            </a:rPr>
            <a:t>Q2 — Do Students Who Study More Actually Get Better GPAs?</a:t>
          </a:r>
          <a:endParaRPr lang="en-NG" sz="1400" b="1">
            <a:latin typeface="Arial" panose="020B0604020202020204" pitchFamily="34" charset="0"/>
            <a:cs typeface="Arial" panose="020B0604020202020204" pitchFamily="34" charset="0"/>
          </a:endParaRPr>
        </a:p>
      </xdr:txBody>
    </xdr:sp>
    <xdr:clientData/>
  </xdr:oneCellAnchor>
  <xdr:oneCellAnchor>
    <xdr:from>
      <xdr:col>20</xdr:col>
      <xdr:colOff>295274</xdr:colOff>
      <xdr:row>0</xdr:row>
      <xdr:rowOff>0</xdr:rowOff>
    </xdr:from>
    <xdr:ext cx="2028825" cy="914400"/>
    <xdr:sp macro="" textlink="">
      <xdr:nvSpPr>
        <xdr:cNvPr id="19" name="TextBox 18">
          <a:extLst>
            <a:ext uri="{FF2B5EF4-FFF2-40B4-BE49-F238E27FC236}">
              <a16:creationId xmlns:a16="http://schemas.microsoft.com/office/drawing/2014/main" id="{668DF67A-D8EC-4EEE-8066-BF46C6BB910B}"/>
            </a:ext>
          </a:extLst>
        </xdr:cNvPr>
        <xdr:cNvSpPr txBox="1"/>
      </xdr:nvSpPr>
      <xdr:spPr>
        <a:xfrm>
          <a:off x="16287749" y="0"/>
          <a:ext cx="2028825" cy="9144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t>Q3 — Does Physical Activity Help or Hurt Academic Performance?</a:t>
          </a:r>
          <a:endParaRPr lang="en-NG" sz="1400" b="1">
            <a:latin typeface="Arial" panose="020B0604020202020204" pitchFamily="34" charset="0"/>
            <a:cs typeface="Arial" panose="020B0604020202020204" pitchFamily="34" charset="0"/>
          </a:endParaRPr>
        </a:p>
      </xdr:txBody>
    </xdr:sp>
    <xdr:clientData/>
  </xdr:oneCellAnchor>
  <xdr:oneCellAnchor>
    <xdr:from>
      <xdr:col>26</xdr:col>
      <xdr:colOff>30955</xdr:colOff>
      <xdr:row>0</xdr:row>
      <xdr:rowOff>0</xdr:rowOff>
    </xdr:from>
    <xdr:ext cx="2028825" cy="914400"/>
    <xdr:sp macro="" textlink="">
      <xdr:nvSpPr>
        <xdr:cNvPr id="24" name="TextBox 23">
          <a:extLst>
            <a:ext uri="{FF2B5EF4-FFF2-40B4-BE49-F238E27FC236}">
              <a16:creationId xmlns:a16="http://schemas.microsoft.com/office/drawing/2014/main" id="{9B01A9A0-664A-525A-E350-E7873F785C37}"/>
            </a:ext>
          </a:extLst>
        </xdr:cNvPr>
        <xdr:cNvSpPr txBox="1"/>
      </xdr:nvSpPr>
      <xdr:spPr>
        <a:xfrm>
          <a:off x="21309805" y="0"/>
          <a:ext cx="2028825" cy="9144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t>Q4 — What Is the Stress Profile of High-Performing Students?</a:t>
          </a:r>
          <a:endParaRPr lang="en-NG" sz="1600" b="1">
            <a:latin typeface="Arial" panose="020B0604020202020204" pitchFamily="34" charset="0"/>
            <a:cs typeface="Arial" panose="020B0604020202020204" pitchFamily="34" charset="0"/>
          </a:endParaRPr>
        </a:p>
      </xdr:txBody>
    </xdr:sp>
    <xdr:clientData/>
  </xdr:oneCellAnchor>
  <xdr:oneCellAnchor>
    <xdr:from>
      <xdr:col>28</xdr:col>
      <xdr:colOff>428627</xdr:colOff>
      <xdr:row>0</xdr:row>
      <xdr:rowOff>0</xdr:rowOff>
    </xdr:from>
    <xdr:ext cx="1821654" cy="1107281"/>
    <xdr:sp macro="" textlink="">
      <xdr:nvSpPr>
        <xdr:cNvPr id="26" name="TextBox 25">
          <a:extLst>
            <a:ext uri="{FF2B5EF4-FFF2-40B4-BE49-F238E27FC236}">
              <a16:creationId xmlns:a16="http://schemas.microsoft.com/office/drawing/2014/main" id="{C6B40669-0E05-4CFB-8B26-96B1A6B77586}"/>
            </a:ext>
          </a:extLst>
        </xdr:cNvPr>
        <xdr:cNvSpPr txBox="1"/>
      </xdr:nvSpPr>
      <xdr:spPr>
        <a:xfrm>
          <a:off x="23312440" y="0"/>
          <a:ext cx="1821654" cy="110728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a:latin typeface="Arial" panose="020B0604020202020204" pitchFamily="34" charset="0"/>
              <a:cs typeface="Arial" panose="020B0604020202020204" pitchFamily="34" charset="0"/>
            </a:rPr>
            <a:t>Observation;</a:t>
          </a:r>
        </a:p>
        <a:p>
          <a:r>
            <a:rPr lang="en-US" sz="900" b="0">
              <a:latin typeface="Arial" panose="020B0604020202020204" pitchFamily="34" charset="0"/>
              <a:cs typeface="Arial" panose="020B0604020202020204" pitchFamily="34" charset="0"/>
            </a:rPr>
            <a:t>Why are stds with low stress levels having</a:t>
          </a:r>
          <a:r>
            <a:rPr lang="en-US" sz="900" b="0" baseline="0">
              <a:latin typeface="Arial" panose="020B0604020202020204" pitchFamily="34" charset="0"/>
              <a:cs typeface="Arial" panose="020B0604020202020204" pitchFamily="34" charset="0"/>
            </a:rPr>
            <a:t> the least gpa?</a:t>
          </a:r>
        </a:p>
        <a:p>
          <a:endParaRPr lang="en-US" sz="1000" b="0">
            <a:latin typeface="Arial" panose="020B0604020202020204" pitchFamily="34" charset="0"/>
            <a:cs typeface="Arial" panose="020B0604020202020204" pitchFamily="34" charset="0"/>
          </a:endParaRPr>
        </a:p>
        <a:p>
          <a:r>
            <a:rPr lang="en-US" sz="900" b="0">
              <a:latin typeface="Arial" panose="020B0604020202020204" pitchFamily="34" charset="0"/>
              <a:cs typeface="Arial" panose="020B0604020202020204" pitchFamily="34" charset="0"/>
            </a:rPr>
            <a:t>Stds with high stress levels have high avg gpa's</a:t>
          </a:r>
          <a:r>
            <a:rPr lang="en-US" sz="900" b="0" baseline="0">
              <a:latin typeface="Arial" panose="020B0604020202020204" pitchFamily="34" charset="0"/>
              <a:cs typeface="Arial" panose="020B0604020202020204" pitchFamily="34" charset="0"/>
            </a:rPr>
            <a:t> and highest std count. </a:t>
          </a:r>
          <a:endParaRPr lang="en-NG" sz="900" b="0">
            <a:latin typeface="Arial" panose="020B0604020202020204" pitchFamily="34" charset="0"/>
            <a:cs typeface="Arial" panose="020B0604020202020204" pitchFamily="34" charset="0"/>
          </a:endParaRPr>
        </a:p>
      </xdr:txBody>
    </xdr:sp>
    <xdr:clientData/>
  </xdr:oneCellAnchor>
  <xdr:oneCellAnchor>
    <xdr:from>
      <xdr:col>26</xdr:col>
      <xdr:colOff>561975</xdr:colOff>
      <xdr:row>18</xdr:row>
      <xdr:rowOff>142875</xdr:rowOff>
    </xdr:from>
    <xdr:ext cx="2047873" cy="228600"/>
    <xdr:sp macro="" textlink="">
      <xdr:nvSpPr>
        <xdr:cNvPr id="14" name="TextBox 13">
          <a:extLst>
            <a:ext uri="{FF2B5EF4-FFF2-40B4-BE49-F238E27FC236}">
              <a16:creationId xmlns:a16="http://schemas.microsoft.com/office/drawing/2014/main" id="{48A9E435-1A73-4F59-9C5A-F05028FA72BB}"/>
            </a:ext>
          </a:extLst>
        </xdr:cNvPr>
        <xdr:cNvSpPr txBox="1"/>
      </xdr:nvSpPr>
      <xdr:spPr>
        <a:xfrm>
          <a:off x="22526625" y="3609975"/>
          <a:ext cx="2047873" cy="2286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50" b="1">
              <a:latin typeface="Arial" panose="020B0604020202020204" pitchFamily="34" charset="0"/>
              <a:cs typeface="Arial" panose="020B0604020202020204" pitchFamily="34" charset="0"/>
            </a:rPr>
            <a:t>CHART</a:t>
          </a:r>
          <a:r>
            <a:rPr lang="en-US" sz="1050" b="1" baseline="0">
              <a:latin typeface="Arial" panose="020B0604020202020204" pitchFamily="34" charset="0"/>
              <a:cs typeface="Arial" panose="020B0604020202020204" pitchFamily="34" charset="0"/>
            </a:rPr>
            <a:t> HELPER TABLE</a:t>
          </a:r>
          <a:endParaRPr lang="en-NG" sz="1050" b="1">
            <a:latin typeface="Arial" panose="020B0604020202020204" pitchFamily="34" charset="0"/>
            <a:cs typeface="Arial" panose="020B0604020202020204" pitchFamily="34" charset="0"/>
          </a:endParaRPr>
        </a:p>
      </xdr:txBody>
    </xdr:sp>
    <xdr:clientData/>
  </xdr:oneCellAnchor>
  <xdr:oneCellAnchor>
    <xdr:from>
      <xdr:col>37</xdr:col>
      <xdr:colOff>38101</xdr:colOff>
      <xdr:row>0</xdr:row>
      <xdr:rowOff>28575</xdr:rowOff>
    </xdr:from>
    <xdr:ext cx="1809750" cy="914400"/>
    <xdr:sp macro="" textlink="">
      <xdr:nvSpPr>
        <xdr:cNvPr id="15" name="TextBox 14">
          <a:extLst>
            <a:ext uri="{FF2B5EF4-FFF2-40B4-BE49-F238E27FC236}">
              <a16:creationId xmlns:a16="http://schemas.microsoft.com/office/drawing/2014/main" id="{96FD3D18-1A63-47A8-9B7F-7DBC5485D36C}"/>
            </a:ext>
          </a:extLst>
        </xdr:cNvPr>
        <xdr:cNvSpPr txBox="1"/>
      </xdr:nvSpPr>
      <xdr:spPr>
        <a:xfrm>
          <a:off x="28841701" y="28575"/>
          <a:ext cx="1809750" cy="9144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t>Q5 — Do Socially Active Students Sacrifice GPA?</a:t>
          </a:r>
        </a:p>
        <a:p>
          <a:endParaRPr lang="en-NG" sz="1600" b="1">
            <a:latin typeface="Arial" panose="020B0604020202020204" pitchFamily="34" charset="0"/>
            <a:cs typeface="Arial" panose="020B0604020202020204" pitchFamily="34" charset="0"/>
          </a:endParaRPr>
        </a:p>
      </xdr:txBody>
    </xdr:sp>
    <xdr:clientData/>
  </xdr:oneCellAnchor>
  <xdr:oneCellAnchor>
    <xdr:from>
      <xdr:col>38</xdr:col>
      <xdr:colOff>1314449</xdr:colOff>
      <xdr:row>0</xdr:row>
      <xdr:rowOff>47626</xdr:rowOff>
    </xdr:from>
    <xdr:ext cx="2066925" cy="952500"/>
    <xdr:sp macro="" textlink="">
      <xdr:nvSpPr>
        <xdr:cNvPr id="17" name="TextBox 16">
          <a:extLst>
            <a:ext uri="{FF2B5EF4-FFF2-40B4-BE49-F238E27FC236}">
              <a16:creationId xmlns:a16="http://schemas.microsoft.com/office/drawing/2014/main" id="{C01495D4-BC5F-4B5E-BDC6-A55962F188BC}"/>
            </a:ext>
          </a:extLst>
        </xdr:cNvPr>
        <xdr:cNvSpPr txBox="1"/>
      </xdr:nvSpPr>
      <xdr:spPr>
        <a:xfrm>
          <a:off x="30727649" y="47626"/>
          <a:ext cx="2066925" cy="9525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a:latin typeface="Arial" panose="020B0604020202020204" pitchFamily="34" charset="0"/>
              <a:cs typeface="Arial" panose="020B0604020202020204" pitchFamily="34" charset="0"/>
            </a:rPr>
            <a:t>Observation;</a:t>
          </a:r>
        </a:p>
        <a:p>
          <a:r>
            <a:rPr lang="en-US" sz="1100" b="0">
              <a:latin typeface="Arial" panose="020B0604020202020204" pitchFamily="34" charset="0"/>
              <a:cs typeface="Arial" panose="020B0604020202020204" pitchFamily="34" charset="0"/>
            </a:rPr>
            <a:t>Nope, socially active</a:t>
          </a:r>
          <a:r>
            <a:rPr lang="en-US" sz="1100" b="0" baseline="0">
              <a:latin typeface="Arial" panose="020B0604020202020204" pitchFamily="34" charset="0"/>
              <a:cs typeface="Arial" panose="020B0604020202020204" pitchFamily="34" charset="0"/>
            </a:rPr>
            <a:t> students don't sacfrice their gpa. </a:t>
          </a:r>
        </a:p>
        <a:p>
          <a:r>
            <a:rPr lang="en-US" sz="1100" b="0" baseline="0">
              <a:latin typeface="Arial" panose="020B0604020202020204" pitchFamily="34" charset="0"/>
              <a:cs typeface="Arial" panose="020B0604020202020204" pitchFamily="34" charset="0"/>
            </a:rPr>
            <a:t>Stds in this category are all above average students.</a:t>
          </a:r>
          <a:endParaRPr lang="en-US" sz="1100" b="0">
            <a:latin typeface="Arial" panose="020B0604020202020204" pitchFamily="34" charset="0"/>
            <a:cs typeface="Arial" panose="020B0604020202020204" pitchFamily="34" charset="0"/>
          </a:endParaRPr>
        </a:p>
      </xdr:txBody>
    </xdr:sp>
    <xdr:clientData/>
  </xdr:oneCellAnchor>
  <xdr:oneCellAnchor>
    <xdr:from>
      <xdr:col>41</xdr:col>
      <xdr:colOff>1</xdr:colOff>
      <xdr:row>16</xdr:row>
      <xdr:rowOff>0</xdr:rowOff>
    </xdr:from>
    <xdr:ext cx="2038350" cy="1219200"/>
    <xdr:sp macro="" textlink="">
      <xdr:nvSpPr>
        <xdr:cNvPr id="28" name="TextBox 27">
          <a:extLst>
            <a:ext uri="{FF2B5EF4-FFF2-40B4-BE49-F238E27FC236}">
              <a16:creationId xmlns:a16="http://schemas.microsoft.com/office/drawing/2014/main" id="{5A1D48B1-9847-41A5-94CB-C01241651D15}"/>
            </a:ext>
          </a:extLst>
        </xdr:cNvPr>
        <xdr:cNvSpPr txBox="1"/>
      </xdr:nvSpPr>
      <xdr:spPr>
        <a:xfrm>
          <a:off x="32061151" y="3086100"/>
          <a:ext cx="2038350" cy="12192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a:latin typeface="Arial" panose="020B0604020202020204" pitchFamily="34" charset="0"/>
              <a:cs typeface="Arial" panose="020B0604020202020204" pitchFamily="34" charset="0"/>
            </a:rPr>
            <a:t>For</a:t>
          </a:r>
          <a:r>
            <a:rPr lang="en-US" sz="1100" b="0" baseline="0">
              <a:latin typeface="Arial" panose="020B0604020202020204" pitchFamily="34" charset="0"/>
              <a:cs typeface="Arial" panose="020B0604020202020204" pitchFamily="34" charset="0"/>
            </a:rPr>
            <a:t> the chart, consider highlighting the highest and least bars with dashboard color.</a:t>
          </a:r>
          <a:br>
            <a:rPr lang="en-US" sz="1100" b="0" baseline="0">
              <a:latin typeface="Arial" panose="020B0604020202020204" pitchFamily="34" charset="0"/>
              <a:cs typeface="Arial" panose="020B0604020202020204" pitchFamily="34" charset="0"/>
            </a:rPr>
          </a:br>
          <a:r>
            <a:rPr lang="en-US" sz="1100" b="0" baseline="0">
              <a:latin typeface="Arial" panose="020B0604020202020204" pitchFamily="34" charset="0"/>
              <a:cs typeface="Arial" panose="020B0604020202020204" pitchFamily="34" charset="0"/>
            </a:rPr>
            <a:t>Also leave only data labels of intrest - 1st and last. </a:t>
          </a:r>
          <a:endParaRPr lang="en-US" sz="1100" b="0">
            <a:latin typeface="Arial" panose="020B0604020202020204" pitchFamily="34" charset="0"/>
            <a:cs typeface="Arial" panose="020B0604020202020204" pitchFamily="34" charset="0"/>
          </a:endParaRPr>
        </a:p>
      </xdr:txBody>
    </xdr:sp>
    <xdr:clientData/>
  </xdr:oneCellAnchor>
  <xdr:oneCellAnchor>
    <xdr:from>
      <xdr:col>45</xdr:col>
      <xdr:colOff>95250</xdr:colOff>
      <xdr:row>0</xdr:row>
      <xdr:rowOff>9525</xdr:rowOff>
    </xdr:from>
    <xdr:ext cx="1809750" cy="942975"/>
    <xdr:sp macro="" textlink="">
      <xdr:nvSpPr>
        <xdr:cNvPr id="30" name="TextBox 29">
          <a:extLst>
            <a:ext uri="{FF2B5EF4-FFF2-40B4-BE49-F238E27FC236}">
              <a16:creationId xmlns:a16="http://schemas.microsoft.com/office/drawing/2014/main" id="{DD448F71-CC89-4AC1-B044-7E9E9B242BD7}"/>
            </a:ext>
          </a:extLst>
        </xdr:cNvPr>
        <xdr:cNvSpPr txBox="1"/>
      </xdr:nvSpPr>
      <xdr:spPr>
        <a:xfrm>
          <a:off x="34880550" y="9525"/>
          <a:ext cx="1809750" cy="942975"/>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NG" sz="1600" b="1">
              <a:latin typeface="Arial" panose="020B0604020202020204" pitchFamily="34" charset="0"/>
              <a:cs typeface="Arial" panose="020B0604020202020204" pitchFamily="34" charset="0"/>
            </a:rPr>
            <a:t>Q6 — Does the Balanced Student Exist?</a:t>
          </a:r>
        </a:p>
      </xdr:txBody>
    </xdr:sp>
    <xdr:clientData/>
  </xdr:oneCellAnchor>
  <xdr:oneCellAnchor>
    <xdr:from>
      <xdr:col>45</xdr:col>
      <xdr:colOff>47625</xdr:colOff>
      <xdr:row>20</xdr:row>
      <xdr:rowOff>133350</xdr:rowOff>
    </xdr:from>
    <xdr:ext cx="2047873" cy="228600"/>
    <xdr:sp macro="" textlink="">
      <xdr:nvSpPr>
        <xdr:cNvPr id="16" name="TextBox 15">
          <a:extLst>
            <a:ext uri="{FF2B5EF4-FFF2-40B4-BE49-F238E27FC236}">
              <a16:creationId xmlns:a16="http://schemas.microsoft.com/office/drawing/2014/main" id="{7B237817-1065-4A97-8BFF-20B82A6160BB}"/>
            </a:ext>
          </a:extLst>
        </xdr:cNvPr>
        <xdr:cNvSpPr txBox="1"/>
      </xdr:nvSpPr>
      <xdr:spPr>
        <a:xfrm>
          <a:off x="35880675" y="3981450"/>
          <a:ext cx="2047873" cy="2286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50" b="1">
              <a:latin typeface="Arial" panose="020B0604020202020204" pitchFamily="34" charset="0"/>
              <a:cs typeface="Arial" panose="020B0604020202020204" pitchFamily="34" charset="0"/>
            </a:rPr>
            <a:t>CHART</a:t>
          </a:r>
          <a:r>
            <a:rPr lang="en-US" sz="1050" b="1" baseline="0">
              <a:latin typeface="Arial" panose="020B0604020202020204" pitchFamily="34" charset="0"/>
              <a:cs typeface="Arial" panose="020B0604020202020204" pitchFamily="34" charset="0"/>
            </a:rPr>
            <a:t> HELPER TABLE</a:t>
          </a:r>
          <a:endParaRPr lang="en-NG" sz="1050" b="1">
            <a:latin typeface="Arial" panose="020B0604020202020204" pitchFamily="34" charset="0"/>
            <a:cs typeface="Arial" panose="020B0604020202020204" pitchFamily="34" charset="0"/>
          </a:endParaRPr>
        </a:p>
      </xdr:txBody>
    </xdr:sp>
    <xdr:clientData/>
  </xdr:oneCellAnchor>
  <xdr:oneCellAnchor>
    <xdr:from>
      <xdr:col>46</xdr:col>
      <xdr:colOff>866776</xdr:colOff>
      <xdr:row>0</xdr:row>
      <xdr:rowOff>0</xdr:rowOff>
    </xdr:from>
    <xdr:ext cx="2400299" cy="1171575"/>
    <xdr:sp macro="" textlink="">
      <xdr:nvSpPr>
        <xdr:cNvPr id="13" name="TextBox 12">
          <a:extLst>
            <a:ext uri="{FF2B5EF4-FFF2-40B4-BE49-F238E27FC236}">
              <a16:creationId xmlns:a16="http://schemas.microsoft.com/office/drawing/2014/main" id="{B4F8DEE2-1AB3-43E7-EAF4-E82BD850EA0E}"/>
            </a:ext>
          </a:extLst>
        </xdr:cNvPr>
        <xdr:cNvSpPr txBox="1"/>
      </xdr:nvSpPr>
      <xdr:spPr>
        <a:xfrm>
          <a:off x="37109401" y="0"/>
          <a:ext cx="2400299" cy="1171575"/>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1">
              <a:latin typeface="Arial" panose="020B0604020202020204" pitchFamily="34" charset="0"/>
              <a:cs typeface="Arial" panose="020B0604020202020204" pitchFamily="34" charset="0"/>
            </a:rPr>
            <a:t>OBSERVATION</a:t>
          </a:r>
          <a:r>
            <a:rPr lang="en-US" sz="1050" b="1">
              <a:latin typeface="Arial" panose="020B0604020202020204" pitchFamily="34" charset="0"/>
              <a:cs typeface="Arial" panose="020B0604020202020204" pitchFamily="34" charset="0"/>
            </a:rPr>
            <a:t>;</a:t>
          </a:r>
          <a:br>
            <a:rPr lang="en-US" sz="1050" b="1">
              <a:latin typeface="Arial" panose="020B0604020202020204" pitchFamily="34" charset="0"/>
              <a:cs typeface="Arial" panose="020B0604020202020204" pitchFamily="34" charset="0"/>
            </a:rPr>
          </a:br>
          <a:br>
            <a:rPr lang="en-US" sz="1050" b="1">
              <a:latin typeface="Arial" panose="020B0604020202020204" pitchFamily="34" charset="0"/>
              <a:cs typeface="Arial" panose="020B0604020202020204" pitchFamily="34" charset="0"/>
            </a:rPr>
          </a:br>
          <a:r>
            <a:rPr lang="en-US" sz="1050" b="0">
              <a:latin typeface="Arial" panose="020B0604020202020204" pitchFamily="34" charset="0"/>
              <a:cs typeface="Arial" panose="020B0604020202020204" pitchFamily="34" charset="0"/>
            </a:rPr>
            <a:t>Only</a:t>
          </a:r>
          <a:r>
            <a:rPr lang="en-US" sz="1050" b="0" baseline="0">
              <a:latin typeface="Arial" panose="020B0604020202020204" pitchFamily="34" charset="0"/>
              <a:cs typeface="Arial" panose="020B0604020202020204" pitchFamily="34" charset="0"/>
            </a:rPr>
            <a:t> 1.8% of students in the "Above Average" category can be said to be balanced. </a:t>
          </a:r>
          <a:br>
            <a:rPr lang="en-US" sz="1050" b="0" baseline="0">
              <a:latin typeface="Arial" panose="020B0604020202020204" pitchFamily="34" charset="0"/>
              <a:cs typeface="Arial" panose="020B0604020202020204" pitchFamily="34" charset="0"/>
            </a:rPr>
          </a:br>
          <a:r>
            <a:rPr lang="en-US" sz="1050" b="0" baseline="0">
              <a:latin typeface="Arial" panose="020B0604020202020204" pitchFamily="34" charset="0"/>
              <a:cs typeface="Arial" panose="020B0604020202020204" pitchFamily="34" charset="0"/>
            </a:rPr>
            <a:t>For the high performers, there are no balanced students.</a:t>
          </a:r>
          <a:endParaRPr lang="en-NG" sz="1050" b="0">
            <a:latin typeface="Arial" panose="020B0604020202020204" pitchFamily="34" charset="0"/>
            <a:cs typeface="Arial" panose="020B0604020202020204" pitchFamily="34" charset="0"/>
          </a:endParaRPr>
        </a:p>
      </xdr:txBody>
    </xdr:sp>
    <xdr:clientData/>
  </xdr:oneCellAnchor>
  <xdr:oneCellAnchor>
    <xdr:from>
      <xdr:col>51</xdr:col>
      <xdr:colOff>66675</xdr:colOff>
      <xdr:row>0</xdr:row>
      <xdr:rowOff>0</xdr:rowOff>
    </xdr:from>
    <xdr:ext cx="2266950" cy="942975"/>
    <xdr:sp macro="" textlink="">
      <xdr:nvSpPr>
        <xdr:cNvPr id="27" name="TextBox 26">
          <a:extLst>
            <a:ext uri="{FF2B5EF4-FFF2-40B4-BE49-F238E27FC236}">
              <a16:creationId xmlns:a16="http://schemas.microsoft.com/office/drawing/2014/main" id="{8E63D50B-5A0F-42B9-A503-1AF807BCEC18}"/>
            </a:ext>
          </a:extLst>
        </xdr:cNvPr>
        <xdr:cNvSpPr txBox="1"/>
      </xdr:nvSpPr>
      <xdr:spPr>
        <a:xfrm>
          <a:off x="40595550" y="0"/>
          <a:ext cx="2266950" cy="942975"/>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t>Q7 — How Do Students Distribute Time Across the Day by Stress Level?</a:t>
          </a:r>
          <a:endParaRPr lang="en-NG" sz="1600" b="1">
            <a:latin typeface="Arial" panose="020B0604020202020204" pitchFamily="34" charset="0"/>
            <a:cs typeface="Arial" panose="020B0604020202020204" pitchFamily="34" charset="0"/>
          </a:endParaRPr>
        </a:p>
      </xdr:txBody>
    </xdr:sp>
    <xdr:clientData/>
  </xdr:oneCellAnchor>
  <xdr:oneCellAnchor>
    <xdr:from>
      <xdr:col>54</xdr:col>
      <xdr:colOff>238125</xdr:colOff>
      <xdr:row>18</xdr:row>
      <xdr:rowOff>171452</xdr:rowOff>
    </xdr:from>
    <xdr:ext cx="1571625" cy="742949"/>
    <xdr:sp macro="" textlink="">
      <xdr:nvSpPr>
        <xdr:cNvPr id="29" name="TextBox 28">
          <a:extLst>
            <a:ext uri="{FF2B5EF4-FFF2-40B4-BE49-F238E27FC236}">
              <a16:creationId xmlns:a16="http://schemas.microsoft.com/office/drawing/2014/main" id="{67A74A71-38D6-40BD-848B-89C19C73126F}"/>
            </a:ext>
          </a:extLst>
        </xdr:cNvPr>
        <xdr:cNvSpPr txBox="1"/>
      </xdr:nvSpPr>
      <xdr:spPr>
        <a:xfrm>
          <a:off x="43529250" y="3636171"/>
          <a:ext cx="1571625" cy="742949"/>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a:t>Q7b — Study Hours as Share of Productive Time</a:t>
          </a:r>
          <a:endParaRPr lang="en-NG" sz="1400" b="1">
            <a:latin typeface="Arial" panose="020B0604020202020204" pitchFamily="34" charset="0"/>
            <a:cs typeface="Arial" panose="020B0604020202020204" pitchFamily="34" charset="0"/>
          </a:endParaRPr>
        </a:p>
      </xdr:txBody>
    </xdr:sp>
    <xdr:clientData/>
  </xdr:oneCellAnchor>
  <xdr:oneCellAnchor>
    <xdr:from>
      <xdr:col>54</xdr:col>
      <xdr:colOff>311943</xdr:colOff>
      <xdr:row>22</xdr:row>
      <xdr:rowOff>150019</xdr:rowOff>
    </xdr:from>
    <xdr:ext cx="4000500" cy="1952625"/>
    <xdr:sp macro="" textlink="">
      <xdr:nvSpPr>
        <xdr:cNvPr id="31" name="TextBox 30">
          <a:extLst>
            <a:ext uri="{FF2B5EF4-FFF2-40B4-BE49-F238E27FC236}">
              <a16:creationId xmlns:a16="http://schemas.microsoft.com/office/drawing/2014/main" id="{05B120C2-8BD8-4F0F-7263-E4F46AE8F0DA}"/>
            </a:ext>
          </a:extLst>
        </xdr:cNvPr>
        <xdr:cNvSpPr txBox="1"/>
      </xdr:nvSpPr>
      <xdr:spPr>
        <a:xfrm>
          <a:off x="43603068" y="4376738"/>
          <a:ext cx="4000500" cy="1952625"/>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900" b="1" baseline="0">
              <a:latin typeface="Arial" panose="020B0604020202020204" pitchFamily="34" charset="0"/>
              <a:cs typeface="Arial" panose="020B0604020202020204" pitchFamily="34" charset="0"/>
            </a:rPr>
            <a:t>This question/2nd P.T answers the question and observation made in Q.4;</a:t>
          </a:r>
        </a:p>
        <a:p>
          <a:endParaRPr lang="en-US" sz="900" b="0" baseline="0">
            <a:solidFill>
              <a:schemeClr val="tx1"/>
            </a:solidFill>
            <a:effectLst/>
            <a:latin typeface="Arial" panose="020B0604020202020204" pitchFamily="34" charset="0"/>
            <a:ea typeface="+mn-ea"/>
            <a:cs typeface="Arial" panose="020B0604020202020204" pitchFamily="34" charset="0"/>
          </a:endParaRPr>
        </a:p>
        <a:p>
          <a:r>
            <a:rPr lang="en-NG" sz="900">
              <a:solidFill>
                <a:schemeClr val="tx1"/>
              </a:solidFill>
              <a:effectLst/>
              <a:latin typeface="+mn-lt"/>
              <a:ea typeface="+mn-ea"/>
              <a:cs typeface="+mn-cs"/>
            </a:rPr>
            <a:t>My observation; Students with high stress levels are the high performers, so I asked; </a:t>
          </a:r>
        </a:p>
        <a:p>
          <a:r>
            <a:rPr lang="en-NG" sz="900">
              <a:solidFill>
                <a:schemeClr val="tx1"/>
              </a:solidFill>
              <a:effectLst/>
              <a:latin typeface="+mn-lt"/>
              <a:ea typeface="+mn-ea"/>
              <a:cs typeface="+mn-cs"/>
            </a:rPr>
            <a:t>Is there a way to determine or find out the exact activity inducing the stress/increasing the stress level?</a:t>
          </a:r>
        </a:p>
        <a:p>
          <a:r>
            <a:rPr lang="en-NG" sz="900">
              <a:solidFill>
                <a:schemeClr val="tx1"/>
              </a:solidFill>
              <a:effectLst/>
              <a:latin typeface="+mn-lt"/>
              <a:ea typeface="+mn-ea"/>
              <a:cs typeface="+mn-cs"/>
            </a:rPr>
            <a:t>My reason for this line of thought - I want to know if the stress is caused by increased study hour alone (seeing that they are majorly high performers) or the stress is caused by juggling more than one activity and still maintaining a good grade. </a:t>
          </a:r>
          <a:endParaRPr lang="en-US" sz="900">
            <a:solidFill>
              <a:schemeClr val="tx1"/>
            </a:solidFill>
            <a:effectLst/>
            <a:latin typeface="+mn-lt"/>
            <a:ea typeface="+mn-ea"/>
            <a:cs typeface="+mn-cs"/>
          </a:endParaRPr>
        </a:p>
        <a:p>
          <a:endParaRPr lang="en-US" sz="900" b="0" baseline="0">
            <a:solidFill>
              <a:schemeClr val="tx1"/>
            </a:solidFill>
            <a:effectLst/>
            <a:latin typeface="+mn-lt"/>
            <a:ea typeface="+mn-ea"/>
            <a:cs typeface="+mn-cs"/>
          </a:endParaRPr>
        </a:p>
        <a:p>
          <a:r>
            <a:rPr lang="en-US" sz="900" b="1" baseline="0">
              <a:solidFill>
                <a:schemeClr val="tx1"/>
              </a:solidFill>
              <a:effectLst/>
              <a:latin typeface="+mn-lt"/>
              <a:ea typeface="+mn-ea"/>
              <a:cs typeface="+mn-cs"/>
            </a:rPr>
            <a:t>Turns out studying is the stress culprit and not trying to place all activities.</a:t>
          </a:r>
          <a:endParaRPr lang="en-NG" sz="600" b="1" baseline="0">
            <a:latin typeface="Arial" panose="020B0604020202020204" pitchFamily="34" charset="0"/>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170962</xdr:colOff>
      <xdr:row>0</xdr:row>
      <xdr:rowOff>158750</xdr:rowOff>
    </xdr:from>
    <xdr:to>
      <xdr:col>3</xdr:col>
      <xdr:colOff>165345</xdr:colOff>
      <xdr:row>43</xdr:row>
      <xdr:rowOff>23586</xdr:rowOff>
    </xdr:to>
    <xdr:sp macro="" textlink="">
      <xdr:nvSpPr>
        <xdr:cNvPr id="2" name="Rectangle: Rounded Corners 1">
          <a:extLst>
            <a:ext uri="{FF2B5EF4-FFF2-40B4-BE49-F238E27FC236}">
              <a16:creationId xmlns:a16="http://schemas.microsoft.com/office/drawing/2014/main" id="{E614C75B-C5CB-F21A-833E-63A7FEDEC470}"/>
            </a:ext>
          </a:extLst>
        </xdr:cNvPr>
        <xdr:cNvSpPr/>
      </xdr:nvSpPr>
      <xdr:spPr>
        <a:xfrm>
          <a:off x="170962" y="158750"/>
          <a:ext cx="1826114" cy="8266374"/>
        </a:xfrm>
        <a:prstGeom prst="roundRect">
          <a:avLst>
            <a:gd name="adj" fmla="val 6677"/>
          </a:avLst>
        </a:prstGeom>
        <a:solidFill>
          <a:schemeClr val="tx1">
            <a:lumMod val="50000"/>
            <a:lumOff val="50000"/>
          </a:schemeClr>
        </a:solidFill>
        <a:ln>
          <a:noFill/>
        </a:ln>
        <a:effectLst>
          <a:outerShdw blurRad="63500" sx="80000" sy="80000" algn="ctr" rotWithShape="0">
            <a:srgbClr val="01A7E1">
              <a:alpha val="79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0</xdr:col>
      <xdr:colOff>213458</xdr:colOff>
      <xdr:row>13</xdr:row>
      <xdr:rowOff>61058</xdr:rowOff>
    </xdr:from>
    <xdr:to>
      <xdr:col>3</xdr:col>
      <xdr:colOff>140188</xdr:colOff>
      <xdr:row>15</xdr:row>
      <xdr:rowOff>66918</xdr:rowOff>
    </xdr:to>
    <xdr:sp macro="" textlink="">
      <xdr:nvSpPr>
        <xdr:cNvPr id="69" name="Rectangle: Rounded Corners 68">
          <a:extLst>
            <a:ext uri="{FF2B5EF4-FFF2-40B4-BE49-F238E27FC236}">
              <a16:creationId xmlns:a16="http://schemas.microsoft.com/office/drawing/2014/main" id="{8BD4DB27-4ACB-25CA-62AF-4B5CA35C19D0}"/>
            </a:ext>
          </a:extLst>
        </xdr:cNvPr>
        <xdr:cNvSpPr/>
      </xdr:nvSpPr>
      <xdr:spPr>
        <a:xfrm>
          <a:off x="213458" y="2601058"/>
          <a:ext cx="1758461" cy="396629"/>
        </a:xfrm>
        <a:prstGeom prst="roundRect">
          <a:avLst>
            <a:gd name="adj" fmla="val 25507"/>
          </a:avLst>
        </a:prstGeom>
        <a:solidFill>
          <a:srgbClr val="E0E8F5"/>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0</xdr:col>
      <xdr:colOff>207107</xdr:colOff>
      <xdr:row>35</xdr:row>
      <xdr:rowOff>36633</xdr:rowOff>
    </xdr:from>
    <xdr:to>
      <xdr:col>3</xdr:col>
      <xdr:colOff>133837</xdr:colOff>
      <xdr:row>41</xdr:row>
      <xdr:rowOff>85481</xdr:rowOff>
    </xdr:to>
    <xdr:sp macro="" textlink="">
      <xdr:nvSpPr>
        <xdr:cNvPr id="57" name="Rectangle: Rounded Corners 56">
          <a:extLst>
            <a:ext uri="{FF2B5EF4-FFF2-40B4-BE49-F238E27FC236}">
              <a16:creationId xmlns:a16="http://schemas.microsoft.com/office/drawing/2014/main" id="{0845C508-1E14-81CB-073A-34AD0405BBF5}"/>
            </a:ext>
          </a:extLst>
        </xdr:cNvPr>
        <xdr:cNvSpPr/>
      </xdr:nvSpPr>
      <xdr:spPr>
        <a:xfrm>
          <a:off x="207107" y="6875095"/>
          <a:ext cx="1758461" cy="1221155"/>
        </a:xfrm>
        <a:prstGeom prst="roundRect">
          <a:avLst>
            <a:gd name="adj" fmla="val 8959"/>
          </a:avLst>
        </a:prstGeom>
        <a:solidFill>
          <a:srgbClr val="E0E8F5"/>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0</xdr:col>
      <xdr:colOff>201246</xdr:colOff>
      <xdr:row>24</xdr:row>
      <xdr:rowOff>131637</xdr:rowOff>
    </xdr:from>
    <xdr:to>
      <xdr:col>3</xdr:col>
      <xdr:colOff>127976</xdr:colOff>
      <xdr:row>34</xdr:row>
      <xdr:rowOff>170961</xdr:rowOff>
    </xdr:to>
    <xdr:sp macro="" textlink="">
      <xdr:nvSpPr>
        <xdr:cNvPr id="56" name="Rectangle: Rounded Corners 55">
          <a:extLst>
            <a:ext uri="{FF2B5EF4-FFF2-40B4-BE49-F238E27FC236}">
              <a16:creationId xmlns:a16="http://schemas.microsoft.com/office/drawing/2014/main" id="{F31DC131-C855-3E6F-C552-5F0827DE7DD8}"/>
            </a:ext>
          </a:extLst>
        </xdr:cNvPr>
        <xdr:cNvSpPr/>
      </xdr:nvSpPr>
      <xdr:spPr>
        <a:xfrm>
          <a:off x="201246" y="4820868"/>
          <a:ext cx="1758461" cy="1993170"/>
        </a:xfrm>
        <a:prstGeom prst="roundRect">
          <a:avLst>
            <a:gd name="adj" fmla="val 5042"/>
          </a:avLst>
        </a:prstGeom>
        <a:solidFill>
          <a:srgbClr val="E0E8F5"/>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0</xdr:col>
      <xdr:colOff>195385</xdr:colOff>
      <xdr:row>16</xdr:row>
      <xdr:rowOff>12211</xdr:rowOff>
    </xdr:from>
    <xdr:to>
      <xdr:col>3</xdr:col>
      <xdr:colOff>122115</xdr:colOff>
      <xdr:row>24</xdr:row>
      <xdr:rowOff>61057</xdr:rowOff>
    </xdr:to>
    <xdr:sp macro="" textlink="">
      <xdr:nvSpPr>
        <xdr:cNvPr id="55" name="Rectangle: Rounded Corners 54">
          <a:extLst>
            <a:ext uri="{FF2B5EF4-FFF2-40B4-BE49-F238E27FC236}">
              <a16:creationId xmlns:a16="http://schemas.microsoft.com/office/drawing/2014/main" id="{8ACBEBF2-1252-FB45-7C5E-4C4E552F2A3E}"/>
            </a:ext>
          </a:extLst>
        </xdr:cNvPr>
        <xdr:cNvSpPr/>
      </xdr:nvSpPr>
      <xdr:spPr>
        <a:xfrm>
          <a:off x="195385" y="3138365"/>
          <a:ext cx="1758461" cy="1611923"/>
        </a:xfrm>
        <a:prstGeom prst="roundRect">
          <a:avLst>
            <a:gd name="adj" fmla="val 3689"/>
          </a:avLst>
        </a:prstGeom>
        <a:solidFill>
          <a:srgbClr val="E0E8F5"/>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3</xdr:col>
      <xdr:colOff>309197</xdr:colOff>
      <xdr:row>0</xdr:row>
      <xdr:rowOff>159293</xdr:rowOff>
    </xdr:from>
    <xdr:to>
      <xdr:col>26</xdr:col>
      <xdr:colOff>66920</xdr:colOff>
      <xdr:row>42</xdr:row>
      <xdr:rowOff>195012</xdr:rowOff>
    </xdr:to>
    <xdr:sp macro="" textlink="">
      <xdr:nvSpPr>
        <xdr:cNvPr id="3" name="Rectangle: Rounded Corners 2">
          <a:extLst>
            <a:ext uri="{FF2B5EF4-FFF2-40B4-BE49-F238E27FC236}">
              <a16:creationId xmlns:a16="http://schemas.microsoft.com/office/drawing/2014/main" id="{2777C19A-274E-6EB8-5C26-93EF00F08A3C}"/>
            </a:ext>
          </a:extLst>
        </xdr:cNvPr>
        <xdr:cNvSpPr/>
      </xdr:nvSpPr>
      <xdr:spPr>
        <a:xfrm>
          <a:off x="2140928" y="159293"/>
          <a:ext cx="13800992" cy="8241873"/>
        </a:xfrm>
        <a:prstGeom prst="roundRect">
          <a:avLst>
            <a:gd name="adj" fmla="val 2338"/>
          </a:avLst>
        </a:prstGeom>
        <a:solidFill>
          <a:schemeClr val="tx1">
            <a:lumMod val="50000"/>
            <a:lumOff val="50000"/>
          </a:schemeClr>
        </a:solidFill>
        <a:ln>
          <a:noFill/>
        </a:ln>
        <a:effectLst>
          <a:outerShdw blurRad="63500" sx="80000" sy="80000" algn="ctr" rotWithShape="0">
            <a:srgbClr val="01A7E1">
              <a:alpha val="79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3</xdr:col>
      <xdr:colOff>368727</xdr:colOff>
      <xdr:row>6</xdr:row>
      <xdr:rowOff>159294</xdr:rowOff>
    </xdr:from>
    <xdr:to>
      <xdr:col>7</xdr:col>
      <xdr:colOff>96286</xdr:colOff>
      <xdr:row>13</xdr:row>
      <xdr:rowOff>82972</xdr:rowOff>
    </xdr:to>
    <xdr:sp macro="" textlink="">
      <xdr:nvSpPr>
        <xdr:cNvPr id="4" name="Rectangle: Rounded Corners 3">
          <a:extLst>
            <a:ext uri="{FF2B5EF4-FFF2-40B4-BE49-F238E27FC236}">
              <a16:creationId xmlns:a16="http://schemas.microsoft.com/office/drawing/2014/main" id="{CA629CB3-B085-88F5-EDE3-1B2711AD3D2C}"/>
            </a:ext>
          </a:extLst>
        </xdr:cNvPr>
        <xdr:cNvSpPr/>
      </xdr:nvSpPr>
      <xdr:spPr>
        <a:xfrm>
          <a:off x="2200458" y="1331602"/>
          <a:ext cx="2169866" cy="129137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3</xdr:col>
      <xdr:colOff>368727</xdr:colOff>
      <xdr:row>13</xdr:row>
      <xdr:rowOff>192632</xdr:rowOff>
    </xdr:from>
    <xdr:to>
      <xdr:col>7</xdr:col>
      <xdr:colOff>96286</xdr:colOff>
      <xdr:row>20</xdr:row>
      <xdr:rowOff>121195</xdr:rowOff>
    </xdr:to>
    <xdr:sp macro="" textlink="">
      <xdr:nvSpPr>
        <xdr:cNvPr id="5" name="Rectangle: Rounded Corners 4">
          <a:extLst>
            <a:ext uri="{FF2B5EF4-FFF2-40B4-BE49-F238E27FC236}">
              <a16:creationId xmlns:a16="http://schemas.microsoft.com/office/drawing/2014/main" id="{89191890-CCF1-FDEE-A709-433F448041FC}"/>
            </a:ext>
          </a:extLst>
        </xdr:cNvPr>
        <xdr:cNvSpPr/>
      </xdr:nvSpPr>
      <xdr:spPr>
        <a:xfrm>
          <a:off x="2200458" y="2732632"/>
          <a:ext cx="2169866" cy="1296255"/>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3</xdr:col>
      <xdr:colOff>368727</xdr:colOff>
      <xdr:row>21</xdr:row>
      <xdr:rowOff>30586</xdr:rowOff>
    </xdr:from>
    <xdr:to>
      <xdr:col>7</xdr:col>
      <xdr:colOff>96286</xdr:colOff>
      <xdr:row>27</xdr:row>
      <xdr:rowOff>154532</xdr:rowOff>
    </xdr:to>
    <xdr:sp macro="" textlink="">
      <xdr:nvSpPr>
        <xdr:cNvPr id="6" name="Rectangle: Rounded Corners 5">
          <a:extLst>
            <a:ext uri="{FF2B5EF4-FFF2-40B4-BE49-F238E27FC236}">
              <a16:creationId xmlns:a16="http://schemas.microsoft.com/office/drawing/2014/main" id="{50F401DA-1D8D-59C9-5469-BDD502ADE4DB}"/>
            </a:ext>
          </a:extLst>
        </xdr:cNvPr>
        <xdr:cNvSpPr/>
      </xdr:nvSpPr>
      <xdr:spPr>
        <a:xfrm>
          <a:off x="2200458" y="4133663"/>
          <a:ext cx="2169866" cy="1296254"/>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3</xdr:col>
      <xdr:colOff>368727</xdr:colOff>
      <xdr:row>28</xdr:row>
      <xdr:rowOff>63922</xdr:rowOff>
    </xdr:from>
    <xdr:to>
      <xdr:col>7</xdr:col>
      <xdr:colOff>96286</xdr:colOff>
      <xdr:row>34</xdr:row>
      <xdr:rowOff>187868</xdr:rowOff>
    </xdr:to>
    <xdr:sp macro="" textlink="">
      <xdr:nvSpPr>
        <xdr:cNvPr id="7" name="Rectangle: Rounded Corners 6">
          <a:extLst>
            <a:ext uri="{FF2B5EF4-FFF2-40B4-BE49-F238E27FC236}">
              <a16:creationId xmlns:a16="http://schemas.microsoft.com/office/drawing/2014/main" id="{ADFCFEA6-852A-6080-9BF2-D035C9AAFE4A}"/>
            </a:ext>
          </a:extLst>
        </xdr:cNvPr>
        <xdr:cNvSpPr/>
      </xdr:nvSpPr>
      <xdr:spPr>
        <a:xfrm>
          <a:off x="2200458" y="5534691"/>
          <a:ext cx="2169866" cy="1296254"/>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3</xdr:col>
      <xdr:colOff>368727</xdr:colOff>
      <xdr:row>35</xdr:row>
      <xdr:rowOff>85354</xdr:rowOff>
    </xdr:from>
    <xdr:to>
      <xdr:col>7</xdr:col>
      <xdr:colOff>96286</xdr:colOff>
      <xdr:row>42</xdr:row>
      <xdr:rowOff>13916</xdr:rowOff>
    </xdr:to>
    <xdr:sp macro="" textlink="">
      <xdr:nvSpPr>
        <xdr:cNvPr id="8" name="Rectangle: Rounded Corners 7">
          <a:extLst>
            <a:ext uri="{FF2B5EF4-FFF2-40B4-BE49-F238E27FC236}">
              <a16:creationId xmlns:a16="http://schemas.microsoft.com/office/drawing/2014/main" id="{AB693549-28A5-BD1D-8BBA-7FCADBAF0A3B}"/>
            </a:ext>
          </a:extLst>
        </xdr:cNvPr>
        <xdr:cNvSpPr/>
      </xdr:nvSpPr>
      <xdr:spPr>
        <a:xfrm>
          <a:off x="2200458" y="6923816"/>
          <a:ext cx="2169866" cy="1296254"/>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16</xdr:col>
      <xdr:colOff>452071</xdr:colOff>
      <xdr:row>3</xdr:row>
      <xdr:rowOff>48845</xdr:rowOff>
    </xdr:from>
    <xdr:to>
      <xdr:col>25</xdr:col>
      <xdr:colOff>500673</xdr:colOff>
      <xdr:row>14</xdr:row>
      <xdr:rowOff>173105</xdr:rowOff>
    </xdr:to>
    <xdr:sp macro="" textlink="">
      <xdr:nvSpPr>
        <xdr:cNvPr id="10" name="Rectangle: Rounded Corners 9">
          <a:extLst>
            <a:ext uri="{FF2B5EF4-FFF2-40B4-BE49-F238E27FC236}">
              <a16:creationId xmlns:a16="http://schemas.microsoft.com/office/drawing/2014/main" id="{B216CCD4-AB50-888E-D940-A74D4A156043}"/>
            </a:ext>
          </a:extLst>
        </xdr:cNvPr>
        <xdr:cNvSpPr/>
      </xdr:nvSpPr>
      <xdr:spPr>
        <a:xfrm>
          <a:off x="10221302" y="634999"/>
          <a:ext cx="5543794" cy="2273491"/>
        </a:xfrm>
        <a:prstGeom prst="roundRect">
          <a:avLst>
            <a:gd name="adj" fmla="val 3587"/>
          </a:avLst>
        </a:prstGeom>
        <a:solidFill>
          <a:srgbClr val="E0E8F5"/>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7</xdr:col>
      <xdr:colOff>201064</xdr:colOff>
      <xdr:row>15</xdr:row>
      <xdr:rowOff>59160</xdr:rowOff>
    </xdr:from>
    <xdr:to>
      <xdr:col>13</xdr:col>
      <xdr:colOff>380634</xdr:colOff>
      <xdr:row>28</xdr:row>
      <xdr:rowOff>173105</xdr:rowOff>
    </xdr:to>
    <xdr:sp macro="" textlink="">
      <xdr:nvSpPr>
        <xdr:cNvPr id="12" name="Rectangle: Rounded Corners 11">
          <a:extLst>
            <a:ext uri="{FF2B5EF4-FFF2-40B4-BE49-F238E27FC236}">
              <a16:creationId xmlns:a16="http://schemas.microsoft.com/office/drawing/2014/main" id="{2461CD3A-1BC1-1AC4-8A2C-6679783F7A24}"/>
            </a:ext>
          </a:extLst>
        </xdr:cNvPr>
        <xdr:cNvSpPr/>
      </xdr:nvSpPr>
      <xdr:spPr>
        <a:xfrm>
          <a:off x="4475102" y="2989929"/>
          <a:ext cx="3843032" cy="2653945"/>
        </a:xfrm>
        <a:prstGeom prst="roundRect">
          <a:avLst>
            <a:gd name="adj" fmla="val 2072"/>
          </a:avLst>
        </a:prstGeom>
        <a:solidFill>
          <a:srgbClr val="E0E8F5"/>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13</xdr:col>
      <xdr:colOff>428258</xdr:colOff>
      <xdr:row>15</xdr:row>
      <xdr:rowOff>59160</xdr:rowOff>
    </xdr:from>
    <xdr:to>
      <xdr:col>20</xdr:col>
      <xdr:colOff>39139</xdr:colOff>
      <xdr:row>28</xdr:row>
      <xdr:rowOff>173105</xdr:rowOff>
    </xdr:to>
    <xdr:sp macro="" textlink="">
      <xdr:nvSpPr>
        <xdr:cNvPr id="13" name="Rectangle: Rounded Corners 12">
          <a:extLst>
            <a:ext uri="{FF2B5EF4-FFF2-40B4-BE49-F238E27FC236}">
              <a16:creationId xmlns:a16="http://schemas.microsoft.com/office/drawing/2014/main" id="{7A8FF448-A33E-4557-A7BC-8FCB82B24602}"/>
            </a:ext>
          </a:extLst>
        </xdr:cNvPr>
        <xdr:cNvSpPr/>
      </xdr:nvSpPr>
      <xdr:spPr>
        <a:xfrm>
          <a:off x="8365758" y="2989929"/>
          <a:ext cx="3884919" cy="2653945"/>
        </a:xfrm>
        <a:prstGeom prst="roundRect">
          <a:avLst>
            <a:gd name="adj" fmla="val 3454"/>
          </a:avLst>
        </a:prstGeom>
        <a:solidFill>
          <a:srgbClr val="E0E8F5"/>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7</xdr:col>
      <xdr:colOff>225853</xdr:colOff>
      <xdr:row>29</xdr:row>
      <xdr:rowOff>66304</xdr:rowOff>
    </xdr:from>
    <xdr:to>
      <xdr:col>16</xdr:col>
      <xdr:colOff>249665</xdr:colOff>
      <xdr:row>42</xdr:row>
      <xdr:rowOff>58684</xdr:rowOff>
    </xdr:to>
    <xdr:sp macro="" textlink="">
      <xdr:nvSpPr>
        <xdr:cNvPr id="15" name="Rectangle: Rounded Corners 14">
          <a:extLst>
            <a:ext uri="{FF2B5EF4-FFF2-40B4-BE49-F238E27FC236}">
              <a16:creationId xmlns:a16="http://schemas.microsoft.com/office/drawing/2014/main" id="{AA488D7C-9BB1-61DF-CE3D-F9AF6A5297DE}"/>
            </a:ext>
          </a:extLst>
        </xdr:cNvPr>
        <xdr:cNvSpPr/>
      </xdr:nvSpPr>
      <xdr:spPr>
        <a:xfrm>
          <a:off x="4499891" y="5732458"/>
          <a:ext cx="5519005" cy="2532380"/>
        </a:xfrm>
        <a:prstGeom prst="roundRect">
          <a:avLst>
            <a:gd name="adj" fmla="val 3783"/>
          </a:avLst>
        </a:prstGeom>
        <a:solidFill>
          <a:srgbClr val="E0E8F5"/>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16</xdr:col>
      <xdr:colOff>297290</xdr:colOff>
      <xdr:row>29</xdr:row>
      <xdr:rowOff>66304</xdr:rowOff>
    </xdr:from>
    <xdr:to>
      <xdr:col>25</xdr:col>
      <xdr:colOff>549519</xdr:colOff>
      <xdr:row>42</xdr:row>
      <xdr:rowOff>58684</xdr:rowOff>
    </xdr:to>
    <xdr:sp macro="" textlink="">
      <xdr:nvSpPr>
        <xdr:cNvPr id="18" name="Rectangle: Rounded Corners 17">
          <a:extLst>
            <a:ext uri="{FF2B5EF4-FFF2-40B4-BE49-F238E27FC236}">
              <a16:creationId xmlns:a16="http://schemas.microsoft.com/office/drawing/2014/main" id="{0C8D7D3B-4D32-B14A-D1A5-0AB3D94D79AD}"/>
            </a:ext>
          </a:extLst>
        </xdr:cNvPr>
        <xdr:cNvSpPr/>
      </xdr:nvSpPr>
      <xdr:spPr>
        <a:xfrm>
          <a:off x="10066521" y="5732458"/>
          <a:ext cx="5747421" cy="2532380"/>
        </a:xfrm>
        <a:prstGeom prst="roundRect">
          <a:avLst>
            <a:gd name="adj" fmla="val 3783"/>
          </a:avLst>
        </a:prstGeom>
        <a:solidFill>
          <a:srgbClr val="E0E8F5"/>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7</xdr:col>
      <xdr:colOff>549520</xdr:colOff>
      <xdr:row>3</xdr:row>
      <xdr:rowOff>48845</xdr:rowOff>
    </xdr:from>
    <xdr:to>
      <xdr:col>16</xdr:col>
      <xdr:colOff>378251</xdr:colOff>
      <xdr:row>14</xdr:row>
      <xdr:rowOff>173105</xdr:rowOff>
    </xdr:to>
    <xdr:sp macro="" textlink="">
      <xdr:nvSpPr>
        <xdr:cNvPr id="20" name="Rectangle: Rounded Corners 19">
          <a:extLst>
            <a:ext uri="{FF2B5EF4-FFF2-40B4-BE49-F238E27FC236}">
              <a16:creationId xmlns:a16="http://schemas.microsoft.com/office/drawing/2014/main" id="{54D4C2AD-A625-BB40-6092-879B6179922C}"/>
            </a:ext>
          </a:extLst>
        </xdr:cNvPr>
        <xdr:cNvSpPr/>
      </xdr:nvSpPr>
      <xdr:spPr>
        <a:xfrm>
          <a:off x="4823558" y="634999"/>
          <a:ext cx="5323924" cy="2273491"/>
        </a:xfrm>
        <a:prstGeom prst="roundRect">
          <a:avLst>
            <a:gd name="adj" fmla="val 3587"/>
          </a:avLst>
        </a:prstGeom>
        <a:solidFill>
          <a:srgbClr val="E0E8F5"/>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20</xdr:col>
      <xdr:colOff>103433</xdr:colOff>
      <xdr:row>15</xdr:row>
      <xdr:rowOff>71066</xdr:rowOff>
    </xdr:from>
    <xdr:to>
      <xdr:col>25</xdr:col>
      <xdr:colOff>527634</xdr:colOff>
      <xdr:row>28</xdr:row>
      <xdr:rowOff>173106</xdr:rowOff>
    </xdr:to>
    <xdr:sp macro="" textlink="">
      <xdr:nvSpPr>
        <xdr:cNvPr id="21" name="Rectangle: Rounded Corners 20">
          <a:extLst>
            <a:ext uri="{FF2B5EF4-FFF2-40B4-BE49-F238E27FC236}">
              <a16:creationId xmlns:a16="http://schemas.microsoft.com/office/drawing/2014/main" id="{38E650D5-BFF4-28F0-ED83-C050F09CB905}"/>
            </a:ext>
          </a:extLst>
        </xdr:cNvPr>
        <xdr:cNvSpPr/>
      </xdr:nvSpPr>
      <xdr:spPr>
        <a:xfrm>
          <a:off x="12314971" y="3001835"/>
          <a:ext cx="3477086" cy="2642040"/>
        </a:xfrm>
        <a:prstGeom prst="roundRect">
          <a:avLst>
            <a:gd name="adj" fmla="val 2959"/>
          </a:avLst>
        </a:prstGeom>
        <a:solidFill>
          <a:srgbClr val="E0E8F5"/>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NG"/>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NG"/>
        </a:p>
      </xdr:txBody>
    </xdr:sp>
    <xdr:clientData/>
  </xdr:twoCellAnchor>
  <xdr:twoCellAnchor>
    <xdr:from>
      <xdr:col>3</xdr:col>
      <xdr:colOff>344916</xdr:colOff>
      <xdr:row>6</xdr:row>
      <xdr:rowOff>183106</xdr:rowOff>
    </xdr:from>
    <xdr:to>
      <xdr:col>7</xdr:col>
      <xdr:colOff>91525</xdr:colOff>
      <xdr:row>9</xdr:row>
      <xdr:rowOff>35346</xdr:rowOff>
    </xdr:to>
    <xdr:sp macro="" textlink="">
      <xdr:nvSpPr>
        <xdr:cNvPr id="9" name="TextBox 8">
          <a:extLst>
            <a:ext uri="{FF2B5EF4-FFF2-40B4-BE49-F238E27FC236}">
              <a16:creationId xmlns:a16="http://schemas.microsoft.com/office/drawing/2014/main" id="{E2E6727F-A295-C0C3-893D-A97440A7299C}"/>
            </a:ext>
          </a:extLst>
        </xdr:cNvPr>
        <xdr:cNvSpPr txBox="1"/>
      </xdr:nvSpPr>
      <xdr:spPr>
        <a:xfrm>
          <a:off x="2176647" y="1355414"/>
          <a:ext cx="2188916" cy="438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latin typeface="Times New Roman" panose="02020603050405020304" pitchFamily="18" charset="0"/>
              <a:cs typeface="Times New Roman" panose="02020603050405020304" pitchFamily="18" charset="0"/>
            </a:rPr>
            <a:t>Total Students </a:t>
          </a:r>
          <a:endParaRPr lang="en-NG" sz="2400" b="1">
            <a:latin typeface="Times New Roman" panose="02020603050405020304" pitchFamily="18" charset="0"/>
            <a:cs typeface="Times New Roman" panose="02020603050405020304" pitchFamily="18" charset="0"/>
          </a:endParaRPr>
        </a:p>
      </xdr:txBody>
    </xdr:sp>
    <xdr:clientData/>
  </xdr:twoCellAnchor>
  <xdr:twoCellAnchor>
    <xdr:from>
      <xdr:col>3</xdr:col>
      <xdr:colOff>449690</xdr:colOff>
      <xdr:row>13</xdr:row>
      <xdr:rowOff>180726</xdr:rowOff>
    </xdr:from>
    <xdr:to>
      <xdr:col>6</xdr:col>
      <xdr:colOff>485407</xdr:colOff>
      <xdr:row>16</xdr:row>
      <xdr:rowOff>32966</xdr:rowOff>
    </xdr:to>
    <xdr:sp macro="" textlink="">
      <xdr:nvSpPr>
        <xdr:cNvPr id="11" name="TextBox 10">
          <a:extLst>
            <a:ext uri="{FF2B5EF4-FFF2-40B4-BE49-F238E27FC236}">
              <a16:creationId xmlns:a16="http://schemas.microsoft.com/office/drawing/2014/main" id="{153E6D9A-484A-954C-FAC5-0C2312DD4D4F}"/>
            </a:ext>
          </a:extLst>
        </xdr:cNvPr>
        <xdr:cNvSpPr txBox="1"/>
      </xdr:nvSpPr>
      <xdr:spPr>
        <a:xfrm>
          <a:off x="2281421" y="2720726"/>
          <a:ext cx="1867448" cy="438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latin typeface="Times New Roman" panose="02020603050405020304" pitchFamily="18" charset="0"/>
              <a:cs typeface="Times New Roman" panose="02020603050405020304" pitchFamily="18" charset="0"/>
            </a:rPr>
            <a:t>Avg</a:t>
          </a:r>
          <a:r>
            <a:rPr lang="en-US" sz="2400" b="1" baseline="0">
              <a:latin typeface="Times New Roman" panose="02020603050405020304" pitchFamily="18" charset="0"/>
              <a:cs typeface="Times New Roman" panose="02020603050405020304" pitchFamily="18" charset="0"/>
            </a:rPr>
            <a:t> GPA</a:t>
          </a:r>
          <a:endParaRPr lang="en-NG" sz="2400" b="1">
            <a:latin typeface="Times New Roman" panose="02020603050405020304" pitchFamily="18" charset="0"/>
            <a:cs typeface="Times New Roman" panose="02020603050405020304" pitchFamily="18" charset="0"/>
          </a:endParaRPr>
        </a:p>
      </xdr:txBody>
    </xdr:sp>
    <xdr:clientData/>
  </xdr:twoCellAnchor>
  <xdr:twoCellAnchor>
    <xdr:from>
      <xdr:col>3</xdr:col>
      <xdr:colOff>62949</xdr:colOff>
      <xdr:row>21</xdr:row>
      <xdr:rowOff>18682</xdr:rowOff>
    </xdr:from>
    <xdr:to>
      <xdr:col>7</xdr:col>
      <xdr:colOff>368727</xdr:colOff>
      <xdr:row>23</xdr:row>
      <xdr:rowOff>66307</xdr:rowOff>
    </xdr:to>
    <xdr:sp macro="" textlink="">
      <xdr:nvSpPr>
        <xdr:cNvPr id="14" name="TextBox 13">
          <a:extLst>
            <a:ext uri="{FF2B5EF4-FFF2-40B4-BE49-F238E27FC236}">
              <a16:creationId xmlns:a16="http://schemas.microsoft.com/office/drawing/2014/main" id="{92966E23-38CD-7F54-105D-895EDDF99FB9}"/>
            </a:ext>
          </a:extLst>
        </xdr:cNvPr>
        <xdr:cNvSpPr txBox="1"/>
      </xdr:nvSpPr>
      <xdr:spPr>
        <a:xfrm>
          <a:off x="1894680" y="4121759"/>
          <a:ext cx="2748085" cy="438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900" b="1">
              <a:latin typeface="Times New Roman" panose="02020603050405020304" pitchFamily="18" charset="0"/>
              <a:cs typeface="Times New Roman" panose="02020603050405020304" pitchFamily="18" charset="0"/>
            </a:rPr>
            <a:t>Avg</a:t>
          </a:r>
          <a:r>
            <a:rPr lang="en-US" sz="1900" b="1" baseline="0">
              <a:latin typeface="Times New Roman" panose="02020603050405020304" pitchFamily="18" charset="0"/>
              <a:cs typeface="Times New Roman" panose="02020603050405020304" pitchFamily="18" charset="0"/>
            </a:rPr>
            <a:t> Study Hrs/Day</a:t>
          </a:r>
          <a:endParaRPr lang="en-NG" sz="1900" b="1">
            <a:latin typeface="Times New Roman" panose="02020603050405020304" pitchFamily="18" charset="0"/>
            <a:cs typeface="Times New Roman" panose="02020603050405020304" pitchFamily="18" charset="0"/>
          </a:endParaRPr>
        </a:p>
      </xdr:txBody>
    </xdr:sp>
    <xdr:clientData/>
  </xdr:twoCellAnchor>
  <xdr:twoCellAnchor>
    <xdr:from>
      <xdr:col>3</xdr:col>
      <xdr:colOff>182011</xdr:colOff>
      <xdr:row>28</xdr:row>
      <xdr:rowOff>4394</xdr:rowOff>
    </xdr:from>
    <xdr:to>
      <xdr:col>7</xdr:col>
      <xdr:colOff>201063</xdr:colOff>
      <xdr:row>31</xdr:row>
      <xdr:rowOff>71066</xdr:rowOff>
    </xdr:to>
    <xdr:sp macro="" textlink="">
      <xdr:nvSpPr>
        <xdr:cNvPr id="16" name="TextBox 15">
          <a:extLst>
            <a:ext uri="{FF2B5EF4-FFF2-40B4-BE49-F238E27FC236}">
              <a16:creationId xmlns:a16="http://schemas.microsoft.com/office/drawing/2014/main" id="{E31A2CED-091D-F24E-3FB2-1B31B9DEE2AD}"/>
            </a:ext>
          </a:extLst>
        </xdr:cNvPr>
        <xdr:cNvSpPr txBox="1"/>
      </xdr:nvSpPr>
      <xdr:spPr>
        <a:xfrm>
          <a:off x="2013742" y="5475163"/>
          <a:ext cx="2461359" cy="652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Times New Roman" panose="02020603050405020304" pitchFamily="18" charset="0"/>
              <a:cs typeface="Times New Roman" panose="02020603050405020304" pitchFamily="18" charset="0"/>
            </a:rPr>
            <a:t>Percentage</a:t>
          </a:r>
          <a:r>
            <a:rPr lang="en-US" sz="1800" b="1" baseline="0">
              <a:latin typeface="Times New Roman" panose="02020603050405020304" pitchFamily="18" charset="0"/>
              <a:cs typeface="Times New Roman" panose="02020603050405020304" pitchFamily="18" charset="0"/>
            </a:rPr>
            <a:t> of High-Stress Students</a:t>
          </a:r>
          <a:endParaRPr lang="en-NG" sz="1800" b="1">
            <a:latin typeface="Times New Roman" panose="02020603050405020304" pitchFamily="18" charset="0"/>
            <a:cs typeface="Times New Roman" panose="02020603050405020304" pitchFamily="18" charset="0"/>
          </a:endParaRPr>
        </a:p>
      </xdr:txBody>
    </xdr:sp>
    <xdr:clientData/>
  </xdr:twoCellAnchor>
  <xdr:twoCellAnchor>
    <xdr:from>
      <xdr:col>3</xdr:col>
      <xdr:colOff>165343</xdr:colOff>
      <xdr:row>35</xdr:row>
      <xdr:rowOff>49635</xdr:rowOff>
    </xdr:from>
    <xdr:to>
      <xdr:col>7</xdr:col>
      <xdr:colOff>225852</xdr:colOff>
      <xdr:row>37</xdr:row>
      <xdr:rowOff>97260</xdr:rowOff>
    </xdr:to>
    <xdr:sp macro="" textlink="">
      <xdr:nvSpPr>
        <xdr:cNvPr id="19" name="TextBox 18">
          <a:extLst>
            <a:ext uri="{FF2B5EF4-FFF2-40B4-BE49-F238E27FC236}">
              <a16:creationId xmlns:a16="http://schemas.microsoft.com/office/drawing/2014/main" id="{0D4AFE2B-62EB-4030-BEBB-41748F0E9DB7}"/>
            </a:ext>
          </a:extLst>
        </xdr:cNvPr>
        <xdr:cNvSpPr txBox="1"/>
      </xdr:nvSpPr>
      <xdr:spPr>
        <a:xfrm>
          <a:off x="1997074" y="6888097"/>
          <a:ext cx="2502816" cy="438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latin typeface="Times New Roman" panose="02020603050405020304" pitchFamily="18" charset="0"/>
              <a:cs typeface="Times New Roman" panose="02020603050405020304" pitchFamily="18" charset="0"/>
            </a:rPr>
            <a:t>High</a:t>
          </a:r>
          <a:r>
            <a:rPr lang="en-US" sz="2000" b="1" baseline="0">
              <a:latin typeface="Times New Roman" panose="02020603050405020304" pitchFamily="18" charset="0"/>
              <a:cs typeface="Times New Roman" panose="02020603050405020304" pitchFamily="18" charset="0"/>
            </a:rPr>
            <a:t> Performers </a:t>
          </a:r>
          <a:endParaRPr lang="en-NG" sz="2000" b="1">
            <a:latin typeface="Times New Roman" panose="02020603050405020304" pitchFamily="18" charset="0"/>
            <a:cs typeface="Times New Roman" panose="02020603050405020304" pitchFamily="18" charset="0"/>
          </a:endParaRPr>
        </a:p>
      </xdr:txBody>
    </xdr:sp>
    <xdr:clientData/>
  </xdr:twoCellAnchor>
  <xdr:twoCellAnchor>
    <xdr:from>
      <xdr:col>3</xdr:col>
      <xdr:colOff>306816</xdr:colOff>
      <xdr:row>9</xdr:row>
      <xdr:rowOff>156912</xdr:rowOff>
    </xdr:from>
    <xdr:to>
      <xdr:col>7</xdr:col>
      <xdr:colOff>53425</xdr:colOff>
      <xdr:row>12</xdr:row>
      <xdr:rowOff>9153</xdr:rowOff>
    </xdr:to>
    <xdr:sp macro="" textlink="Analysis!B3">
      <xdr:nvSpPr>
        <xdr:cNvPr id="22" name="TextBox 21">
          <a:extLst>
            <a:ext uri="{FF2B5EF4-FFF2-40B4-BE49-F238E27FC236}">
              <a16:creationId xmlns:a16="http://schemas.microsoft.com/office/drawing/2014/main" id="{21A32106-4F80-9786-D064-20F826659F61}"/>
            </a:ext>
          </a:extLst>
        </xdr:cNvPr>
        <xdr:cNvSpPr txBox="1"/>
      </xdr:nvSpPr>
      <xdr:spPr>
        <a:xfrm>
          <a:off x="2138547" y="1915374"/>
          <a:ext cx="2188916" cy="438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85236D-D14E-4366-B9BE-DFA332A0AF39}" type="TxLink">
            <a:rPr lang="en-US" sz="3200" b="1">
              <a:solidFill>
                <a:schemeClr val="dk1"/>
              </a:solidFill>
              <a:latin typeface="Times New Roman" panose="02020603050405020304" pitchFamily="18" charset="0"/>
              <a:ea typeface="+mn-ea"/>
              <a:cs typeface="Times New Roman" panose="02020603050405020304" pitchFamily="18" charset="0"/>
            </a:rPr>
            <a:pPr marL="0" indent="0" algn="ctr"/>
            <a:t>2000</a:t>
          </a:fld>
          <a:endParaRPr lang="en-NG" sz="3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3</xdr:col>
      <xdr:colOff>256809</xdr:colOff>
      <xdr:row>16</xdr:row>
      <xdr:rowOff>154531</xdr:rowOff>
    </xdr:from>
    <xdr:to>
      <xdr:col>7</xdr:col>
      <xdr:colOff>3418</xdr:colOff>
      <xdr:row>19</xdr:row>
      <xdr:rowOff>6771</xdr:rowOff>
    </xdr:to>
    <xdr:sp macro="" textlink="Analysis!B4">
      <xdr:nvSpPr>
        <xdr:cNvPr id="23" name="TextBox 22">
          <a:extLst>
            <a:ext uri="{FF2B5EF4-FFF2-40B4-BE49-F238E27FC236}">
              <a16:creationId xmlns:a16="http://schemas.microsoft.com/office/drawing/2014/main" id="{738B9FFD-C1B5-5FE7-4A3D-6D46A7A37C44}"/>
            </a:ext>
          </a:extLst>
        </xdr:cNvPr>
        <xdr:cNvSpPr txBox="1"/>
      </xdr:nvSpPr>
      <xdr:spPr>
        <a:xfrm>
          <a:off x="2088540" y="3280685"/>
          <a:ext cx="2188916" cy="438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F7CB140-B052-4E5C-BE1E-28659739C274}" type="TxLink">
            <a:rPr lang="en-US" sz="3200" b="1">
              <a:solidFill>
                <a:schemeClr val="dk1"/>
              </a:solidFill>
              <a:latin typeface="Times New Roman" panose="02020603050405020304" pitchFamily="18" charset="0"/>
              <a:ea typeface="+mn-ea"/>
              <a:cs typeface="Times New Roman" panose="02020603050405020304" pitchFamily="18" charset="0"/>
            </a:rPr>
            <a:pPr marL="0" indent="0" algn="ctr"/>
            <a:t>3.12</a:t>
          </a:fld>
          <a:endParaRPr lang="en-NG" sz="3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3</xdr:col>
      <xdr:colOff>249664</xdr:colOff>
      <xdr:row>23</xdr:row>
      <xdr:rowOff>178345</xdr:rowOff>
    </xdr:from>
    <xdr:to>
      <xdr:col>6</xdr:col>
      <xdr:colOff>606849</xdr:colOff>
      <xdr:row>26</xdr:row>
      <xdr:rowOff>30586</xdr:rowOff>
    </xdr:to>
    <xdr:sp macro="" textlink="Analysis!B5">
      <xdr:nvSpPr>
        <xdr:cNvPr id="25" name="TextBox 24">
          <a:extLst>
            <a:ext uri="{FF2B5EF4-FFF2-40B4-BE49-F238E27FC236}">
              <a16:creationId xmlns:a16="http://schemas.microsoft.com/office/drawing/2014/main" id="{AE6FBD2D-8B98-43BA-B0FE-2FBCB54AB34B}"/>
            </a:ext>
          </a:extLst>
        </xdr:cNvPr>
        <xdr:cNvSpPr txBox="1"/>
      </xdr:nvSpPr>
      <xdr:spPr>
        <a:xfrm>
          <a:off x="2081395" y="4672191"/>
          <a:ext cx="2188916" cy="438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69CCE58-923D-4C2F-A24A-48F97FC06A9A}" type="TxLink">
            <a:rPr lang="en-US" sz="3200" b="1">
              <a:solidFill>
                <a:schemeClr val="dk1"/>
              </a:solidFill>
              <a:latin typeface="Times New Roman" panose="02020603050405020304" pitchFamily="18" charset="0"/>
              <a:ea typeface="+mn-ea"/>
              <a:cs typeface="Times New Roman" panose="02020603050405020304" pitchFamily="18" charset="0"/>
            </a:rPr>
            <a:pPr marL="0" indent="0" algn="ctr"/>
            <a:t>7.5</a:t>
          </a:fld>
          <a:endParaRPr lang="en-NG" sz="3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3</xdr:col>
      <xdr:colOff>306815</xdr:colOff>
      <xdr:row>31</xdr:row>
      <xdr:rowOff>99643</xdr:rowOff>
    </xdr:from>
    <xdr:to>
      <xdr:col>7</xdr:col>
      <xdr:colOff>53424</xdr:colOff>
      <xdr:row>33</xdr:row>
      <xdr:rowOff>152153</xdr:rowOff>
    </xdr:to>
    <xdr:sp macro="" textlink="Analysis!B6">
      <xdr:nvSpPr>
        <xdr:cNvPr id="26" name="TextBox 25">
          <a:extLst>
            <a:ext uri="{FF2B5EF4-FFF2-40B4-BE49-F238E27FC236}">
              <a16:creationId xmlns:a16="http://schemas.microsoft.com/office/drawing/2014/main" id="{F83AC690-899E-1821-607D-FB7C9E96F6D8}"/>
            </a:ext>
          </a:extLst>
        </xdr:cNvPr>
        <xdr:cNvSpPr txBox="1"/>
      </xdr:nvSpPr>
      <xdr:spPr>
        <a:xfrm>
          <a:off x="2138546" y="6156566"/>
          <a:ext cx="2188916" cy="443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1AA0EB-DBF3-4EAA-AC9B-37CB8BE6DAD2}" type="TxLink">
            <a:rPr lang="en-US" sz="3200" b="1">
              <a:solidFill>
                <a:schemeClr val="dk1"/>
              </a:solidFill>
              <a:latin typeface="Times New Roman" panose="02020603050405020304" pitchFamily="18" charset="0"/>
              <a:ea typeface="+mn-ea"/>
              <a:cs typeface="Times New Roman" panose="02020603050405020304" pitchFamily="18" charset="0"/>
            </a:rPr>
            <a:pPr marL="0" indent="0" algn="ctr"/>
            <a:t>51.5%</a:t>
          </a:fld>
          <a:endParaRPr lang="en-NG" sz="3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3</xdr:col>
      <xdr:colOff>304434</xdr:colOff>
      <xdr:row>38</xdr:row>
      <xdr:rowOff>27656</xdr:rowOff>
    </xdr:from>
    <xdr:to>
      <xdr:col>7</xdr:col>
      <xdr:colOff>51043</xdr:colOff>
      <xdr:row>40</xdr:row>
      <xdr:rowOff>75280</xdr:rowOff>
    </xdr:to>
    <xdr:sp macro="" textlink="Analysis!B7">
      <xdr:nvSpPr>
        <xdr:cNvPr id="27" name="TextBox 26">
          <a:extLst>
            <a:ext uri="{FF2B5EF4-FFF2-40B4-BE49-F238E27FC236}">
              <a16:creationId xmlns:a16="http://schemas.microsoft.com/office/drawing/2014/main" id="{840713DC-D1E6-190A-83D5-4D0BFAE25ED3}"/>
            </a:ext>
          </a:extLst>
        </xdr:cNvPr>
        <xdr:cNvSpPr txBox="1"/>
      </xdr:nvSpPr>
      <xdr:spPr>
        <a:xfrm>
          <a:off x="2136165" y="7452271"/>
          <a:ext cx="2188916" cy="438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E27B6A-2BD0-460B-B73B-DC0CC357B78E}" type="TxLink">
            <a:rPr lang="en-US" sz="3200" b="1">
              <a:solidFill>
                <a:schemeClr val="dk1"/>
              </a:solidFill>
              <a:latin typeface="Times New Roman" panose="02020603050405020304" pitchFamily="18" charset="0"/>
              <a:ea typeface="+mn-ea"/>
              <a:cs typeface="Times New Roman" panose="02020603050405020304" pitchFamily="18" charset="0"/>
            </a:rPr>
            <a:pPr marL="0" indent="0" algn="ctr"/>
            <a:t>221</a:t>
          </a:fld>
          <a:endParaRPr lang="en-NG" sz="3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7</xdr:col>
      <xdr:colOff>602579</xdr:colOff>
      <xdr:row>0</xdr:row>
      <xdr:rowOff>180725</xdr:rowOff>
    </xdr:from>
    <xdr:to>
      <xdr:col>16</xdr:col>
      <xdr:colOff>350167</xdr:colOff>
      <xdr:row>15</xdr:row>
      <xdr:rowOff>61541</xdr:rowOff>
    </xdr:to>
    <xdr:graphicFrame macro="">
      <xdr:nvGraphicFramePr>
        <xdr:cNvPr id="29" name="Chart 28">
          <a:extLst>
            <a:ext uri="{FF2B5EF4-FFF2-40B4-BE49-F238E27FC236}">
              <a16:creationId xmlns:a16="http://schemas.microsoft.com/office/drawing/2014/main" id="{FAEEE8D1-545E-DC8D-8C2E-924A92BEBF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530835</xdr:colOff>
      <xdr:row>3</xdr:row>
      <xdr:rowOff>61906</xdr:rowOff>
    </xdr:from>
    <xdr:to>
      <xdr:col>16</xdr:col>
      <xdr:colOff>304616</xdr:colOff>
      <xdr:row>5</xdr:row>
      <xdr:rowOff>85720</xdr:rowOff>
    </xdr:to>
    <xdr:sp macro="" textlink="">
      <xdr:nvSpPr>
        <xdr:cNvPr id="30" name="TextBox 29">
          <a:extLst>
            <a:ext uri="{FF2B5EF4-FFF2-40B4-BE49-F238E27FC236}">
              <a16:creationId xmlns:a16="http://schemas.microsoft.com/office/drawing/2014/main" id="{4C290289-029D-97D1-AFEA-6245E03D211C}"/>
            </a:ext>
          </a:extLst>
        </xdr:cNvPr>
        <xdr:cNvSpPr txBox="1"/>
      </xdr:nvSpPr>
      <xdr:spPr>
        <a:xfrm>
          <a:off x="4804873" y="648060"/>
          <a:ext cx="5268974" cy="414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350" b="1">
              <a:solidFill>
                <a:schemeClr val="dk1"/>
              </a:solidFill>
              <a:latin typeface="Arial" panose="020B0604020202020204" pitchFamily="34" charset="0"/>
              <a:ea typeface="+mn-ea"/>
              <a:cs typeface="Arial" panose="020B0604020202020204" pitchFamily="34" charset="0"/>
            </a:rPr>
            <a:t>Study Hours Stands Alone as the Only Positive Driver of GPA</a:t>
          </a:r>
          <a:endParaRPr lang="en-NG" sz="1350" b="1">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16</xdr:col>
      <xdr:colOff>487790</xdr:colOff>
      <xdr:row>1</xdr:row>
      <xdr:rowOff>171200</xdr:rowOff>
    </xdr:from>
    <xdr:to>
      <xdr:col>24</xdr:col>
      <xdr:colOff>511601</xdr:colOff>
      <xdr:row>14</xdr:row>
      <xdr:rowOff>142625</xdr:rowOff>
    </xdr:to>
    <xdr:graphicFrame macro="">
      <xdr:nvGraphicFramePr>
        <xdr:cNvPr id="33" name="Chart 32">
          <a:extLst>
            <a:ext uri="{FF2B5EF4-FFF2-40B4-BE49-F238E27FC236}">
              <a16:creationId xmlns:a16="http://schemas.microsoft.com/office/drawing/2014/main" id="{C0CC89CE-A296-4290-9A6F-2B31B6DEB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392540</xdr:colOff>
      <xdr:row>3</xdr:row>
      <xdr:rowOff>71736</xdr:rowOff>
    </xdr:from>
    <xdr:to>
      <xdr:col>25</xdr:col>
      <xdr:colOff>559227</xdr:colOff>
      <xdr:row>5</xdr:row>
      <xdr:rowOff>0</xdr:rowOff>
    </xdr:to>
    <xdr:sp macro="" textlink="">
      <xdr:nvSpPr>
        <xdr:cNvPr id="17" name="TextBox 16">
          <a:extLst>
            <a:ext uri="{FF2B5EF4-FFF2-40B4-BE49-F238E27FC236}">
              <a16:creationId xmlns:a16="http://schemas.microsoft.com/office/drawing/2014/main" id="{104A89FA-4D4A-709D-00EB-61C2183C8455}"/>
            </a:ext>
          </a:extLst>
        </xdr:cNvPr>
        <xdr:cNvSpPr txBox="1"/>
      </xdr:nvSpPr>
      <xdr:spPr>
        <a:xfrm>
          <a:off x="10161771" y="657890"/>
          <a:ext cx="5661879" cy="319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330" b="1">
              <a:solidFill>
                <a:schemeClr val="dk1"/>
              </a:solidFill>
              <a:latin typeface="Arial" panose="020B0604020202020204" pitchFamily="34" charset="0"/>
              <a:ea typeface="+mn-ea"/>
              <a:cs typeface="Arial" panose="020B0604020202020204" pitchFamily="34" charset="0"/>
            </a:rPr>
            <a:t>GPA Rises With Every Additional Study Hour Across the Full Range</a:t>
          </a:r>
          <a:endParaRPr lang="en-NG" sz="1330" b="1">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7</xdr:col>
      <xdr:colOff>151057</xdr:colOff>
      <xdr:row>15</xdr:row>
      <xdr:rowOff>171201</xdr:rowOff>
    </xdr:from>
    <xdr:to>
      <xdr:col>14</xdr:col>
      <xdr:colOff>285381</xdr:colOff>
      <xdr:row>28</xdr:row>
      <xdr:rowOff>75829</xdr:rowOff>
    </xdr:to>
    <xdr:graphicFrame macro="">
      <xdr:nvGraphicFramePr>
        <xdr:cNvPr id="24" name="Chart 23">
          <a:extLst>
            <a:ext uri="{FF2B5EF4-FFF2-40B4-BE49-F238E27FC236}">
              <a16:creationId xmlns:a16="http://schemas.microsoft.com/office/drawing/2014/main" id="{2A6D76BB-0F47-4D0C-B488-532775E46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139150</xdr:colOff>
      <xdr:row>15</xdr:row>
      <xdr:rowOff>92497</xdr:rowOff>
    </xdr:from>
    <xdr:to>
      <xdr:col>13</xdr:col>
      <xdr:colOff>511601</xdr:colOff>
      <xdr:row>17</xdr:row>
      <xdr:rowOff>147390</xdr:rowOff>
    </xdr:to>
    <xdr:sp macro="" textlink="">
      <xdr:nvSpPr>
        <xdr:cNvPr id="28" name="TextBox 27">
          <a:extLst>
            <a:ext uri="{FF2B5EF4-FFF2-40B4-BE49-F238E27FC236}">
              <a16:creationId xmlns:a16="http://schemas.microsoft.com/office/drawing/2014/main" id="{4790CA79-C16B-7701-946B-12584A312721}"/>
            </a:ext>
          </a:extLst>
        </xdr:cNvPr>
        <xdr:cNvSpPr txBox="1"/>
      </xdr:nvSpPr>
      <xdr:spPr>
        <a:xfrm>
          <a:off x="4413188" y="3023266"/>
          <a:ext cx="4035913" cy="4456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latin typeface="Arial" panose="020B0604020202020204" pitchFamily="34" charset="0"/>
              <a:cs typeface="Arial" panose="020B0604020202020204" pitchFamily="34" charset="0"/>
            </a:rPr>
            <a:t>GPA Falls Gradually as Physical Activity Hours Rise</a:t>
          </a:r>
          <a:endParaRPr lang="en-NG" sz="1200" b="1">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13</xdr:col>
      <xdr:colOff>380633</xdr:colOff>
      <xdr:row>14</xdr:row>
      <xdr:rowOff>106784</xdr:rowOff>
    </xdr:from>
    <xdr:to>
      <xdr:col>21</xdr:col>
      <xdr:colOff>91525</xdr:colOff>
      <xdr:row>28</xdr:row>
      <xdr:rowOff>187869</xdr:rowOff>
    </xdr:to>
    <xdr:graphicFrame macro="">
      <xdr:nvGraphicFramePr>
        <xdr:cNvPr id="31" name="Chart 30">
          <a:extLst>
            <a:ext uri="{FF2B5EF4-FFF2-40B4-BE49-F238E27FC236}">
              <a16:creationId xmlns:a16="http://schemas.microsoft.com/office/drawing/2014/main" id="{43CA58A1-B456-4552-AAD2-17F683B20C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363964</xdr:colOff>
      <xdr:row>15</xdr:row>
      <xdr:rowOff>90117</xdr:rowOff>
    </xdr:from>
    <xdr:to>
      <xdr:col>20</xdr:col>
      <xdr:colOff>20088</xdr:colOff>
      <xdr:row>16</xdr:row>
      <xdr:rowOff>147389</xdr:rowOff>
    </xdr:to>
    <xdr:sp macro="" textlink="">
      <xdr:nvSpPr>
        <xdr:cNvPr id="34" name="TextBox 33">
          <a:extLst>
            <a:ext uri="{FF2B5EF4-FFF2-40B4-BE49-F238E27FC236}">
              <a16:creationId xmlns:a16="http://schemas.microsoft.com/office/drawing/2014/main" id="{DA857B73-BFA5-7827-3096-985FF8D7E937}"/>
            </a:ext>
          </a:extLst>
        </xdr:cNvPr>
        <xdr:cNvSpPr txBox="1"/>
      </xdr:nvSpPr>
      <xdr:spPr>
        <a:xfrm>
          <a:off x="8301464" y="3020886"/>
          <a:ext cx="3930162" cy="252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dk1"/>
              </a:solidFill>
              <a:latin typeface="Arial" panose="020B0604020202020204" pitchFamily="34" charset="0"/>
              <a:ea typeface="+mn-ea"/>
              <a:cs typeface="Arial" panose="020B0604020202020204" pitchFamily="34" charset="0"/>
            </a:rPr>
            <a:t>Active Social Students Show Minimal GPA Decline </a:t>
          </a:r>
          <a:endParaRPr lang="en-NG" sz="1200" b="1">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13</xdr:col>
      <xdr:colOff>409209</xdr:colOff>
      <xdr:row>16</xdr:row>
      <xdr:rowOff>111546</xdr:rowOff>
    </xdr:from>
    <xdr:to>
      <xdr:col>20</xdr:col>
      <xdr:colOff>55808</xdr:colOff>
      <xdr:row>18</xdr:row>
      <xdr:rowOff>106785</xdr:rowOff>
    </xdr:to>
    <xdr:sp macro="" textlink="">
      <xdr:nvSpPr>
        <xdr:cNvPr id="35" name="TextBox 34">
          <a:extLst>
            <a:ext uri="{FF2B5EF4-FFF2-40B4-BE49-F238E27FC236}">
              <a16:creationId xmlns:a16="http://schemas.microsoft.com/office/drawing/2014/main" id="{9B95321A-5F26-2CAE-4CE2-F0723C48DA96}"/>
            </a:ext>
          </a:extLst>
        </xdr:cNvPr>
        <xdr:cNvSpPr txBox="1"/>
      </xdr:nvSpPr>
      <xdr:spPr>
        <a:xfrm>
          <a:off x="8346709" y="3237700"/>
          <a:ext cx="3920637" cy="386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b="0" i="1">
              <a:solidFill>
                <a:schemeClr val="tx1">
                  <a:lumMod val="75000"/>
                  <a:lumOff val="25000"/>
                </a:schemeClr>
              </a:solidFill>
              <a:latin typeface="Arial" panose="020B0604020202020204" pitchFamily="34" charset="0"/>
              <a:ea typeface="+mn-ea"/>
              <a:cs typeface="Arial" panose="020B0604020202020204" pitchFamily="34" charset="0"/>
            </a:rPr>
            <a:t>All</a:t>
          </a:r>
          <a:r>
            <a:rPr lang="en-US" sz="900" b="0" i="1" baseline="0">
              <a:solidFill>
                <a:schemeClr val="tx1">
                  <a:lumMod val="75000"/>
                  <a:lumOff val="25000"/>
                </a:schemeClr>
              </a:solidFill>
              <a:latin typeface="Arial" panose="020B0604020202020204" pitchFamily="34" charset="0"/>
              <a:ea typeface="+mn-ea"/>
              <a:cs typeface="Arial" panose="020B0604020202020204" pitchFamily="34" charset="0"/>
            </a:rPr>
            <a:t> Social active students fall in the Above Average category regardless of time distribution </a:t>
          </a:r>
          <a:endParaRPr lang="en-NG" sz="900" b="0" i="1">
            <a:solidFill>
              <a:schemeClr val="tx1">
                <a:lumMod val="75000"/>
                <a:lumOff val="25000"/>
              </a:schemeClr>
            </a:solidFill>
            <a:latin typeface="Arial" panose="020B0604020202020204" pitchFamily="34" charset="0"/>
            <a:ea typeface="+mn-ea"/>
            <a:cs typeface="Arial" panose="020B0604020202020204" pitchFamily="34" charset="0"/>
          </a:endParaRPr>
        </a:p>
      </xdr:txBody>
    </xdr:sp>
    <xdr:clientData/>
  </xdr:twoCellAnchor>
  <xdr:twoCellAnchor>
    <xdr:from>
      <xdr:col>7</xdr:col>
      <xdr:colOff>259189</xdr:colOff>
      <xdr:row>28</xdr:row>
      <xdr:rowOff>85477</xdr:rowOff>
    </xdr:from>
    <xdr:to>
      <xdr:col>14</xdr:col>
      <xdr:colOff>475882</xdr:colOff>
      <xdr:row>42</xdr:row>
      <xdr:rowOff>156793</xdr:rowOff>
    </xdr:to>
    <xdr:graphicFrame macro="">
      <xdr:nvGraphicFramePr>
        <xdr:cNvPr id="36" name="Chart 35">
          <a:extLst>
            <a:ext uri="{FF2B5EF4-FFF2-40B4-BE49-F238E27FC236}">
              <a16:creationId xmlns:a16="http://schemas.microsoft.com/office/drawing/2014/main" id="{A37AA451-8E66-46AF-83FD-749D29A4E9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380633</xdr:colOff>
      <xdr:row>35</xdr:row>
      <xdr:rowOff>23441</xdr:rowOff>
    </xdr:from>
    <xdr:to>
      <xdr:col>14</xdr:col>
      <xdr:colOff>499695</xdr:colOff>
      <xdr:row>35</xdr:row>
      <xdr:rowOff>123575</xdr:rowOff>
    </xdr:to>
    <xdr:sp macro="" textlink="">
      <xdr:nvSpPr>
        <xdr:cNvPr id="37" name="Rectangle 36">
          <a:extLst>
            <a:ext uri="{FF2B5EF4-FFF2-40B4-BE49-F238E27FC236}">
              <a16:creationId xmlns:a16="http://schemas.microsoft.com/office/drawing/2014/main" id="{A43E0E4B-9DD1-162E-19E8-06778E7B8096}"/>
            </a:ext>
          </a:extLst>
        </xdr:cNvPr>
        <xdr:cNvSpPr/>
      </xdr:nvSpPr>
      <xdr:spPr>
        <a:xfrm>
          <a:off x="8928710" y="6861903"/>
          <a:ext cx="119062" cy="100134"/>
        </a:xfrm>
        <a:prstGeom prst="rect">
          <a:avLst/>
        </a:prstGeom>
        <a:solidFill>
          <a:schemeClr val="accent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14</xdr:col>
      <xdr:colOff>378252</xdr:colOff>
      <xdr:row>36</xdr:row>
      <xdr:rowOff>44873</xdr:rowOff>
    </xdr:from>
    <xdr:to>
      <xdr:col>14</xdr:col>
      <xdr:colOff>497314</xdr:colOff>
      <xdr:row>36</xdr:row>
      <xdr:rowOff>145006</xdr:rowOff>
    </xdr:to>
    <xdr:sp macro="" textlink="">
      <xdr:nvSpPr>
        <xdr:cNvPr id="38" name="Rectangle 37">
          <a:extLst>
            <a:ext uri="{FF2B5EF4-FFF2-40B4-BE49-F238E27FC236}">
              <a16:creationId xmlns:a16="http://schemas.microsoft.com/office/drawing/2014/main" id="{6898C43D-8EFA-CD5C-6298-5D37C4FC1E52}"/>
            </a:ext>
          </a:extLst>
        </xdr:cNvPr>
        <xdr:cNvSpPr/>
      </xdr:nvSpPr>
      <xdr:spPr>
        <a:xfrm>
          <a:off x="8926329" y="7078719"/>
          <a:ext cx="119062" cy="100133"/>
        </a:xfrm>
        <a:prstGeom prst="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14</xdr:col>
      <xdr:colOff>511602</xdr:colOff>
      <xdr:row>34</xdr:row>
      <xdr:rowOff>159295</xdr:rowOff>
    </xdr:from>
    <xdr:to>
      <xdr:col>16</xdr:col>
      <xdr:colOff>55807</xdr:colOff>
      <xdr:row>35</xdr:row>
      <xdr:rowOff>183107</xdr:rowOff>
    </xdr:to>
    <xdr:sp macro="" textlink="">
      <xdr:nvSpPr>
        <xdr:cNvPr id="39" name="TextBox 38">
          <a:extLst>
            <a:ext uri="{FF2B5EF4-FFF2-40B4-BE49-F238E27FC236}">
              <a16:creationId xmlns:a16="http://schemas.microsoft.com/office/drawing/2014/main" id="{AB4A841C-3EFE-A4BE-01FF-BA3257258D4A}"/>
            </a:ext>
          </a:extLst>
        </xdr:cNvPr>
        <xdr:cNvSpPr txBox="1"/>
      </xdr:nvSpPr>
      <xdr:spPr>
        <a:xfrm>
          <a:off x="9059679" y="6802372"/>
          <a:ext cx="765359" cy="2191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2">
                  <a:lumMod val="25000"/>
                </a:schemeClr>
              </a:solidFill>
              <a:latin typeface="Arial" panose="020B0604020202020204" pitchFamily="34" charset="0"/>
              <a:cs typeface="Arial" panose="020B0604020202020204" pitchFamily="34" charset="0"/>
            </a:rPr>
            <a:t>Balanced</a:t>
          </a:r>
          <a:r>
            <a:rPr lang="en-US" sz="1000" b="1">
              <a:latin typeface="Arial" panose="020B0604020202020204" pitchFamily="34" charset="0"/>
              <a:cs typeface="Arial" panose="020B0604020202020204" pitchFamily="34" charset="0"/>
            </a:rPr>
            <a:t> </a:t>
          </a:r>
          <a:endParaRPr lang="en-NG" sz="1000" b="1">
            <a:latin typeface="Arial" panose="020B0604020202020204" pitchFamily="34" charset="0"/>
            <a:cs typeface="Arial" panose="020B0604020202020204" pitchFamily="34" charset="0"/>
          </a:endParaRPr>
        </a:p>
      </xdr:txBody>
    </xdr:sp>
    <xdr:clientData/>
  </xdr:twoCellAnchor>
  <xdr:twoCellAnchor>
    <xdr:from>
      <xdr:col>14</xdr:col>
      <xdr:colOff>461596</xdr:colOff>
      <xdr:row>35</xdr:row>
      <xdr:rowOff>168819</xdr:rowOff>
    </xdr:from>
    <xdr:to>
      <xdr:col>16</xdr:col>
      <xdr:colOff>261571</xdr:colOff>
      <xdr:row>36</xdr:row>
      <xdr:rowOff>195012</xdr:rowOff>
    </xdr:to>
    <xdr:sp macro="" textlink="">
      <xdr:nvSpPr>
        <xdr:cNvPr id="40" name="TextBox 39">
          <a:extLst>
            <a:ext uri="{FF2B5EF4-FFF2-40B4-BE49-F238E27FC236}">
              <a16:creationId xmlns:a16="http://schemas.microsoft.com/office/drawing/2014/main" id="{50A663F6-E934-D60D-D90D-DC046998669B}"/>
            </a:ext>
          </a:extLst>
        </xdr:cNvPr>
        <xdr:cNvSpPr txBox="1"/>
      </xdr:nvSpPr>
      <xdr:spPr>
        <a:xfrm>
          <a:off x="9009673" y="7007281"/>
          <a:ext cx="1021129" cy="221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2">
                  <a:lumMod val="25000"/>
                </a:schemeClr>
              </a:solidFill>
              <a:latin typeface="Arial" panose="020B0604020202020204" pitchFamily="34" charset="0"/>
              <a:cs typeface="Arial" panose="020B0604020202020204" pitchFamily="34" charset="0"/>
            </a:rPr>
            <a:t>Concentrated</a:t>
          </a:r>
          <a:r>
            <a:rPr lang="en-US" sz="1000" b="1">
              <a:latin typeface="Arial" panose="020B0604020202020204" pitchFamily="34" charset="0"/>
              <a:cs typeface="Arial" panose="020B0604020202020204" pitchFamily="34" charset="0"/>
            </a:rPr>
            <a:t> </a:t>
          </a:r>
          <a:endParaRPr lang="en-NG" sz="1000" b="1">
            <a:latin typeface="Arial" panose="020B0604020202020204" pitchFamily="34" charset="0"/>
            <a:cs typeface="Arial" panose="020B0604020202020204" pitchFamily="34" charset="0"/>
          </a:endParaRPr>
        </a:p>
      </xdr:txBody>
    </xdr:sp>
    <xdr:clientData/>
  </xdr:twoCellAnchor>
  <xdr:twoCellAnchor>
    <xdr:from>
      <xdr:col>7</xdr:col>
      <xdr:colOff>162961</xdr:colOff>
      <xdr:row>29</xdr:row>
      <xdr:rowOff>68684</xdr:rowOff>
    </xdr:from>
    <xdr:to>
      <xdr:col>16</xdr:col>
      <xdr:colOff>380632</xdr:colOff>
      <xdr:row>30</xdr:row>
      <xdr:rowOff>147390</xdr:rowOff>
    </xdr:to>
    <xdr:sp macro="" textlink="">
      <xdr:nvSpPr>
        <xdr:cNvPr id="41" name="TextBox 40">
          <a:extLst>
            <a:ext uri="{FF2B5EF4-FFF2-40B4-BE49-F238E27FC236}">
              <a16:creationId xmlns:a16="http://schemas.microsoft.com/office/drawing/2014/main" id="{2825EF89-FBA2-A258-05EB-43B91A309B66}"/>
            </a:ext>
          </a:extLst>
        </xdr:cNvPr>
        <xdr:cNvSpPr txBox="1"/>
      </xdr:nvSpPr>
      <xdr:spPr>
        <a:xfrm>
          <a:off x="4436999" y="5734838"/>
          <a:ext cx="5712864" cy="2740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50" b="1">
              <a:latin typeface="Arial" panose="020B0604020202020204" pitchFamily="34" charset="0"/>
              <a:cs typeface="Arial" panose="020B0604020202020204" pitchFamily="34" charset="0"/>
            </a:rPr>
            <a:t>Only 1.2% maintain balanced schedules, all from the Above-Average category</a:t>
          </a:r>
          <a:endParaRPr lang="en-NG" sz="1150" b="1">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7</xdr:col>
      <xdr:colOff>196299</xdr:colOff>
      <xdr:row>30</xdr:row>
      <xdr:rowOff>94878</xdr:rowOff>
    </xdr:from>
    <xdr:to>
      <xdr:col>15</xdr:col>
      <xdr:colOff>273478</xdr:colOff>
      <xdr:row>31</xdr:row>
      <xdr:rowOff>135481</xdr:rowOff>
    </xdr:to>
    <xdr:sp macro="" textlink="">
      <xdr:nvSpPr>
        <xdr:cNvPr id="42" name="TextBox 41">
          <a:extLst>
            <a:ext uri="{FF2B5EF4-FFF2-40B4-BE49-F238E27FC236}">
              <a16:creationId xmlns:a16="http://schemas.microsoft.com/office/drawing/2014/main" id="{26BDB731-04F5-4C11-726C-5AEC01023D7F}"/>
            </a:ext>
          </a:extLst>
        </xdr:cNvPr>
        <xdr:cNvSpPr txBox="1"/>
      </xdr:nvSpPr>
      <xdr:spPr>
        <a:xfrm>
          <a:off x="4470337" y="5956416"/>
          <a:ext cx="4961795" cy="235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i="1">
              <a:solidFill>
                <a:schemeClr val="bg2">
                  <a:lumMod val="50000"/>
                </a:schemeClr>
              </a:solidFill>
              <a:latin typeface="Arial" panose="020B0604020202020204" pitchFamily="34" charset="0"/>
              <a:cs typeface="Arial" panose="020B0604020202020204" pitchFamily="34" charset="0"/>
            </a:rPr>
            <a:t>No High Performer Achieve a Balanced Distribution of Time Across Activities</a:t>
          </a:r>
          <a:endParaRPr lang="en-NG" sz="1100" b="1">
            <a:solidFill>
              <a:schemeClr val="bg2">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16</xdr:col>
      <xdr:colOff>321102</xdr:colOff>
      <xdr:row>28</xdr:row>
      <xdr:rowOff>30587</xdr:rowOff>
    </xdr:from>
    <xdr:to>
      <xdr:col>24</xdr:col>
      <xdr:colOff>404446</xdr:colOff>
      <xdr:row>42</xdr:row>
      <xdr:rowOff>106786</xdr:rowOff>
    </xdr:to>
    <xdr:graphicFrame macro="">
      <xdr:nvGraphicFramePr>
        <xdr:cNvPr id="43" name="Chart 42">
          <a:extLst>
            <a:ext uri="{FF2B5EF4-FFF2-40B4-BE49-F238E27FC236}">
              <a16:creationId xmlns:a16="http://schemas.microsoft.com/office/drawing/2014/main" id="{FC75FB12-00E5-479B-AB9A-6CA1AF4533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273477</xdr:colOff>
      <xdr:row>35</xdr:row>
      <xdr:rowOff>183108</xdr:rowOff>
    </xdr:from>
    <xdr:to>
      <xdr:col>24</xdr:col>
      <xdr:colOff>368727</xdr:colOff>
      <xdr:row>36</xdr:row>
      <xdr:rowOff>71066</xdr:rowOff>
    </xdr:to>
    <xdr:sp macro="" textlink="">
      <xdr:nvSpPr>
        <xdr:cNvPr id="44" name="Rectangle 43">
          <a:extLst>
            <a:ext uri="{FF2B5EF4-FFF2-40B4-BE49-F238E27FC236}">
              <a16:creationId xmlns:a16="http://schemas.microsoft.com/office/drawing/2014/main" id="{305B5D94-7E3C-13FD-CB49-927DDDBE7A26}"/>
            </a:ext>
          </a:extLst>
        </xdr:cNvPr>
        <xdr:cNvSpPr/>
      </xdr:nvSpPr>
      <xdr:spPr>
        <a:xfrm>
          <a:off x="14927323" y="7021570"/>
          <a:ext cx="95250" cy="83342"/>
        </a:xfrm>
        <a:prstGeom prst="rect">
          <a:avLst/>
        </a:prstGeom>
        <a:solidFill>
          <a:srgbClr val="4C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24</xdr:col>
      <xdr:colOff>309196</xdr:colOff>
      <xdr:row>35</xdr:row>
      <xdr:rowOff>118814</xdr:rowOff>
    </xdr:from>
    <xdr:to>
      <xdr:col>25</xdr:col>
      <xdr:colOff>237758</xdr:colOff>
      <xdr:row>36</xdr:row>
      <xdr:rowOff>123575</xdr:rowOff>
    </xdr:to>
    <xdr:sp macro="" textlink="">
      <xdr:nvSpPr>
        <xdr:cNvPr id="48" name="TextBox 47">
          <a:extLst>
            <a:ext uri="{FF2B5EF4-FFF2-40B4-BE49-F238E27FC236}">
              <a16:creationId xmlns:a16="http://schemas.microsoft.com/office/drawing/2014/main" id="{610A3E4D-D657-4F9D-A865-0B4A2AF66ADB}"/>
            </a:ext>
          </a:extLst>
        </xdr:cNvPr>
        <xdr:cNvSpPr txBox="1"/>
      </xdr:nvSpPr>
      <xdr:spPr>
        <a:xfrm>
          <a:off x="14963042" y="6957276"/>
          <a:ext cx="539139" cy="200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2">
                  <a:lumMod val="25000"/>
                </a:schemeClr>
              </a:solidFill>
              <a:latin typeface="Arial" panose="020B0604020202020204" pitchFamily="34" charset="0"/>
              <a:cs typeface="Arial" panose="020B0604020202020204" pitchFamily="34" charset="0"/>
            </a:rPr>
            <a:t>High </a:t>
          </a:r>
          <a:endParaRPr lang="en-NG" sz="1000" b="1">
            <a:solidFill>
              <a:schemeClr val="bg2">
                <a:lumMod val="25000"/>
              </a:schemeClr>
            </a:solidFill>
            <a:latin typeface="Arial" panose="020B0604020202020204" pitchFamily="34" charset="0"/>
            <a:cs typeface="Arial" panose="020B0604020202020204" pitchFamily="34" charset="0"/>
          </a:endParaRPr>
        </a:p>
      </xdr:txBody>
    </xdr:sp>
    <xdr:clientData/>
  </xdr:twoCellAnchor>
  <xdr:twoCellAnchor>
    <xdr:from>
      <xdr:col>24</xdr:col>
      <xdr:colOff>321103</xdr:colOff>
      <xdr:row>36</xdr:row>
      <xdr:rowOff>187870</xdr:rowOff>
    </xdr:from>
    <xdr:to>
      <xdr:col>25</xdr:col>
      <xdr:colOff>475884</xdr:colOff>
      <xdr:row>38</xdr:row>
      <xdr:rowOff>16298</xdr:rowOff>
    </xdr:to>
    <xdr:sp macro="" textlink="">
      <xdr:nvSpPr>
        <xdr:cNvPr id="49" name="TextBox 48">
          <a:extLst>
            <a:ext uri="{FF2B5EF4-FFF2-40B4-BE49-F238E27FC236}">
              <a16:creationId xmlns:a16="http://schemas.microsoft.com/office/drawing/2014/main" id="{F0011A22-B0C7-F7F2-758D-248F994FC031}"/>
            </a:ext>
          </a:extLst>
        </xdr:cNvPr>
        <xdr:cNvSpPr txBox="1"/>
      </xdr:nvSpPr>
      <xdr:spPr>
        <a:xfrm>
          <a:off x="14974949" y="7221716"/>
          <a:ext cx="765358" cy="2191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2">
                  <a:lumMod val="25000"/>
                </a:schemeClr>
              </a:solidFill>
              <a:latin typeface="Arial" panose="020B0604020202020204" pitchFamily="34" charset="0"/>
              <a:cs typeface="Arial" panose="020B0604020202020204" pitchFamily="34" charset="0"/>
            </a:rPr>
            <a:t>Moderate</a:t>
          </a:r>
          <a:endParaRPr lang="en-NG" sz="1000" b="1">
            <a:solidFill>
              <a:schemeClr val="bg2">
                <a:lumMod val="25000"/>
              </a:schemeClr>
            </a:solidFill>
            <a:latin typeface="Arial" panose="020B0604020202020204" pitchFamily="34" charset="0"/>
            <a:cs typeface="Arial" panose="020B0604020202020204" pitchFamily="34" charset="0"/>
          </a:endParaRPr>
        </a:p>
      </xdr:txBody>
    </xdr:sp>
    <xdr:clientData/>
  </xdr:twoCellAnchor>
  <xdr:twoCellAnchor>
    <xdr:from>
      <xdr:col>24</xdr:col>
      <xdr:colOff>344915</xdr:colOff>
      <xdr:row>38</xdr:row>
      <xdr:rowOff>25824</xdr:rowOff>
    </xdr:from>
    <xdr:to>
      <xdr:col>25</xdr:col>
      <xdr:colOff>213946</xdr:colOff>
      <xdr:row>38</xdr:row>
      <xdr:rowOff>195014</xdr:rowOff>
    </xdr:to>
    <xdr:sp macro="" textlink="">
      <xdr:nvSpPr>
        <xdr:cNvPr id="50" name="TextBox 49">
          <a:extLst>
            <a:ext uri="{FF2B5EF4-FFF2-40B4-BE49-F238E27FC236}">
              <a16:creationId xmlns:a16="http://schemas.microsoft.com/office/drawing/2014/main" id="{E21FA5E1-37FF-B051-FF5C-97E59ECA8E81}"/>
            </a:ext>
          </a:extLst>
        </xdr:cNvPr>
        <xdr:cNvSpPr txBox="1"/>
      </xdr:nvSpPr>
      <xdr:spPr>
        <a:xfrm>
          <a:off x="14998761" y="7450439"/>
          <a:ext cx="479608" cy="169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2">
                  <a:lumMod val="25000"/>
                </a:schemeClr>
              </a:solidFill>
              <a:latin typeface="Arial" panose="020B0604020202020204" pitchFamily="34" charset="0"/>
              <a:cs typeface="Arial" panose="020B0604020202020204" pitchFamily="34" charset="0"/>
            </a:rPr>
            <a:t>Low</a:t>
          </a:r>
          <a:r>
            <a:rPr lang="en-US" sz="1000" b="1">
              <a:latin typeface="Arial" panose="020B0604020202020204" pitchFamily="34" charset="0"/>
              <a:cs typeface="Arial" panose="020B0604020202020204" pitchFamily="34" charset="0"/>
            </a:rPr>
            <a:t> </a:t>
          </a:r>
          <a:endParaRPr lang="en-NG" sz="1000" b="1">
            <a:latin typeface="Arial" panose="020B0604020202020204" pitchFamily="34" charset="0"/>
            <a:cs typeface="Arial" panose="020B0604020202020204" pitchFamily="34" charset="0"/>
          </a:endParaRPr>
        </a:p>
      </xdr:txBody>
    </xdr:sp>
    <xdr:clientData/>
  </xdr:twoCellAnchor>
  <xdr:twoCellAnchor>
    <xdr:from>
      <xdr:col>16</xdr:col>
      <xdr:colOff>280619</xdr:colOff>
      <xdr:row>29</xdr:row>
      <xdr:rowOff>142625</xdr:rowOff>
    </xdr:from>
    <xdr:to>
      <xdr:col>25</xdr:col>
      <xdr:colOff>497313</xdr:colOff>
      <xdr:row>31</xdr:row>
      <xdr:rowOff>21061</xdr:rowOff>
    </xdr:to>
    <xdr:sp macro="" textlink="">
      <xdr:nvSpPr>
        <xdr:cNvPr id="53" name="TextBox 52">
          <a:extLst>
            <a:ext uri="{FF2B5EF4-FFF2-40B4-BE49-F238E27FC236}">
              <a16:creationId xmlns:a16="http://schemas.microsoft.com/office/drawing/2014/main" id="{E09153D8-7D86-1386-3F20-F8F7D9B61FAA}"/>
            </a:ext>
          </a:extLst>
        </xdr:cNvPr>
        <xdr:cNvSpPr txBox="1"/>
      </xdr:nvSpPr>
      <xdr:spPr>
        <a:xfrm>
          <a:off x="10049850" y="5808779"/>
          <a:ext cx="5711886" cy="269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latin typeface="Arial" panose="020B0604020202020204" pitchFamily="34" charset="0"/>
              <a:cs typeface="Arial" panose="020B0604020202020204" pitchFamily="34" charset="0"/>
            </a:rPr>
            <a:t>96.8% of Top Performers Are High Stress — Nearly Double the General Rate</a:t>
          </a:r>
          <a:endParaRPr lang="en-NG" sz="1150" b="1">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24</xdr:col>
      <xdr:colOff>1036</xdr:colOff>
      <xdr:row>34</xdr:row>
      <xdr:rowOff>87734</xdr:rowOff>
    </xdr:from>
    <xdr:to>
      <xdr:col>25</xdr:col>
      <xdr:colOff>333008</xdr:colOff>
      <xdr:row>35</xdr:row>
      <xdr:rowOff>123575</xdr:rowOff>
    </xdr:to>
    <xdr:sp macro="" textlink="">
      <xdr:nvSpPr>
        <xdr:cNvPr id="32" name="TextBox 31">
          <a:extLst>
            <a:ext uri="{FF2B5EF4-FFF2-40B4-BE49-F238E27FC236}">
              <a16:creationId xmlns:a16="http://schemas.microsoft.com/office/drawing/2014/main" id="{C340D5C9-C6BE-77F2-E76D-2277E1AFC58E}"/>
            </a:ext>
          </a:extLst>
        </xdr:cNvPr>
        <xdr:cNvSpPr txBox="1"/>
      </xdr:nvSpPr>
      <xdr:spPr>
        <a:xfrm>
          <a:off x="14654882" y="6730811"/>
          <a:ext cx="942549" cy="231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b="1" i="1" u="sng">
              <a:solidFill>
                <a:schemeClr val="tx1">
                  <a:lumMod val="50000"/>
                  <a:lumOff val="50000"/>
                </a:schemeClr>
              </a:solidFill>
              <a:latin typeface="Arial" panose="020B0604020202020204" pitchFamily="34" charset="0"/>
              <a:ea typeface="+mn-ea"/>
              <a:cs typeface="Arial" panose="020B0604020202020204" pitchFamily="34" charset="0"/>
            </a:rPr>
            <a:t>Stress</a:t>
          </a:r>
          <a:r>
            <a:rPr lang="en-US" sz="900" b="1" i="1" u="sng" baseline="0">
              <a:solidFill>
                <a:schemeClr val="tx1">
                  <a:lumMod val="50000"/>
                  <a:lumOff val="50000"/>
                </a:schemeClr>
              </a:solidFill>
              <a:latin typeface="Arial" panose="020B0604020202020204" pitchFamily="34" charset="0"/>
              <a:ea typeface="+mn-ea"/>
              <a:cs typeface="Arial" panose="020B0604020202020204" pitchFamily="34" charset="0"/>
            </a:rPr>
            <a:t> Level</a:t>
          </a:r>
          <a:endParaRPr lang="en-NG" sz="900" b="1" i="1" u="sng">
            <a:solidFill>
              <a:schemeClr val="tx1">
                <a:lumMod val="50000"/>
                <a:lumOff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20</xdr:col>
      <xdr:colOff>189157</xdr:colOff>
      <xdr:row>16</xdr:row>
      <xdr:rowOff>11535</xdr:rowOff>
    </xdr:from>
    <xdr:to>
      <xdr:col>25</xdr:col>
      <xdr:colOff>189157</xdr:colOff>
      <xdr:row>28</xdr:row>
      <xdr:rowOff>140245</xdr:rowOff>
    </xdr:to>
    <xdr:graphicFrame macro="">
      <xdr:nvGraphicFramePr>
        <xdr:cNvPr id="58" name="Chart 57">
          <a:extLst>
            <a:ext uri="{FF2B5EF4-FFF2-40B4-BE49-F238E27FC236}">
              <a16:creationId xmlns:a16="http://schemas.microsoft.com/office/drawing/2014/main" id="{4F4593CB-6670-4809-9B98-DD75354E59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17708</xdr:colOff>
      <xdr:row>27</xdr:row>
      <xdr:rowOff>133102</xdr:rowOff>
    </xdr:from>
    <xdr:to>
      <xdr:col>21</xdr:col>
      <xdr:colOff>146295</xdr:colOff>
      <xdr:row>28</xdr:row>
      <xdr:rowOff>28206</xdr:rowOff>
    </xdr:to>
    <xdr:sp macro="" textlink="">
      <xdr:nvSpPr>
        <xdr:cNvPr id="59" name="Rectangle 58">
          <a:extLst>
            <a:ext uri="{FF2B5EF4-FFF2-40B4-BE49-F238E27FC236}">
              <a16:creationId xmlns:a16="http://schemas.microsoft.com/office/drawing/2014/main" id="{4BD9686D-9788-28BA-FCE0-9D777DE1F4E6}"/>
            </a:ext>
          </a:extLst>
        </xdr:cNvPr>
        <xdr:cNvSpPr/>
      </xdr:nvSpPr>
      <xdr:spPr>
        <a:xfrm>
          <a:off x="12839823" y="5408487"/>
          <a:ext cx="128587" cy="90488"/>
        </a:xfrm>
        <a:prstGeom prst="rect">
          <a:avLst/>
        </a:prstGeom>
        <a:solidFill>
          <a:srgbClr val="4C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21</xdr:col>
      <xdr:colOff>79619</xdr:colOff>
      <xdr:row>27</xdr:row>
      <xdr:rowOff>63923</xdr:rowOff>
    </xdr:from>
    <xdr:to>
      <xdr:col>21</xdr:col>
      <xdr:colOff>544940</xdr:colOff>
      <xdr:row>28</xdr:row>
      <xdr:rowOff>94879</xdr:rowOff>
    </xdr:to>
    <xdr:sp macro="" textlink="">
      <xdr:nvSpPr>
        <xdr:cNvPr id="60" name="TextBox 59">
          <a:extLst>
            <a:ext uri="{FF2B5EF4-FFF2-40B4-BE49-F238E27FC236}">
              <a16:creationId xmlns:a16="http://schemas.microsoft.com/office/drawing/2014/main" id="{D5B7AAD5-A405-1123-EA37-222A926D1D77}"/>
            </a:ext>
          </a:extLst>
        </xdr:cNvPr>
        <xdr:cNvSpPr txBox="1"/>
      </xdr:nvSpPr>
      <xdr:spPr>
        <a:xfrm>
          <a:off x="12901734" y="5339308"/>
          <a:ext cx="465321" cy="226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2">
                  <a:lumMod val="25000"/>
                </a:schemeClr>
              </a:solidFill>
              <a:latin typeface="Arial" panose="020B0604020202020204" pitchFamily="34" charset="0"/>
              <a:cs typeface="Arial" panose="020B0604020202020204" pitchFamily="34" charset="0"/>
            </a:rPr>
            <a:t>High </a:t>
          </a:r>
          <a:endParaRPr lang="en-NG" sz="900" b="1">
            <a:solidFill>
              <a:schemeClr val="bg2">
                <a:lumMod val="25000"/>
              </a:schemeClr>
            </a:solidFill>
            <a:latin typeface="Arial" panose="020B0604020202020204" pitchFamily="34" charset="0"/>
            <a:cs typeface="Arial" panose="020B0604020202020204" pitchFamily="34" charset="0"/>
          </a:endParaRPr>
        </a:p>
      </xdr:txBody>
    </xdr:sp>
    <xdr:clientData/>
  </xdr:twoCellAnchor>
  <xdr:twoCellAnchor>
    <xdr:from>
      <xdr:col>21</xdr:col>
      <xdr:colOff>518744</xdr:colOff>
      <xdr:row>27</xdr:row>
      <xdr:rowOff>130719</xdr:rowOff>
    </xdr:from>
    <xdr:to>
      <xdr:col>22</xdr:col>
      <xdr:colOff>34373</xdr:colOff>
      <xdr:row>28</xdr:row>
      <xdr:rowOff>25823</xdr:rowOff>
    </xdr:to>
    <xdr:sp macro="" textlink="">
      <xdr:nvSpPr>
        <xdr:cNvPr id="61" name="Rectangle 60">
          <a:extLst>
            <a:ext uri="{FF2B5EF4-FFF2-40B4-BE49-F238E27FC236}">
              <a16:creationId xmlns:a16="http://schemas.microsoft.com/office/drawing/2014/main" id="{83212FF7-0499-B075-E284-09B0C4879705}"/>
            </a:ext>
          </a:extLst>
        </xdr:cNvPr>
        <xdr:cNvSpPr/>
      </xdr:nvSpPr>
      <xdr:spPr>
        <a:xfrm>
          <a:off x="13340859" y="5406104"/>
          <a:ext cx="126206" cy="90488"/>
        </a:xfrm>
        <a:prstGeom prst="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21</xdr:col>
      <xdr:colOff>580658</xdr:colOff>
      <xdr:row>27</xdr:row>
      <xdr:rowOff>61541</xdr:rowOff>
    </xdr:from>
    <xdr:to>
      <xdr:col>23</xdr:col>
      <xdr:colOff>55806</xdr:colOff>
      <xdr:row>28</xdr:row>
      <xdr:rowOff>71066</xdr:rowOff>
    </xdr:to>
    <xdr:sp macro="" textlink="">
      <xdr:nvSpPr>
        <xdr:cNvPr id="62" name="TextBox 61">
          <a:extLst>
            <a:ext uri="{FF2B5EF4-FFF2-40B4-BE49-F238E27FC236}">
              <a16:creationId xmlns:a16="http://schemas.microsoft.com/office/drawing/2014/main" id="{A586C7AB-A66E-55FA-4009-F2BD668B88DC}"/>
            </a:ext>
          </a:extLst>
        </xdr:cNvPr>
        <xdr:cNvSpPr txBox="1"/>
      </xdr:nvSpPr>
      <xdr:spPr>
        <a:xfrm>
          <a:off x="13402773" y="5336926"/>
          <a:ext cx="696302" cy="2049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2">
                  <a:lumMod val="25000"/>
                </a:schemeClr>
              </a:solidFill>
              <a:latin typeface="Arial" panose="020B0604020202020204" pitchFamily="34" charset="0"/>
              <a:cs typeface="Arial" panose="020B0604020202020204" pitchFamily="34" charset="0"/>
            </a:rPr>
            <a:t>Moderate</a:t>
          </a:r>
          <a:endParaRPr lang="en-NG" sz="900" b="1">
            <a:solidFill>
              <a:schemeClr val="bg2">
                <a:lumMod val="25000"/>
              </a:schemeClr>
            </a:solidFill>
            <a:latin typeface="Arial" panose="020B0604020202020204" pitchFamily="34" charset="0"/>
            <a:cs typeface="Arial" panose="020B0604020202020204" pitchFamily="34" charset="0"/>
          </a:endParaRPr>
        </a:p>
      </xdr:txBody>
    </xdr:sp>
    <xdr:clientData/>
  </xdr:twoCellAnchor>
  <xdr:twoCellAnchor>
    <xdr:from>
      <xdr:col>23</xdr:col>
      <xdr:colOff>60570</xdr:colOff>
      <xdr:row>27</xdr:row>
      <xdr:rowOff>140244</xdr:rowOff>
    </xdr:from>
    <xdr:to>
      <xdr:col>23</xdr:col>
      <xdr:colOff>189158</xdr:colOff>
      <xdr:row>28</xdr:row>
      <xdr:rowOff>35348</xdr:rowOff>
    </xdr:to>
    <xdr:sp macro="" textlink="">
      <xdr:nvSpPr>
        <xdr:cNvPr id="63" name="Rectangle 62">
          <a:extLst>
            <a:ext uri="{FF2B5EF4-FFF2-40B4-BE49-F238E27FC236}">
              <a16:creationId xmlns:a16="http://schemas.microsoft.com/office/drawing/2014/main" id="{3A1FD968-E507-707C-28D3-AC2B31EF2AA5}"/>
            </a:ext>
          </a:extLst>
        </xdr:cNvPr>
        <xdr:cNvSpPr/>
      </xdr:nvSpPr>
      <xdr:spPr>
        <a:xfrm>
          <a:off x="14103839" y="5415629"/>
          <a:ext cx="128588" cy="90488"/>
        </a:xfrm>
        <a:prstGeom prst="rect">
          <a:avLst/>
        </a:prstGeom>
        <a:solidFill>
          <a:schemeClr val="bg1">
            <a:lumMod val="75000"/>
            <a:alpha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23</xdr:col>
      <xdr:colOff>127246</xdr:colOff>
      <xdr:row>27</xdr:row>
      <xdr:rowOff>59160</xdr:rowOff>
    </xdr:from>
    <xdr:to>
      <xdr:col>23</xdr:col>
      <xdr:colOff>559228</xdr:colOff>
      <xdr:row>28</xdr:row>
      <xdr:rowOff>71066</xdr:rowOff>
    </xdr:to>
    <xdr:sp macro="" textlink="">
      <xdr:nvSpPr>
        <xdr:cNvPr id="64" name="TextBox 63">
          <a:extLst>
            <a:ext uri="{FF2B5EF4-FFF2-40B4-BE49-F238E27FC236}">
              <a16:creationId xmlns:a16="http://schemas.microsoft.com/office/drawing/2014/main" id="{B5747D6A-D0FE-AE2F-CC9A-DB5EE9EC77C0}"/>
            </a:ext>
          </a:extLst>
        </xdr:cNvPr>
        <xdr:cNvSpPr txBox="1"/>
      </xdr:nvSpPr>
      <xdr:spPr>
        <a:xfrm>
          <a:off x="14170515" y="5334545"/>
          <a:ext cx="431982" cy="207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2">
                  <a:lumMod val="25000"/>
                </a:schemeClr>
              </a:solidFill>
              <a:latin typeface="Arial" panose="020B0604020202020204" pitchFamily="34" charset="0"/>
              <a:cs typeface="Arial" panose="020B0604020202020204" pitchFamily="34" charset="0"/>
            </a:rPr>
            <a:t>Low</a:t>
          </a:r>
          <a:r>
            <a:rPr lang="en-US" sz="900" b="1">
              <a:latin typeface="Arial" panose="020B0604020202020204" pitchFamily="34" charset="0"/>
              <a:cs typeface="Arial" panose="020B0604020202020204" pitchFamily="34" charset="0"/>
            </a:rPr>
            <a:t> </a:t>
          </a:r>
          <a:endParaRPr lang="en-NG" sz="900" b="1">
            <a:latin typeface="Arial" panose="020B0604020202020204" pitchFamily="34" charset="0"/>
            <a:cs typeface="Arial" panose="020B0604020202020204" pitchFamily="34" charset="0"/>
          </a:endParaRPr>
        </a:p>
      </xdr:txBody>
    </xdr:sp>
    <xdr:clientData/>
  </xdr:twoCellAnchor>
  <xdr:twoCellAnchor>
    <xdr:from>
      <xdr:col>20</xdr:col>
      <xdr:colOff>155817</xdr:colOff>
      <xdr:row>26</xdr:row>
      <xdr:rowOff>61540</xdr:rowOff>
    </xdr:from>
    <xdr:to>
      <xdr:col>21</xdr:col>
      <xdr:colOff>485408</xdr:colOff>
      <xdr:row>27</xdr:row>
      <xdr:rowOff>92496</xdr:rowOff>
    </xdr:to>
    <xdr:sp macro="" textlink="">
      <xdr:nvSpPr>
        <xdr:cNvPr id="65" name="TextBox 64">
          <a:extLst>
            <a:ext uri="{FF2B5EF4-FFF2-40B4-BE49-F238E27FC236}">
              <a16:creationId xmlns:a16="http://schemas.microsoft.com/office/drawing/2014/main" id="{508122B7-6501-67DE-556B-D4DD1A3C470F}"/>
            </a:ext>
          </a:extLst>
        </xdr:cNvPr>
        <xdr:cNvSpPr txBox="1"/>
      </xdr:nvSpPr>
      <xdr:spPr>
        <a:xfrm>
          <a:off x="12367355" y="5141540"/>
          <a:ext cx="940168" cy="226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b="1" i="1" u="sng">
              <a:solidFill>
                <a:schemeClr val="tx1">
                  <a:lumMod val="50000"/>
                  <a:lumOff val="50000"/>
                </a:schemeClr>
              </a:solidFill>
              <a:latin typeface="Arial" panose="020B0604020202020204" pitchFamily="34" charset="0"/>
              <a:ea typeface="+mn-ea"/>
              <a:cs typeface="Arial" panose="020B0604020202020204" pitchFamily="34" charset="0"/>
            </a:rPr>
            <a:t>Stress</a:t>
          </a:r>
          <a:r>
            <a:rPr lang="en-US" sz="900" b="1" i="1" u="sng" baseline="0">
              <a:solidFill>
                <a:schemeClr val="tx1">
                  <a:lumMod val="50000"/>
                  <a:lumOff val="50000"/>
                </a:schemeClr>
              </a:solidFill>
              <a:latin typeface="Arial" panose="020B0604020202020204" pitchFamily="34" charset="0"/>
              <a:ea typeface="+mn-ea"/>
              <a:cs typeface="Arial" panose="020B0604020202020204" pitchFamily="34" charset="0"/>
            </a:rPr>
            <a:t> Level</a:t>
          </a:r>
          <a:endParaRPr lang="en-NG" sz="900" b="1" i="1" u="sng">
            <a:solidFill>
              <a:schemeClr val="tx1">
                <a:lumMod val="50000"/>
                <a:lumOff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24</xdr:col>
      <xdr:colOff>271096</xdr:colOff>
      <xdr:row>37</xdr:row>
      <xdr:rowOff>56779</xdr:rowOff>
    </xdr:from>
    <xdr:to>
      <xdr:col>24</xdr:col>
      <xdr:colOff>366346</xdr:colOff>
      <xdr:row>37</xdr:row>
      <xdr:rowOff>145006</xdr:rowOff>
    </xdr:to>
    <xdr:sp macro="" textlink="">
      <xdr:nvSpPr>
        <xdr:cNvPr id="66" name="Rectangle 65">
          <a:extLst>
            <a:ext uri="{FF2B5EF4-FFF2-40B4-BE49-F238E27FC236}">
              <a16:creationId xmlns:a16="http://schemas.microsoft.com/office/drawing/2014/main" id="{CF3AB80A-34B4-F2A4-CA3A-F4F0701E2A47}"/>
            </a:ext>
          </a:extLst>
        </xdr:cNvPr>
        <xdr:cNvSpPr/>
      </xdr:nvSpPr>
      <xdr:spPr>
        <a:xfrm>
          <a:off x="14924942" y="7286010"/>
          <a:ext cx="95250" cy="88227"/>
        </a:xfrm>
        <a:prstGeom prst="rect">
          <a:avLst/>
        </a:prstGeom>
        <a:solidFill>
          <a:schemeClr val="bg1">
            <a:lumMod val="50000"/>
            <a:alpha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24</xdr:col>
      <xdr:colOff>280621</xdr:colOff>
      <xdr:row>38</xdr:row>
      <xdr:rowOff>118815</xdr:rowOff>
    </xdr:from>
    <xdr:to>
      <xdr:col>24</xdr:col>
      <xdr:colOff>375871</xdr:colOff>
      <xdr:row>39</xdr:row>
      <xdr:rowOff>6772</xdr:rowOff>
    </xdr:to>
    <xdr:sp macro="" textlink="">
      <xdr:nvSpPr>
        <xdr:cNvPr id="67" name="Rectangle 66">
          <a:extLst>
            <a:ext uri="{FF2B5EF4-FFF2-40B4-BE49-F238E27FC236}">
              <a16:creationId xmlns:a16="http://schemas.microsoft.com/office/drawing/2014/main" id="{1F726788-10C7-4865-E052-87FEE0E646DC}"/>
            </a:ext>
          </a:extLst>
        </xdr:cNvPr>
        <xdr:cNvSpPr/>
      </xdr:nvSpPr>
      <xdr:spPr>
        <a:xfrm>
          <a:off x="14934467" y="7543430"/>
          <a:ext cx="95250" cy="83342"/>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20</xdr:col>
      <xdr:colOff>36755</xdr:colOff>
      <xdr:row>15</xdr:row>
      <xdr:rowOff>111548</xdr:rowOff>
    </xdr:from>
    <xdr:to>
      <xdr:col>25</xdr:col>
      <xdr:colOff>464037</xdr:colOff>
      <xdr:row>17</xdr:row>
      <xdr:rowOff>192083</xdr:rowOff>
    </xdr:to>
    <xdr:sp macro="" textlink="">
      <xdr:nvSpPr>
        <xdr:cNvPr id="68" name="TextBox 67">
          <a:extLst>
            <a:ext uri="{FF2B5EF4-FFF2-40B4-BE49-F238E27FC236}">
              <a16:creationId xmlns:a16="http://schemas.microsoft.com/office/drawing/2014/main" id="{F426A3BF-8B51-6EC3-3CF8-12270D60A2AD}"/>
            </a:ext>
          </a:extLst>
        </xdr:cNvPr>
        <xdr:cNvSpPr txBox="1"/>
      </xdr:nvSpPr>
      <xdr:spPr>
        <a:xfrm>
          <a:off x="12248293" y="3042317"/>
          <a:ext cx="3480167" cy="471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latin typeface="Arial" panose="020B0604020202020204" pitchFamily="34" charset="0"/>
              <a:cs typeface="Arial" panose="020B0604020202020204" pitchFamily="34" charset="0"/>
            </a:rPr>
            <a:t>Studying Contributes to 50.2% of High Stress Levels Among Students</a:t>
          </a:r>
          <a:endParaRPr lang="en-US" sz="1200">
            <a:latin typeface="Arial" panose="020B0604020202020204" pitchFamily="34" charset="0"/>
            <a:cs typeface="Arial" panose="020B0604020202020204" pitchFamily="34" charset="0"/>
          </a:endParaRPr>
        </a:p>
        <a:p>
          <a:pPr marL="0" indent="0"/>
          <a:endParaRPr lang="en-NG" sz="1200" b="1">
            <a:solidFill>
              <a:schemeClr val="dk1"/>
            </a:solidFill>
            <a:latin typeface="Arial" panose="020B0604020202020204" pitchFamily="34" charset="0"/>
            <a:ea typeface="+mn-ea"/>
            <a:cs typeface="Arial" panose="020B0604020202020204" pitchFamily="34" charset="0"/>
          </a:endParaRPr>
        </a:p>
      </xdr:txBody>
    </xdr:sp>
    <xdr:clientData/>
  </xdr:twoCellAnchor>
  <xdr:twoCellAnchor editAs="oneCell">
    <xdr:from>
      <xdr:col>0</xdr:col>
      <xdr:colOff>195386</xdr:colOff>
      <xdr:row>25</xdr:row>
      <xdr:rowOff>146539</xdr:rowOff>
    </xdr:from>
    <xdr:to>
      <xdr:col>3</xdr:col>
      <xdr:colOff>97692</xdr:colOff>
      <xdr:row>34</xdr:row>
      <xdr:rowOff>109904</xdr:rowOff>
    </xdr:to>
    <mc:AlternateContent xmlns:mc="http://schemas.openxmlformats.org/markup-compatibility/2006" xmlns:a14="http://schemas.microsoft.com/office/drawing/2010/main">
      <mc:Choice Requires="a14">
        <xdr:graphicFrame macro="">
          <xdr:nvGraphicFramePr>
            <xdr:cNvPr id="72" name="GPA Category">
              <a:extLst>
                <a:ext uri="{FF2B5EF4-FFF2-40B4-BE49-F238E27FC236}">
                  <a16:creationId xmlns:a16="http://schemas.microsoft.com/office/drawing/2014/main" id="{CCCB630B-C6CC-41FF-9B5C-36B8891FD612}"/>
                </a:ext>
              </a:extLst>
            </xdr:cNvPr>
            <xdr:cNvGraphicFramePr/>
          </xdr:nvGraphicFramePr>
          <xdr:xfrm>
            <a:off x="0" y="0"/>
            <a:ext cx="0" cy="0"/>
          </xdr:xfrm>
          <a:graphic>
            <a:graphicData uri="http://schemas.microsoft.com/office/drawing/2010/slicer">
              <sle:slicer xmlns:sle="http://schemas.microsoft.com/office/drawing/2010/slicer" name="GPA Category"/>
            </a:graphicData>
          </a:graphic>
        </xdr:graphicFrame>
      </mc:Choice>
      <mc:Fallback xmlns="">
        <xdr:sp macro="" textlink="">
          <xdr:nvSpPr>
            <xdr:cNvPr id="0" name=""/>
            <xdr:cNvSpPr>
              <a:spLocks noTextEdit="1"/>
            </xdr:cNvSpPr>
          </xdr:nvSpPr>
          <xdr:spPr>
            <a:xfrm>
              <a:off x="195386" y="5031154"/>
              <a:ext cx="1734037" cy="172182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219809</xdr:colOff>
      <xdr:row>36</xdr:row>
      <xdr:rowOff>24424</xdr:rowOff>
    </xdr:from>
    <xdr:to>
      <xdr:col>3</xdr:col>
      <xdr:colOff>114008</xdr:colOff>
      <xdr:row>41</xdr:row>
      <xdr:rowOff>12212</xdr:rowOff>
    </xdr:to>
    <mc:AlternateContent xmlns:mc="http://schemas.openxmlformats.org/markup-compatibility/2006" xmlns:a14="http://schemas.microsoft.com/office/drawing/2010/main">
      <mc:Choice Requires="a14">
        <xdr:graphicFrame macro="">
          <xdr:nvGraphicFramePr>
            <xdr:cNvPr id="73" name="Balanced_Profile ">
              <a:extLst>
                <a:ext uri="{FF2B5EF4-FFF2-40B4-BE49-F238E27FC236}">
                  <a16:creationId xmlns:a16="http://schemas.microsoft.com/office/drawing/2014/main" id="{E73FEDDA-F5BB-492E-8AEC-5F038F377BC2}"/>
                </a:ext>
              </a:extLst>
            </xdr:cNvPr>
            <xdr:cNvGraphicFramePr/>
          </xdr:nvGraphicFramePr>
          <xdr:xfrm>
            <a:off x="0" y="0"/>
            <a:ext cx="0" cy="0"/>
          </xdr:xfrm>
          <a:graphic>
            <a:graphicData uri="http://schemas.microsoft.com/office/drawing/2010/slicer">
              <sle:slicer xmlns:sle="http://schemas.microsoft.com/office/drawing/2010/slicer" name="Balanced_Profile "/>
            </a:graphicData>
          </a:graphic>
        </xdr:graphicFrame>
      </mc:Choice>
      <mc:Fallback xmlns="">
        <xdr:sp macro="" textlink="">
          <xdr:nvSpPr>
            <xdr:cNvPr id="0" name=""/>
            <xdr:cNvSpPr>
              <a:spLocks noTextEdit="1"/>
            </xdr:cNvSpPr>
          </xdr:nvSpPr>
          <xdr:spPr>
            <a:xfrm>
              <a:off x="219809" y="7058270"/>
              <a:ext cx="1725930" cy="96471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232019</xdr:colOff>
      <xdr:row>17</xdr:row>
      <xdr:rowOff>73270</xdr:rowOff>
    </xdr:from>
    <xdr:to>
      <xdr:col>3</xdr:col>
      <xdr:colOff>73270</xdr:colOff>
      <xdr:row>24</xdr:row>
      <xdr:rowOff>24422</xdr:rowOff>
    </xdr:to>
    <mc:AlternateContent xmlns:mc="http://schemas.openxmlformats.org/markup-compatibility/2006" xmlns:a14="http://schemas.microsoft.com/office/drawing/2010/main">
      <mc:Choice Requires="a14">
        <xdr:graphicFrame macro="">
          <xdr:nvGraphicFramePr>
            <xdr:cNvPr id="45" name="Stress_Level">
              <a:extLst>
                <a:ext uri="{FF2B5EF4-FFF2-40B4-BE49-F238E27FC236}">
                  <a16:creationId xmlns:a16="http://schemas.microsoft.com/office/drawing/2014/main" id="{809F585B-8CC6-47C6-B0D4-A76FC4FAB098}"/>
                </a:ext>
              </a:extLst>
            </xdr:cNvPr>
            <xdr:cNvGraphicFramePr/>
          </xdr:nvGraphicFramePr>
          <xdr:xfrm>
            <a:off x="0" y="0"/>
            <a:ext cx="0" cy="0"/>
          </xdr:xfrm>
          <a:graphic>
            <a:graphicData uri="http://schemas.microsoft.com/office/drawing/2010/slicer">
              <sle:slicer xmlns:sle="http://schemas.microsoft.com/office/drawing/2010/slicer" name="Stress_Level"/>
            </a:graphicData>
          </a:graphic>
        </xdr:graphicFrame>
      </mc:Choice>
      <mc:Fallback xmlns="">
        <xdr:sp macro="" textlink="">
          <xdr:nvSpPr>
            <xdr:cNvPr id="0" name=""/>
            <xdr:cNvSpPr>
              <a:spLocks noTextEdit="1"/>
            </xdr:cNvSpPr>
          </xdr:nvSpPr>
          <xdr:spPr>
            <a:xfrm>
              <a:off x="232019" y="3394808"/>
              <a:ext cx="1672982" cy="131884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256441</xdr:colOff>
      <xdr:row>13</xdr:row>
      <xdr:rowOff>73271</xdr:rowOff>
    </xdr:from>
    <xdr:to>
      <xdr:col>3</xdr:col>
      <xdr:colOff>183174</xdr:colOff>
      <xdr:row>15</xdr:row>
      <xdr:rowOff>36636</xdr:rowOff>
    </xdr:to>
    <xdr:sp macro="[0]!Clear_All_Filters" textlink="">
      <xdr:nvSpPr>
        <xdr:cNvPr id="46" name="TextBox 45">
          <a:extLst>
            <a:ext uri="{FF2B5EF4-FFF2-40B4-BE49-F238E27FC236}">
              <a16:creationId xmlns:a16="http://schemas.microsoft.com/office/drawing/2014/main" id="{992E318E-0823-70FA-A2E4-275AB227328B}"/>
            </a:ext>
          </a:extLst>
        </xdr:cNvPr>
        <xdr:cNvSpPr txBox="1"/>
      </xdr:nvSpPr>
      <xdr:spPr>
        <a:xfrm>
          <a:off x="256441" y="2613271"/>
          <a:ext cx="1758464" cy="354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u="sng">
              <a:solidFill>
                <a:schemeClr val="tx1">
                  <a:lumMod val="95000"/>
                  <a:lumOff val="5000"/>
                </a:schemeClr>
              </a:solidFill>
              <a:latin typeface="Arial" panose="020B0604020202020204" pitchFamily="34" charset="0"/>
              <a:cs typeface="Arial" panose="020B0604020202020204" pitchFamily="34" charset="0"/>
            </a:rPr>
            <a:t>Clear All Filters</a:t>
          </a:r>
          <a:endParaRPr lang="en-NG" sz="1600" b="1" i="1" u="sng">
            <a:solidFill>
              <a:schemeClr val="tx1">
                <a:lumMod val="95000"/>
                <a:lumOff val="5000"/>
              </a:schemeClr>
            </a:solidFill>
            <a:latin typeface="Arial" panose="020B0604020202020204" pitchFamily="34" charset="0"/>
            <a:cs typeface="Arial" panose="020B0604020202020204" pitchFamily="34" charset="0"/>
          </a:endParaRPr>
        </a:p>
      </xdr:txBody>
    </xdr:sp>
    <xdr:clientData/>
  </xdr:twoCellAnchor>
  <xdr:twoCellAnchor>
    <xdr:from>
      <xdr:col>0</xdr:col>
      <xdr:colOff>146539</xdr:colOff>
      <xdr:row>24</xdr:row>
      <xdr:rowOff>85480</xdr:rowOff>
    </xdr:from>
    <xdr:to>
      <xdr:col>2</xdr:col>
      <xdr:colOff>378558</xdr:colOff>
      <xdr:row>25</xdr:row>
      <xdr:rowOff>122116</xdr:rowOff>
    </xdr:to>
    <xdr:sp macro="" textlink="">
      <xdr:nvSpPr>
        <xdr:cNvPr id="47" name="TextBox 46">
          <a:extLst>
            <a:ext uri="{FF2B5EF4-FFF2-40B4-BE49-F238E27FC236}">
              <a16:creationId xmlns:a16="http://schemas.microsoft.com/office/drawing/2014/main" id="{628A97BE-3679-711A-94EA-483F707D97BE}"/>
            </a:ext>
          </a:extLst>
        </xdr:cNvPr>
        <xdr:cNvSpPr txBox="1"/>
      </xdr:nvSpPr>
      <xdr:spPr>
        <a:xfrm>
          <a:off x="146539" y="4774711"/>
          <a:ext cx="1453173" cy="232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1" u="sng">
              <a:solidFill>
                <a:schemeClr val="tx1"/>
              </a:solidFill>
              <a:latin typeface="Arial" panose="020B0604020202020204" pitchFamily="34" charset="0"/>
              <a:cs typeface="Arial" panose="020B0604020202020204" pitchFamily="34" charset="0"/>
            </a:rPr>
            <a:t>GPA Category</a:t>
          </a:r>
          <a:endParaRPr lang="en-NG" sz="1200" b="1" i="1" u="sng">
            <a:solidFill>
              <a:schemeClr val="tx1"/>
            </a:solidFill>
            <a:latin typeface="Arial" panose="020B0604020202020204" pitchFamily="34" charset="0"/>
            <a:cs typeface="Arial" panose="020B0604020202020204" pitchFamily="34" charset="0"/>
          </a:endParaRPr>
        </a:p>
      </xdr:txBody>
    </xdr:sp>
    <xdr:clientData/>
  </xdr:twoCellAnchor>
  <xdr:twoCellAnchor>
    <xdr:from>
      <xdr:col>0</xdr:col>
      <xdr:colOff>134327</xdr:colOff>
      <xdr:row>16</xdr:row>
      <xdr:rowOff>0</xdr:rowOff>
    </xdr:from>
    <xdr:to>
      <xdr:col>2</xdr:col>
      <xdr:colOff>336061</xdr:colOff>
      <xdr:row>17</xdr:row>
      <xdr:rowOff>85481</xdr:rowOff>
    </xdr:to>
    <xdr:sp macro="" textlink="">
      <xdr:nvSpPr>
        <xdr:cNvPr id="51" name="TextBox 50">
          <a:extLst>
            <a:ext uri="{FF2B5EF4-FFF2-40B4-BE49-F238E27FC236}">
              <a16:creationId xmlns:a16="http://schemas.microsoft.com/office/drawing/2014/main" id="{C29FC897-E679-C994-713D-6C0EF3FC0D08}"/>
            </a:ext>
          </a:extLst>
        </xdr:cNvPr>
        <xdr:cNvSpPr txBox="1"/>
      </xdr:nvSpPr>
      <xdr:spPr>
        <a:xfrm>
          <a:off x="134327" y="3126154"/>
          <a:ext cx="1422888" cy="2808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1" u="sng">
              <a:solidFill>
                <a:schemeClr val="tx1">
                  <a:lumMod val="95000"/>
                  <a:lumOff val="5000"/>
                </a:schemeClr>
              </a:solidFill>
              <a:latin typeface="Arial" panose="020B0604020202020204" pitchFamily="34" charset="0"/>
              <a:cs typeface="Arial" panose="020B0604020202020204" pitchFamily="34" charset="0"/>
            </a:rPr>
            <a:t>Stress Level</a:t>
          </a:r>
          <a:endParaRPr lang="en-NG" sz="1200" b="1" i="1" u="sng">
            <a:solidFill>
              <a:schemeClr val="tx1">
                <a:lumMod val="95000"/>
                <a:lumOff val="5000"/>
              </a:schemeClr>
            </a:solidFill>
            <a:latin typeface="Arial" panose="020B0604020202020204" pitchFamily="34" charset="0"/>
            <a:cs typeface="Arial" panose="020B0604020202020204" pitchFamily="34" charset="0"/>
          </a:endParaRPr>
        </a:p>
      </xdr:txBody>
    </xdr:sp>
    <xdr:clientData/>
  </xdr:twoCellAnchor>
  <xdr:twoCellAnchor>
    <xdr:from>
      <xdr:col>0</xdr:col>
      <xdr:colOff>152401</xdr:colOff>
      <xdr:row>35</xdr:row>
      <xdr:rowOff>18073</xdr:rowOff>
    </xdr:from>
    <xdr:to>
      <xdr:col>2</xdr:col>
      <xdr:colOff>256443</xdr:colOff>
      <xdr:row>36</xdr:row>
      <xdr:rowOff>48847</xdr:rowOff>
    </xdr:to>
    <xdr:sp macro="" textlink="">
      <xdr:nvSpPr>
        <xdr:cNvPr id="54" name="TextBox 53">
          <a:extLst>
            <a:ext uri="{FF2B5EF4-FFF2-40B4-BE49-F238E27FC236}">
              <a16:creationId xmlns:a16="http://schemas.microsoft.com/office/drawing/2014/main" id="{E2CB79B6-0ED9-EC4D-54B3-CB14E8460380}"/>
            </a:ext>
          </a:extLst>
        </xdr:cNvPr>
        <xdr:cNvSpPr txBox="1"/>
      </xdr:nvSpPr>
      <xdr:spPr>
        <a:xfrm>
          <a:off x="152401" y="6856535"/>
          <a:ext cx="1325196" cy="2261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1" u="sng">
              <a:solidFill>
                <a:schemeClr val="tx1"/>
              </a:solidFill>
              <a:latin typeface="Arial" panose="020B0604020202020204" pitchFamily="34" charset="0"/>
              <a:cs typeface="Arial" panose="020B0604020202020204" pitchFamily="34" charset="0"/>
            </a:rPr>
            <a:t>Balance</a:t>
          </a:r>
          <a:r>
            <a:rPr lang="en-US" sz="1200" b="1" i="1" u="sng" baseline="0">
              <a:solidFill>
                <a:schemeClr val="tx1"/>
              </a:solidFill>
              <a:latin typeface="Arial" panose="020B0604020202020204" pitchFamily="34" charset="0"/>
              <a:cs typeface="Arial" panose="020B0604020202020204" pitchFamily="34" charset="0"/>
            </a:rPr>
            <a:t> Profile </a:t>
          </a:r>
          <a:endParaRPr lang="en-NG" sz="1200" b="1" i="1" u="sng">
            <a:solidFill>
              <a:schemeClr val="tx1"/>
            </a:solidFill>
            <a:latin typeface="Arial" panose="020B0604020202020204" pitchFamily="34" charset="0"/>
            <a:cs typeface="Arial" panose="020B0604020202020204" pitchFamily="34" charset="0"/>
          </a:endParaRPr>
        </a:p>
      </xdr:txBody>
    </xdr:sp>
    <xdr:clientData/>
  </xdr:twoCellAnchor>
  <xdr:twoCellAnchor>
    <xdr:from>
      <xdr:col>3</xdr:col>
      <xdr:colOff>293076</xdr:colOff>
      <xdr:row>0</xdr:row>
      <xdr:rowOff>183175</xdr:rowOff>
    </xdr:from>
    <xdr:to>
      <xdr:col>16</xdr:col>
      <xdr:colOff>586153</xdr:colOff>
      <xdr:row>3</xdr:row>
      <xdr:rowOff>1</xdr:rowOff>
    </xdr:to>
    <xdr:sp macro="" textlink="">
      <xdr:nvSpPr>
        <xdr:cNvPr id="77" name="TextBox 76">
          <a:extLst>
            <a:ext uri="{FF2B5EF4-FFF2-40B4-BE49-F238E27FC236}">
              <a16:creationId xmlns:a16="http://schemas.microsoft.com/office/drawing/2014/main" id="{CE411B09-6665-C3A4-81C3-44FB1CB856D0}"/>
            </a:ext>
          </a:extLst>
        </xdr:cNvPr>
        <xdr:cNvSpPr txBox="1"/>
      </xdr:nvSpPr>
      <xdr:spPr>
        <a:xfrm>
          <a:off x="2124807" y="183175"/>
          <a:ext cx="8230577" cy="402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a:solidFill>
                <a:schemeClr val="bg1"/>
              </a:solidFill>
              <a:latin typeface="Arial" panose="020B0604020202020204" pitchFamily="34" charset="0"/>
              <a:cs typeface="Arial" panose="020B0604020202020204" pitchFamily="34" charset="0"/>
            </a:rPr>
            <a:t>Student Lifestyle &amp; Academic Performance Analysis Dashboard </a:t>
          </a:r>
          <a:endParaRPr lang="en-NG" sz="1800" b="1" i="0">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473442</xdr:colOff>
      <xdr:row>1</xdr:row>
      <xdr:rowOff>12210</xdr:rowOff>
    </xdr:from>
    <xdr:to>
      <xdr:col>2</xdr:col>
      <xdr:colOff>473442</xdr:colOff>
      <xdr:row>6</xdr:row>
      <xdr:rowOff>146538</xdr:rowOff>
    </xdr:to>
    <xdr:sp macro="" textlink="">
      <xdr:nvSpPr>
        <xdr:cNvPr id="71" name="Oval 70">
          <a:extLst>
            <a:ext uri="{FF2B5EF4-FFF2-40B4-BE49-F238E27FC236}">
              <a16:creationId xmlns:a16="http://schemas.microsoft.com/office/drawing/2014/main" id="{F6992144-3CC3-F3C6-0815-3DFD6E83A54C}"/>
            </a:ext>
          </a:extLst>
        </xdr:cNvPr>
        <xdr:cNvSpPr/>
      </xdr:nvSpPr>
      <xdr:spPr>
        <a:xfrm>
          <a:off x="473442" y="207595"/>
          <a:ext cx="1221154" cy="1111251"/>
        </a:xfrm>
        <a:prstGeom prst="ellipse">
          <a:avLst/>
        </a:prstGeom>
        <a:solidFill>
          <a:srgbClr val="F2F2F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0</xdr:col>
      <xdr:colOff>598365</xdr:colOff>
      <xdr:row>1</xdr:row>
      <xdr:rowOff>164612</xdr:rowOff>
    </xdr:from>
    <xdr:to>
      <xdr:col>2</xdr:col>
      <xdr:colOff>366346</xdr:colOff>
      <xdr:row>6</xdr:row>
      <xdr:rowOff>48846</xdr:rowOff>
    </xdr:to>
    <xdr:pic>
      <xdr:nvPicPr>
        <xdr:cNvPr id="76" name="Picture 75">
          <a:extLst>
            <a:ext uri="{FF2B5EF4-FFF2-40B4-BE49-F238E27FC236}">
              <a16:creationId xmlns:a16="http://schemas.microsoft.com/office/drawing/2014/main" id="{5C369DBA-5570-62DE-4663-2C39906343B5}"/>
            </a:ext>
          </a:extLst>
        </xdr:cNvPr>
        <xdr:cNvPicPr>
          <a:picLocks noChangeAspect="1"/>
        </xdr:cNvPicPr>
      </xdr:nvPicPr>
      <xdr:blipFill>
        <a:blip xmlns:r="http://schemas.openxmlformats.org/officeDocument/2006/relationships" r:embed="rId8"/>
        <a:stretch>
          <a:fillRect/>
        </a:stretch>
      </xdr:blipFill>
      <xdr:spPr>
        <a:xfrm>
          <a:off x="598365" y="359997"/>
          <a:ext cx="989135" cy="86115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99.517922569445" createdVersion="8" refreshedVersion="8" minRefreshableVersion="3" recordCount="2000" xr:uid="{4D4A8604-0ED0-4328-937F-F0EAFF5A4797}">
  <cacheSource type="worksheet">
    <worksheetSource name="student_lifestyle_dataset__WORKING_COPY"/>
  </cacheSource>
  <cacheFields count="13">
    <cacheField name="Student_ID" numFmtId="0">
      <sharedItems containsSemiMixedTypes="0" containsString="0" containsNumber="1" containsInteger="1" minValue="1" maxValue="2000"/>
    </cacheField>
    <cacheField name="Study_Hours_Per_Day" numFmtId="0">
      <sharedItems containsSemiMixedTypes="0" containsString="0" containsNumber="1" minValue="5" maxValue="10" count="51">
        <n v="6.9"/>
        <n v="5.3"/>
        <n v="5.0999999999999996"/>
        <n v="6.5"/>
        <n v="8.1"/>
        <n v="6"/>
        <n v="8"/>
        <n v="8.4"/>
        <n v="5.2"/>
        <n v="7.7"/>
        <n v="9.6999999999999993"/>
        <n v="6.4"/>
        <n v="5"/>
        <n v="8.9"/>
        <n v="6.7"/>
        <n v="8.6"/>
        <n v="8.8000000000000007"/>
        <n v="7.6"/>
        <n v="6.6"/>
        <n v="7.1"/>
        <n v="9.6"/>
        <n v="9"/>
        <n v="6.1"/>
        <n v="6.8"/>
        <n v="9.9"/>
        <n v="6.2"/>
        <n v="5.5"/>
        <n v="8.1999999999999993"/>
        <n v="9.1"/>
        <n v="8.3000000000000007"/>
        <n v="9.5"/>
        <n v="7.9"/>
        <n v="9.3000000000000007"/>
        <n v="9.4"/>
        <n v="7.3"/>
        <n v="5.8"/>
        <n v="7.4"/>
        <n v="5.9"/>
        <n v="5.4"/>
        <n v="8.6999999999999993"/>
        <n v="8.5"/>
        <n v="5.6"/>
        <n v="9.8000000000000007"/>
        <n v="10"/>
        <n v="7.8"/>
        <n v="6.3"/>
        <n v="7.2"/>
        <n v="5.7"/>
        <n v="9.1999999999999993"/>
        <n v="7"/>
        <n v="7.5"/>
      </sharedItems>
      <fieldGroup base="1">
        <rangePr startNum="5" endNum="10"/>
        <groupItems count="7">
          <s v="&lt;5"/>
          <s v="5-6"/>
          <s v="6-7"/>
          <s v="7-8"/>
          <s v="8-9"/>
          <s v="9-10"/>
          <s v="&gt;10"/>
        </groupItems>
      </fieldGroup>
    </cacheField>
    <cacheField name="Extracurricular_Hours_Per_Day" numFmtId="0">
      <sharedItems containsSemiMixedTypes="0" containsString="0" containsNumber="1" minValue="0" maxValue="4" count="41">
        <n v="3.8"/>
        <n v="3.5"/>
        <n v="3.9"/>
        <n v="2.1"/>
        <n v="0.6"/>
        <n v="0.7"/>
        <n v="1.8"/>
        <n v="3.6"/>
        <n v="1.1000000000000001"/>
        <n v="2.2000000000000002"/>
        <n v="3.3"/>
        <n v="0.3"/>
        <n v="2.6"/>
        <n v="1.7"/>
        <n v="2"/>
        <n v="3"/>
        <n v="3.2"/>
        <n v="1.3"/>
        <n v="0.1"/>
        <n v="1"/>
        <n v="2.9"/>
        <n v="2.4"/>
        <n v="0.9"/>
        <n v="3.4"/>
        <n v="1.5"/>
        <n v="2.5"/>
        <n v="3.7"/>
        <n v="2.8"/>
        <n v="1.2"/>
        <n v="1.4"/>
        <n v="0.5"/>
        <n v="0.4"/>
        <n v="2.2999999999999998"/>
        <n v="2.7"/>
        <n v="3.1"/>
        <n v="1.9"/>
        <n v="4"/>
        <n v="1.6"/>
        <n v="0"/>
        <n v="0.2"/>
        <n v="0.8"/>
      </sharedItems>
      <fieldGroup base="2">
        <rangePr autoEnd="0" startNum="0" endNum="5"/>
        <groupItems count="7">
          <s v="&lt;0"/>
          <s v="0-1"/>
          <s v="1-2"/>
          <s v="2-3"/>
          <s v="3-4"/>
          <s v="4-5"/>
          <s v="&gt;5"/>
        </groupItems>
      </fieldGroup>
    </cacheField>
    <cacheField name="Sleep_Hours_Per_Day" numFmtId="0">
      <sharedItems containsSemiMixedTypes="0" containsString="0" containsNumber="1" minValue="5" maxValue="10" count="51">
        <n v="8.6999999999999993"/>
        <n v="8"/>
        <n v="9.1999999999999993"/>
        <n v="7.2"/>
        <n v="6.5"/>
        <n v="5.3"/>
        <n v="5.6"/>
        <n v="6.3"/>
        <n v="9.8000000000000007"/>
        <n v="9.1"/>
        <n v="5.7"/>
        <n v="8.5"/>
        <n v="6.8"/>
        <n v="6.6"/>
        <n v="9.4"/>
        <n v="8.9"/>
        <n v="5.0999999999999996"/>
        <n v="9.5"/>
        <n v="6.1"/>
        <n v="8.1999999999999993"/>
        <n v="7.1"/>
        <n v="7.6"/>
        <n v="8.4"/>
        <n v="6.7"/>
        <n v="5.8"/>
        <n v="7.7"/>
        <n v="8.6"/>
        <n v="8.3000000000000007"/>
        <n v="9"/>
        <n v="6"/>
        <n v="9.6"/>
        <n v="7.9"/>
        <n v="6.9"/>
        <n v="6.4"/>
        <n v="8.1"/>
        <n v="5.2"/>
        <n v="7.5"/>
        <n v="7"/>
        <n v="5.4"/>
        <n v="9.6999999999999993"/>
        <n v="10"/>
        <n v="9.3000000000000007"/>
        <n v="5.5"/>
        <n v="9.9"/>
        <n v="7.3"/>
        <n v="8.8000000000000007"/>
        <n v="5.9"/>
        <n v="6.2"/>
        <n v="7.8"/>
        <n v="7.4"/>
        <n v="5"/>
      </sharedItems>
      <fieldGroup base="3">
        <rangePr startNum="5" endNum="10"/>
        <groupItems count="7">
          <s v="&lt;5"/>
          <s v="5-6"/>
          <s v="6-7"/>
          <s v="7-8"/>
          <s v="8-9"/>
          <s v="9-10"/>
          <s v="&gt;10"/>
        </groupItems>
      </fieldGroup>
    </cacheField>
    <cacheField name="Social_Hours_Per_Day" numFmtId="0">
      <sharedItems containsSemiMixedTypes="0" containsString="0" containsNumber="1" minValue="0" maxValue="6" count="61">
        <n v="2.8"/>
        <n v="4.2"/>
        <n v="1.2"/>
        <n v="1.7"/>
        <n v="2.2000000000000002"/>
        <n v="0.3"/>
        <n v="5.7"/>
        <n v="3"/>
        <n v="4"/>
        <n v="4.5"/>
        <n v="2.5"/>
        <n v="2.1"/>
        <n v="4.8"/>
        <n v="4.4000000000000004"/>
        <n v="0.7"/>
        <n v="2"/>
        <n v="1.6"/>
        <n v="0.6"/>
        <n v="1.5"/>
        <n v="0.5"/>
        <n v="2.6"/>
        <n v="5.2"/>
        <n v="1.3"/>
        <n v="3.8"/>
        <n v="0.9"/>
        <n v="1.4"/>
        <n v="3.6"/>
        <n v="1.1000000000000001"/>
        <n v="0.1"/>
        <n v="2.2999999999999998"/>
        <n v="3.4"/>
        <n v="1.9"/>
        <n v="5.4"/>
        <n v="4.3"/>
        <n v="5.8"/>
        <n v="3.3"/>
        <n v="4.9000000000000004"/>
        <n v="3.1"/>
        <n v="3.5"/>
        <n v="0.2"/>
        <n v="3.7"/>
        <n v="5.0999999999999996"/>
        <n v="3.9"/>
        <n v="1"/>
        <n v="0.8"/>
        <n v="1.8"/>
        <n v="5.3"/>
        <n v="4.5999999999999996"/>
        <n v="5.9"/>
        <n v="6"/>
        <n v="4.0999999999999996"/>
        <n v="3.2"/>
        <n v="2.4"/>
        <n v="0.4"/>
        <n v="5.6"/>
        <n v="5"/>
        <n v="2.7"/>
        <n v="5.5"/>
        <n v="2.9"/>
        <n v="4.7"/>
        <n v="0"/>
      </sharedItems>
      <fieldGroup base="4">
        <rangePr startNum="0" endNum="6"/>
        <groupItems count="8">
          <s v="&lt;0"/>
          <s v="0-1"/>
          <s v="1-2"/>
          <s v="2-3"/>
          <s v="3-4"/>
          <s v="4-5"/>
          <s v="5-6"/>
          <s v="&gt;6"/>
        </groupItems>
      </fieldGroup>
    </cacheField>
    <cacheField name="Physical_Activity_Hours_Per_Day" numFmtId="0">
      <sharedItems containsSemiMixedTypes="0" containsString="0" containsNumber="1" minValue="0" maxValue="13" count="118">
        <n v="1.8"/>
        <n v="3"/>
        <n v="4.5999999999999996"/>
        <n v="6.5"/>
        <n v="6.6"/>
        <n v="7.6"/>
        <n v="4.3"/>
        <n v="5.2"/>
        <n v="4.9000000000000004"/>
        <n v="1.3"/>
        <n v="0.2"/>
        <n v="4.8"/>
        <n v="2.8"/>
        <n v="7.3"/>
        <n v="8.4"/>
        <n v="2.1"/>
        <n v="9"/>
        <n v="4.4000000000000004"/>
        <n v="0.4"/>
        <n v="2.2000000000000002"/>
        <n v="1.9"/>
        <n v="8.6"/>
        <n v="1.6"/>
        <n v="2.6"/>
        <n v="6.7"/>
        <n v="1.1000000000000001"/>
        <n v="7.5"/>
        <n v="7.9"/>
        <n v="6.3"/>
        <n v="3.9"/>
        <n v="2"/>
        <n v="0.5"/>
        <n v="9.1999999999999993"/>
        <n v="1.5"/>
        <n v="3.8"/>
        <n v="0.6"/>
        <n v="2.2999999999999998"/>
        <n v="3.3"/>
        <n v="0.9"/>
        <n v="0.8"/>
        <n v="5.6"/>
        <n v="7.4"/>
        <n v="5.7"/>
        <n v="5.0999999999999996"/>
        <n v="6.2"/>
        <n v="13"/>
        <n v="5.9"/>
        <n v="2.9"/>
        <n v="8"/>
        <n v="4"/>
        <n v="4.7"/>
        <n v="1.2"/>
        <n v="2.5"/>
        <n v="6.8"/>
        <n v="5.5"/>
        <n v="6.4"/>
        <n v="0.3"/>
        <n v="4.5"/>
        <n v="8.5"/>
        <n v="8.6999999999999993"/>
        <n v="3.1"/>
        <n v="3.5"/>
        <n v="0.1"/>
        <n v="3.4"/>
        <n v="5"/>
        <n v="2.7"/>
        <n v="8.8000000000000007"/>
        <n v="3.6"/>
        <n v="9.3000000000000007"/>
        <n v="7.7"/>
        <n v="10.7"/>
        <n v="5.3"/>
        <n v="6.1"/>
        <n v="8.3000000000000007"/>
        <n v="3.2"/>
        <n v="2.4"/>
        <n v="4.2"/>
        <n v="7.1"/>
        <n v="7.8"/>
        <n v="12.4"/>
        <n v="4.0999999999999996"/>
        <n v="6.9"/>
        <n v="5.8"/>
        <n v="9.5"/>
        <n v="8.1999999999999993"/>
        <n v="7.2"/>
        <n v="0.7"/>
        <n v="7"/>
        <n v="1"/>
        <n v="1.4"/>
        <n v="6"/>
        <n v="5.4"/>
        <n v="11.2"/>
        <n v="1.7"/>
        <n v="9.6999999999999993"/>
        <n v="11"/>
        <n v="9.8000000000000007"/>
        <n v="8.9"/>
        <n v="3.7"/>
        <n v="11.1"/>
        <n v="10.199999999999999"/>
        <n v="8.1"/>
        <n v="9.6"/>
        <n v="9.4"/>
        <n v="9.1"/>
        <n v="0"/>
        <n v="11.4"/>
        <n v="11.6"/>
        <n v="10.6"/>
        <n v="12.1"/>
        <n v="9.9"/>
        <n v="10.1"/>
        <n v="12.3"/>
        <n v="10.4"/>
        <n v="10.8"/>
        <n v="10"/>
        <n v="10.3"/>
        <n v="11.7"/>
      </sharedItems>
      <fieldGroup base="5">
        <rangePr autoEnd="0" startNum="0" endNum="6"/>
        <groupItems count="8">
          <s v="&lt;0"/>
          <s v="0-1"/>
          <s v="1-2"/>
          <s v="2-3"/>
          <s v="3-4"/>
          <s v="4-5"/>
          <s v="5-6"/>
          <s v="&gt;6"/>
        </groupItems>
      </fieldGroup>
    </cacheField>
    <cacheField name="GPA" numFmtId="0">
      <sharedItems containsSemiMixedTypes="0" containsString="0" containsNumber="1" minValue="2.2400000000000002" maxValue="4"/>
    </cacheField>
    <cacheField name="Stress_Level" numFmtId="0">
      <sharedItems count="3">
        <s v="Moderate"/>
        <s v="Low"/>
        <s v="High"/>
      </sharedItems>
    </cacheField>
    <cacheField name="Total Productive Hours" numFmtId="0">
      <sharedItems containsSemiMixedTypes="0" containsString="0" containsNumber="1" minValue="13.999999999999998" maxValue="19"/>
    </cacheField>
    <cacheField name="GPA Category" numFmtId="0">
      <sharedItems count="4">
        <s v="Average"/>
        <s v="High Performer"/>
        <s v="Above Average"/>
        <s v="Below Average"/>
      </sharedItems>
    </cacheField>
    <cacheField name="Activity_StdDev" numFmtId="0">
      <sharedItems containsSemiMixedTypes="0" containsString="0" containsNumber="1" minValue="0.67" maxValue="5.97"/>
    </cacheField>
    <cacheField name="Balanced_Profile " numFmtId="0">
      <sharedItems count="2">
        <s v="Concentrated "/>
        <s v="Balanced "/>
      </sharedItems>
    </cacheField>
    <cacheField name="Study_Share_Pct" numFmtId="2">
      <sharedItems containsSemiMixedTypes="0" containsString="0" containsNumber="1" minValue="0.27" maxValue="0.71"/>
    </cacheField>
  </cacheFields>
  <extLst>
    <ext xmlns:x14="http://schemas.microsoft.com/office/spreadsheetml/2009/9/main" uri="{725AE2AE-9491-48be-B2B4-4EB974FC3084}">
      <x14:pivotCacheDefinition pivotCacheId="21129613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n v="1"/>
    <x v="0"/>
    <x v="0"/>
    <x v="0"/>
    <x v="0"/>
    <x v="0"/>
    <n v="2.99"/>
    <x v="0"/>
    <n v="15.3"/>
    <x v="0"/>
    <n v="2.21"/>
    <x v="0"/>
    <n v="0.45"/>
  </r>
  <r>
    <n v="2"/>
    <x v="1"/>
    <x v="1"/>
    <x v="1"/>
    <x v="1"/>
    <x v="1"/>
    <n v="2.75"/>
    <x v="1"/>
    <n v="16"/>
    <x v="0"/>
    <n v="1"/>
    <x v="1"/>
    <n v="0.33"/>
  </r>
  <r>
    <n v="3"/>
    <x v="2"/>
    <x v="2"/>
    <x v="2"/>
    <x v="2"/>
    <x v="2"/>
    <n v="2.67"/>
    <x v="1"/>
    <n v="14.799999999999999"/>
    <x v="0"/>
    <n v="1.74"/>
    <x v="0"/>
    <n v="0.34"/>
  </r>
  <r>
    <n v="4"/>
    <x v="3"/>
    <x v="3"/>
    <x v="3"/>
    <x v="3"/>
    <x v="3"/>
    <n v="2.88"/>
    <x v="0"/>
    <n v="16.799999999999997"/>
    <x v="0"/>
    <n v="2.66"/>
    <x v="0"/>
    <n v="0.39"/>
  </r>
  <r>
    <n v="5"/>
    <x v="4"/>
    <x v="4"/>
    <x v="4"/>
    <x v="4"/>
    <x v="4"/>
    <n v="3.51"/>
    <x v="2"/>
    <n v="17.5"/>
    <x v="1"/>
    <n v="3.55"/>
    <x v="0"/>
    <n v="0.46"/>
  </r>
  <r>
    <n v="6"/>
    <x v="5"/>
    <x v="3"/>
    <x v="1"/>
    <x v="5"/>
    <x v="5"/>
    <n v="2.85"/>
    <x v="0"/>
    <n v="16"/>
    <x v="0"/>
    <n v="3.38"/>
    <x v="0"/>
    <n v="0.38"/>
  </r>
  <r>
    <n v="7"/>
    <x v="6"/>
    <x v="5"/>
    <x v="5"/>
    <x v="6"/>
    <x v="6"/>
    <n v="3.08"/>
    <x v="2"/>
    <n v="18.7"/>
    <x v="2"/>
    <n v="3.06"/>
    <x v="0"/>
    <n v="0.43"/>
  </r>
  <r>
    <n v="8"/>
    <x v="7"/>
    <x v="6"/>
    <x v="6"/>
    <x v="7"/>
    <x v="7"/>
    <n v="3.2"/>
    <x v="2"/>
    <n v="18.400000000000002"/>
    <x v="2"/>
    <n v="2.9"/>
    <x v="0"/>
    <n v="0.46"/>
  </r>
  <r>
    <n v="9"/>
    <x v="8"/>
    <x v="7"/>
    <x v="7"/>
    <x v="8"/>
    <x v="8"/>
    <n v="2.82"/>
    <x v="1"/>
    <n v="17.700000000000003"/>
    <x v="0"/>
    <n v="0.75"/>
    <x v="1"/>
    <n v="0.28999999999999998"/>
  </r>
  <r>
    <n v="10"/>
    <x v="9"/>
    <x v="5"/>
    <x v="8"/>
    <x v="9"/>
    <x v="9"/>
    <n v="2.76"/>
    <x v="0"/>
    <n v="14.200000000000001"/>
    <x v="0"/>
    <n v="3.23"/>
    <x v="0"/>
    <n v="0.54"/>
  </r>
  <r>
    <n v="11"/>
    <x v="10"/>
    <x v="7"/>
    <x v="1"/>
    <x v="10"/>
    <x v="10"/>
    <n v="3.43"/>
    <x v="2"/>
    <n v="15.999999999999998"/>
    <x v="2"/>
    <n v="4.0599999999999996"/>
    <x v="0"/>
    <n v="0.61"/>
  </r>
  <r>
    <n v="12"/>
    <x v="0"/>
    <x v="8"/>
    <x v="9"/>
    <x v="11"/>
    <x v="11"/>
    <n v="2.97"/>
    <x v="0"/>
    <n v="14.899999999999999"/>
    <x v="0"/>
    <n v="2.63"/>
    <x v="0"/>
    <n v="0.46"/>
  </r>
  <r>
    <n v="13"/>
    <x v="11"/>
    <x v="9"/>
    <x v="10"/>
    <x v="12"/>
    <x v="8"/>
    <n v="2.82"/>
    <x v="2"/>
    <n v="18.300000000000004"/>
    <x v="0"/>
    <n v="1.74"/>
    <x v="0"/>
    <n v="0.35"/>
  </r>
  <r>
    <n v="14"/>
    <x v="12"/>
    <x v="10"/>
    <x v="11"/>
    <x v="13"/>
    <x v="12"/>
    <n v="2.87"/>
    <x v="1"/>
    <n v="15.5"/>
    <x v="0"/>
    <n v="1"/>
    <x v="1"/>
    <n v="0.32"/>
  </r>
  <r>
    <n v="15"/>
    <x v="13"/>
    <x v="11"/>
    <x v="12"/>
    <x v="14"/>
    <x v="13"/>
    <n v="3.4"/>
    <x v="2"/>
    <n v="17.2"/>
    <x v="2"/>
    <n v="4.4400000000000004"/>
    <x v="0"/>
    <n v="0.52"/>
  </r>
  <r>
    <n v="16"/>
    <x v="14"/>
    <x v="11"/>
    <x v="13"/>
    <x v="15"/>
    <x v="14"/>
    <n v="3.2"/>
    <x v="0"/>
    <n v="17.399999999999999"/>
    <x v="2"/>
    <n v="3.82"/>
    <x v="0"/>
    <n v="0.39"/>
  </r>
  <r>
    <n v="17"/>
    <x v="15"/>
    <x v="12"/>
    <x v="14"/>
    <x v="16"/>
    <x v="0"/>
    <n v="3.36"/>
    <x v="2"/>
    <n v="14.6"/>
    <x v="2"/>
    <n v="3.33"/>
    <x v="0"/>
    <n v="0.59"/>
  </r>
  <r>
    <n v="18"/>
    <x v="16"/>
    <x v="9"/>
    <x v="15"/>
    <x v="15"/>
    <x v="15"/>
    <n v="3.19"/>
    <x v="2"/>
    <n v="15.1"/>
    <x v="2"/>
    <n v="3.35"/>
    <x v="0"/>
    <n v="0.57999999999999996"/>
  </r>
  <r>
    <n v="19"/>
    <x v="17"/>
    <x v="13"/>
    <x v="16"/>
    <x v="17"/>
    <x v="16"/>
    <n v="3.16"/>
    <x v="2"/>
    <n v="18.899999999999999"/>
    <x v="2"/>
    <n v="4.1900000000000004"/>
    <x v="0"/>
    <n v="0.4"/>
  </r>
  <r>
    <n v="20"/>
    <x v="18"/>
    <x v="14"/>
    <x v="17"/>
    <x v="18"/>
    <x v="17"/>
    <n v="2.93"/>
    <x v="0"/>
    <n v="14.5"/>
    <x v="0"/>
    <n v="2.35"/>
    <x v="0"/>
    <n v="0.46"/>
  </r>
  <r>
    <n v="21"/>
    <x v="19"/>
    <x v="15"/>
    <x v="18"/>
    <x v="19"/>
    <x v="13"/>
    <n v="2.9"/>
    <x v="0"/>
    <n v="17.899999999999999"/>
    <x v="0"/>
    <n v="3.31"/>
    <x v="0"/>
    <n v="0.4"/>
  </r>
  <r>
    <n v="22"/>
    <x v="20"/>
    <x v="16"/>
    <x v="19"/>
    <x v="20"/>
    <x v="18"/>
    <n v="3.34"/>
    <x v="2"/>
    <n v="15.8"/>
    <x v="2"/>
    <n v="3.95"/>
    <x v="0"/>
    <n v="0.61"/>
  </r>
  <r>
    <n v="23"/>
    <x v="21"/>
    <x v="5"/>
    <x v="17"/>
    <x v="20"/>
    <x v="19"/>
    <n v="3.21"/>
    <x v="2"/>
    <n v="14.5"/>
    <x v="2"/>
    <n v="3.68"/>
    <x v="0"/>
    <n v="0.62"/>
  </r>
  <r>
    <n v="24"/>
    <x v="22"/>
    <x v="13"/>
    <x v="9"/>
    <x v="21"/>
    <x v="20"/>
    <n v="2.85"/>
    <x v="0"/>
    <n v="14.9"/>
    <x v="0"/>
    <n v="2.25"/>
    <x v="0"/>
    <n v="0.41"/>
  </r>
  <r>
    <n v="25"/>
    <x v="12"/>
    <x v="14"/>
    <x v="20"/>
    <x v="22"/>
    <x v="21"/>
    <n v="2.68"/>
    <x v="1"/>
    <n v="16.899999999999999"/>
    <x v="0"/>
    <n v="3.33"/>
    <x v="0"/>
    <n v="0.3"/>
  </r>
  <r>
    <n v="26"/>
    <x v="10"/>
    <x v="17"/>
    <x v="21"/>
    <x v="23"/>
    <x v="22"/>
    <n v="3.29"/>
    <x v="2"/>
    <n v="16.400000000000002"/>
    <x v="2"/>
    <n v="3.9"/>
    <x v="0"/>
    <n v="0.59"/>
  </r>
  <r>
    <n v="27"/>
    <x v="23"/>
    <x v="2"/>
    <x v="8"/>
    <x v="24"/>
    <x v="23"/>
    <n v="2.64"/>
    <x v="0"/>
    <n v="14.2"/>
    <x v="0"/>
    <n v="2.4900000000000002"/>
    <x v="0"/>
    <n v="0.48"/>
  </r>
  <r>
    <n v="28"/>
    <x v="11"/>
    <x v="18"/>
    <x v="1"/>
    <x v="7"/>
    <x v="3"/>
    <n v="2.95"/>
    <x v="0"/>
    <n v="16"/>
    <x v="0"/>
    <n v="3.07"/>
    <x v="0"/>
    <n v="0.4"/>
  </r>
  <r>
    <n v="29"/>
    <x v="1"/>
    <x v="8"/>
    <x v="17"/>
    <x v="25"/>
    <x v="24"/>
    <n v="2.79"/>
    <x v="1"/>
    <n v="14.5"/>
    <x v="0"/>
    <n v="2.8"/>
    <x v="0"/>
    <n v="0.37"/>
  </r>
  <r>
    <n v="30"/>
    <x v="24"/>
    <x v="19"/>
    <x v="22"/>
    <x v="26"/>
    <x v="25"/>
    <n v="3.25"/>
    <x v="2"/>
    <n v="15.6"/>
    <x v="2"/>
    <n v="4.18"/>
    <x v="0"/>
    <n v="0.63"/>
  </r>
  <r>
    <n v="31"/>
    <x v="25"/>
    <x v="20"/>
    <x v="12"/>
    <x v="23"/>
    <x v="6"/>
    <n v="3.05"/>
    <x v="0"/>
    <n v="17.2"/>
    <x v="2"/>
    <n v="1.39"/>
    <x v="1"/>
    <n v="0.36"/>
  </r>
  <r>
    <n v="32"/>
    <x v="26"/>
    <x v="10"/>
    <x v="13"/>
    <x v="27"/>
    <x v="26"/>
    <n v="3.26"/>
    <x v="1"/>
    <n v="17.399999999999999"/>
    <x v="2"/>
    <n v="2.76"/>
    <x v="0"/>
    <n v="0.32"/>
  </r>
  <r>
    <n v="33"/>
    <x v="8"/>
    <x v="21"/>
    <x v="22"/>
    <x v="28"/>
    <x v="27"/>
    <n v="2.4700000000000002"/>
    <x v="1"/>
    <n v="15.6"/>
    <x v="3"/>
    <n v="3.39"/>
    <x v="0"/>
    <n v="0.33"/>
  </r>
  <r>
    <n v="34"/>
    <x v="27"/>
    <x v="5"/>
    <x v="11"/>
    <x v="29"/>
    <x v="6"/>
    <n v="3.24"/>
    <x v="2"/>
    <n v="15.5"/>
    <x v="2"/>
    <n v="3.24"/>
    <x v="0"/>
    <n v="0.53"/>
  </r>
  <r>
    <n v="35"/>
    <x v="10"/>
    <x v="4"/>
    <x v="23"/>
    <x v="14"/>
    <x v="28"/>
    <n v="3.62"/>
    <x v="2"/>
    <n v="17.299999999999997"/>
    <x v="1"/>
    <n v="4.46"/>
    <x v="0"/>
    <n v="0.56000000000000005"/>
  </r>
  <r>
    <n v="36"/>
    <x v="28"/>
    <x v="9"/>
    <x v="21"/>
    <x v="2"/>
    <x v="29"/>
    <n v="3.12"/>
    <x v="2"/>
    <n v="16.399999999999999"/>
    <x v="2"/>
    <n v="3.51"/>
    <x v="0"/>
    <n v="0.55000000000000004"/>
  </r>
  <r>
    <n v="37"/>
    <x v="26"/>
    <x v="7"/>
    <x v="17"/>
    <x v="30"/>
    <x v="30"/>
    <n v="2.58"/>
    <x v="1"/>
    <n v="14.5"/>
    <x v="0"/>
    <n v="1.44"/>
    <x v="1"/>
    <n v="0.38"/>
  </r>
  <r>
    <n v="38"/>
    <x v="15"/>
    <x v="7"/>
    <x v="14"/>
    <x v="31"/>
    <x v="31"/>
    <n v="3.03"/>
    <x v="2"/>
    <n v="14.6"/>
    <x v="2"/>
    <n v="3.54"/>
    <x v="0"/>
    <n v="0.59"/>
  </r>
  <r>
    <n v="39"/>
    <x v="27"/>
    <x v="11"/>
    <x v="24"/>
    <x v="32"/>
    <x v="6"/>
    <n v="3.29"/>
    <x v="2"/>
    <n v="18.2"/>
    <x v="2"/>
    <n v="3.27"/>
    <x v="0"/>
    <n v="0.45"/>
  </r>
  <r>
    <n v="40"/>
    <x v="12"/>
    <x v="4"/>
    <x v="25"/>
    <x v="1"/>
    <x v="3"/>
    <n v="2.61"/>
    <x v="1"/>
    <n v="16.3"/>
    <x v="0"/>
    <n v="2.5099999999999998"/>
    <x v="0"/>
    <n v="0.31"/>
  </r>
  <r>
    <n v="41"/>
    <x v="29"/>
    <x v="22"/>
    <x v="26"/>
    <x v="25"/>
    <x v="11"/>
    <n v="3.48"/>
    <x v="2"/>
    <n v="15.400000000000002"/>
    <x v="2"/>
    <n v="3.44"/>
    <x v="0"/>
    <n v="0.54"/>
  </r>
  <r>
    <n v="42"/>
    <x v="27"/>
    <x v="23"/>
    <x v="27"/>
    <x v="29"/>
    <x v="0"/>
    <n v="3.07"/>
    <x v="2"/>
    <n v="15.7"/>
    <x v="2"/>
    <n v="2.93"/>
    <x v="0"/>
    <n v="0.52"/>
  </r>
  <r>
    <n v="43"/>
    <x v="26"/>
    <x v="24"/>
    <x v="7"/>
    <x v="18"/>
    <x v="32"/>
    <n v="2.81"/>
    <x v="1"/>
    <n v="17.7"/>
    <x v="0"/>
    <n v="3.7"/>
    <x v="0"/>
    <n v="0.31"/>
  </r>
  <r>
    <n v="44"/>
    <x v="30"/>
    <x v="25"/>
    <x v="28"/>
    <x v="18"/>
    <x v="33"/>
    <n v="3.49"/>
    <x v="2"/>
    <n v="15"/>
    <x v="2"/>
    <n v="3.86"/>
    <x v="0"/>
    <n v="0.63"/>
  </r>
  <r>
    <n v="45"/>
    <x v="31"/>
    <x v="14"/>
    <x v="29"/>
    <x v="33"/>
    <x v="34"/>
    <n v="2.97"/>
    <x v="0"/>
    <n v="18"/>
    <x v="0"/>
    <n v="2.4700000000000002"/>
    <x v="0"/>
    <n v="0.44"/>
  </r>
  <r>
    <n v="46"/>
    <x v="10"/>
    <x v="0"/>
    <x v="30"/>
    <x v="5"/>
    <x v="35"/>
    <n v="3.55"/>
    <x v="2"/>
    <n v="14.4"/>
    <x v="1"/>
    <n v="4.3600000000000003"/>
    <x v="0"/>
    <n v="0.67"/>
  </r>
  <r>
    <n v="47"/>
    <x v="2"/>
    <x v="26"/>
    <x v="20"/>
    <x v="34"/>
    <x v="36"/>
    <n v="2.6"/>
    <x v="1"/>
    <n v="16.900000000000002"/>
    <x v="0"/>
    <n v="1.55"/>
    <x v="0"/>
    <n v="0.3"/>
  </r>
  <r>
    <n v="48"/>
    <x v="32"/>
    <x v="17"/>
    <x v="24"/>
    <x v="35"/>
    <x v="6"/>
    <n v="3.09"/>
    <x v="2"/>
    <n v="18.200000000000003"/>
    <x v="2"/>
    <n v="3.4"/>
    <x v="0"/>
    <n v="0.51"/>
  </r>
  <r>
    <n v="49"/>
    <x v="10"/>
    <x v="27"/>
    <x v="31"/>
    <x v="5"/>
    <x v="37"/>
    <n v="3.47"/>
    <x v="2"/>
    <n v="16.100000000000001"/>
    <x v="2"/>
    <n v="4"/>
    <x v="0"/>
    <n v="0.6"/>
  </r>
  <r>
    <n v="50"/>
    <x v="33"/>
    <x v="15"/>
    <x v="11"/>
    <x v="4"/>
    <x v="38"/>
    <n v="3.18"/>
    <x v="2"/>
    <n v="15.500000000000002"/>
    <x v="2"/>
    <n v="3.78"/>
    <x v="0"/>
    <n v="0.61"/>
  </r>
  <r>
    <n v="51"/>
    <x v="23"/>
    <x v="28"/>
    <x v="28"/>
    <x v="36"/>
    <x v="15"/>
    <n v="3.12"/>
    <x v="0"/>
    <n v="15"/>
    <x v="2"/>
    <n v="2.57"/>
    <x v="0"/>
    <n v="0.45"/>
  </r>
  <r>
    <n v="52"/>
    <x v="21"/>
    <x v="12"/>
    <x v="11"/>
    <x v="37"/>
    <x v="39"/>
    <n v="4"/>
    <x v="2"/>
    <n v="15.5"/>
    <x v="1"/>
    <n v="3.56"/>
    <x v="0"/>
    <n v="0.57999999999999996"/>
  </r>
  <r>
    <n v="53"/>
    <x v="30"/>
    <x v="29"/>
    <x v="32"/>
    <x v="17"/>
    <x v="40"/>
    <n v="3.33"/>
    <x v="2"/>
    <n v="17.100000000000001"/>
    <x v="2"/>
    <n v="4.12"/>
    <x v="0"/>
    <n v="0.56000000000000005"/>
  </r>
  <r>
    <n v="54"/>
    <x v="34"/>
    <x v="9"/>
    <x v="33"/>
    <x v="38"/>
    <x v="2"/>
    <n v="3.11"/>
    <x v="0"/>
    <n v="17.600000000000001"/>
    <x v="2"/>
    <n v="2.17"/>
    <x v="0"/>
    <n v="0.41"/>
  </r>
  <r>
    <n v="55"/>
    <x v="8"/>
    <x v="18"/>
    <x v="9"/>
    <x v="4"/>
    <x v="41"/>
    <n v="2.79"/>
    <x v="1"/>
    <n v="14.9"/>
    <x v="0"/>
    <n v="3.22"/>
    <x v="0"/>
    <n v="0.35"/>
  </r>
  <r>
    <n v="56"/>
    <x v="16"/>
    <x v="22"/>
    <x v="34"/>
    <x v="19"/>
    <x v="42"/>
    <n v="3.1"/>
    <x v="2"/>
    <n v="15.900000000000002"/>
    <x v="2"/>
    <n v="3.99"/>
    <x v="0"/>
    <n v="0.55000000000000004"/>
  </r>
  <r>
    <n v="57"/>
    <x v="1"/>
    <x v="3"/>
    <x v="25"/>
    <x v="23"/>
    <x v="43"/>
    <n v="2.39"/>
    <x v="1"/>
    <n v="16.299999999999997"/>
    <x v="3"/>
    <n v="1.48"/>
    <x v="1"/>
    <n v="0.33"/>
  </r>
  <r>
    <n v="58"/>
    <x v="21"/>
    <x v="8"/>
    <x v="3"/>
    <x v="19"/>
    <x v="44"/>
    <n v="3.39"/>
    <x v="2"/>
    <n v="16.8"/>
    <x v="2"/>
    <n v="4.0999999999999996"/>
    <x v="0"/>
    <n v="0.54"/>
  </r>
  <r>
    <n v="59"/>
    <x v="2"/>
    <x v="2"/>
    <x v="2"/>
    <x v="8"/>
    <x v="0"/>
    <n v="2.52"/>
    <x v="1"/>
    <n v="14.8"/>
    <x v="0"/>
    <n v="1.38"/>
    <x v="1"/>
    <n v="0.34"/>
  </r>
  <r>
    <n v="60"/>
    <x v="35"/>
    <x v="19"/>
    <x v="25"/>
    <x v="33"/>
    <x v="7"/>
    <n v="2.8"/>
    <x v="1"/>
    <n v="16.3"/>
    <x v="0"/>
    <n v="2.14"/>
    <x v="0"/>
    <n v="0.36"/>
  </r>
  <r>
    <n v="61"/>
    <x v="29"/>
    <x v="8"/>
    <x v="8"/>
    <x v="38"/>
    <x v="9"/>
    <n v="3.67"/>
    <x v="2"/>
    <n v="14.200000000000001"/>
    <x v="1"/>
    <n v="3.35"/>
    <x v="0"/>
    <n v="0.57999999999999996"/>
  </r>
  <r>
    <n v="62"/>
    <x v="19"/>
    <x v="19"/>
    <x v="12"/>
    <x v="9"/>
    <x v="2"/>
    <n v="3.27"/>
    <x v="0"/>
    <n v="17.2"/>
    <x v="2"/>
    <n v="2.5099999999999998"/>
    <x v="0"/>
    <n v="0.41"/>
  </r>
  <r>
    <n v="63"/>
    <x v="2"/>
    <x v="30"/>
    <x v="35"/>
    <x v="39"/>
    <x v="45"/>
    <n v="2.85"/>
    <x v="2"/>
    <n v="18.8"/>
    <x v="0"/>
    <n v="5.97"/>
    <x v="0"/>
    <n v="0.27"/>
  </r>
  <r>
    <n v="64"/>
    <x v="36"/>
    <x v="31"/>
    <x v="36"/>
    <x v="0"/>
    <x v="46"/>
    <n v="3.26"/>
    <x v="0"/>
    <n v="16.5"/>
    <x v="2"/>
    <n v="3.14"/>
    <x v="0"/>
    <n v="0.45"/>
  </r>
  <r>
    <n v="65"/>
    <x v="37"/>
    <x v="13"/>
    <x v="37"/>
    <x v="40"/>
    <x v="42"/>
    <n v="2.8"/>
    <x v="1"/>
    <n v="17"/>
    <x v="0"/>
    <n v="1.97"/>
    <x v="0"/>
    <n v="0.35"/>
  </r>
  <r>
    <n v="66"/>
    <x v="0"/>
    <x v="25"/>
    <x v="36"/>
    <x v="41"/>
    <x v="30"/>
    <n v="3.06"/>
    <x v="0"/>
    <n v="16.5"/>
    <x v="2"/>
    <n v="2.2999999999999998"/>
    <x v="0"/>
    <n v="0.42"/>
  </r>
  <r>
    <n v="67"/>
    <x v="29"/>
    <x v="5"/>
    <x v="38"/>
    <x v="42"/>
    <x v="42"/>
    <n v="3.26"/>
    <x v="2"/>
    <n v="18.600000000000001"/>
    <x v="2"/>
    <n v="3.19"/>
    <x v="0"/>
    <n v="0.45"/>
  </r>
  <r>
    <n v="68"/>
    <x v="10"/>
    <x v="32"/>
    <x v="32"/>
    <x v="35"/>
    <x v="0"/>
    <n v="3.38"/>
    <x v="2"/>
    <n v="17.100000000000001"/>
    <x v="2"/>
    <n v="3.67"/>
    <x v="0"/>
    <n v="0.56999999999999995"/>
  </r>
  <r>
    <n v="69"/>
    <x v="34"/>
    <x v="9"/>
    <x v="39"/>
    <x v="31"/>
    <x v="47"/>
    <n v="3.15"/>
    <x v="0"/>
    <n v="14.3"/>
    <x v="2"/>
    <n v="2.52"/>
    <x v="0"/>
    <n v="0.51"/>
  </r>
  <r>
    <n v="70"/>
    <x v="38"/>
    <x v="17"/>
    <x v="2"/>
    <x v="28"/>
    <x v="48"/>
    <n v="2.69"/>
    <x v="1"/>
    <n v="14.8"/>
    <x v="0"/>
    <n v="3.66"/>
    <x v="0"/>
    <n v="0.36"/>
  </r>
  <r>
    <n v="71"/>
    <x v="28"/>
    <x v="8"/>
    <x v="6"/>
    <x v="1"/>
    <x v="49"/>
    <n v="3.54"/>
    <x v="2"/>
    <n v="18.399999999999999"/>
    <x v="1"/>
    <n v="3.32"/>
    <x v="0"/>
    <n v="0.49"/>
  </r>
  <r>
    <n v="72"/>
    <x v="39"/>
    <x v="16"/>
    <x v="33"/>
    <x v="43"/>
    <x v="50"/>
    <n v="3.37"/>
    <x v="2"/>
    <n v="17.599999999999998"/>
    <x v="2"/>
    <n v="3.24"/>
    <x v="0"/>
    <n v="0.49"/>
  </r>
  <r>
    <n v="73"/>
    <x v="16"/>
    <x v="16"/>
    <x v="40"/>
    <x v="44"/>
    <x v="51"/>
    <n v="3.58"/>
    <x v="2"/>
    <n v="14"/>
    <x v="1"/>
    <n v="3.69"/>
    <x v="0"/>
    <n v="0.63"/>
  </r>
  <r>
    <n v="74"/>
    <x v="14"/>
    <x v="26"/>
    <x v="41"/>
    <x v="45"/>
    <x v="52"/>
    <n v="2.89"/>
    <x v="0"/>
    <n v="14.700000000000001"/>
    <x v="0"/>
    <n v="2.16"/>
    <x v="0"/>
    <n v="0.46"/>
  </r>
  <r>
    <n v="75"/>
    <x v="16"/>
    <x v="15"/>
    <x v="42"/>
    <x v="32"/>
    <x v="9"/>
    <n v="3.58"/>
    <x v="2"/>
    <n v="18.500000000000004"/>
    <x v="1"/>
    <n v="3.25"/>
    <x v="0"/>
    <n v="0.48"/>
  </r>
  <r>
    <n v="76"/>
    <x v="18"/>
    <x v="7"/>
    <x v="32"/>
    <x v="28"/>
    <x v="53"/>
    <n v="2.99"/>
    <x v="0"/>
    <n v="17.099999999999998"/>
    <x v="0"/>
    <n v="3.14"/>
    <x v="0"/>
    <n v="0.39"/>
  </r>
  <r>
    <n v="77"/>
    <x v="30"/>
    <x v="31"/>
    <x v="13"/>
    <x v="6"/>
    <x v="0"/>
    <n v="3.44"/>
    <x v="2"/>
    <n v="17.400000000000002"/>
    <x v="2"/>
    <n v="4.0999999999999996"/>
    <x v="0"/>
    <n v="0.55000000000000004"/>
  </r>
  <r>
    <n v="78"/>
    <x v="27"/>
    <x v="6"/>
    <x v="4"/>
    <x v="15"/>
    <x v="54"/>
    <n v="3.35"/>
    <x v="2"/>
    <n v="17.5"/>
    <x v="2"/>
    <n v="3.06"/>
    <x v="0"/>
    <n v="0.47"/>
  </r>
  <r>
    <n v="79"/>
    <x v="7"/>
    <x v="15"/>
    <x v="28"/>
    <x v="0"/>
    <x v="39"/>
    <n v="3.26"/>
    <x v="2"/>
    <n v="15"/>
    <x v="2"/>
    <n v="3.26"/>
    <x v="0"/>
    <n v="0.56000000000000005"/>
  </r>
  <r>
    <n v="80"/>
    <x v="1"/>
    <x v="9"/>
    <x v="3"/>
    <x v="46"/>
    <x v="49"/>
    <n v="2.62"/>
    <x v="1"/>
    <n v="16.8"/>
    <x v="0"/>
    <n v="1.47"/>
    <x v="1"/>
    <n v="0.32"/>
  </r>
  <r>
    <n v="81"/>
    <x v="23"/>
    <x v="30"/>
    <x v="10"/>
    <x v="47"/>
    <x v="55"/>
    <n v="2.86"/>
    <x v="2"/>
    <n v="18.299999999999997"/>
    <x v="0"/>
    <n v="2.88"/>
    <x v="0"/>
    <n v="0.37"/>
  </r>
  <r>
    <n v="82"/>
    <x v="38"/>
    <x v="27"/>
    <x v="38"/>
    <x v="36"/>
    <x v="54"/>
    <n v="2.86"/>
    <x v="2"/>
    <n v="18.600000000000001"/>
    <x v="0"/>
    <n v="1.26"/>
    <x v="1"/>
    <n v="0.28999999999999998"/>
  </r>
  <r>
    <n v="83"/>
    <x v="40"/>
    <x v="11"/>
    <x v="38"/>
    <x v="48"/>
    <x v="29"/>
    <n v="2.99"/>
    <x v="2"/>
    <n v="18.600000000000001"/>
    <x v="0"/>
    <n v="3.46"/>
    <x v="0"/>
    <n v="0.46"/>
  </r>
  <r>
    <n v="84"/>
    <x v="28"/>
    <x v="0"/>
    <x v="43"/>
    <x v="24"/>
    <x v="56"/>
    <n v="3.08"/>
    <x v="2"/>
    <n v="14.1"/>
    <x v="2"/>
    <n v="4.0199999999999996"/>
    <x v="0"/>
    <n v="0.65"/>
  </r>
  <r>
    <n v="85"/>
    <x v="0"/>
    <x v="11"/>
    <x v="15"/>
    <x v="30"/>
    <x v="57"/>
    <n v="3.21"/>
    <x v="0"/>
    <n v="15.1"/>
    <x v="2"/>
    <n v="2.74"/>
    <x v="0"/>
    <n v="0.46"/>
  </r>
  <r>
    <n v="86"/>
    <x v="41"/>
    <x v="14"/>
    <x v="16"/>
    <x v="0"/>
    <x v="58"/>
    <n v="2.81"/>
    <x v="2"/>
    <n v="18.899999999999999"/>
    <x v="0"/>
    <n v="2.95"/>
    <x v="0"/>
    <n v="0.3"/>
  </r>
  <r>
    <n v="87"/>
    <x v="1"/>
    <x v="30"/>
    <x v="6"/>
    <x v="42"/>
    <x v="59"/>
    <n v="2.9"/>
    <x v="2"/>
    <n v="18.399999999999999"/>
    <x v="0"/>
    <n v="3.4"/>
    <x v="0"/>
    <n v="0.28999999999999998"/>
  </r>
  <r>
    <n v="88"/>
    <x v="42"/>
    <x v="24"/>
    <x v="33"/>
    <x v="21"/>
    <x v="25"/>
    <n v="3.78"/>
    <x v="2"/>
    <n v="17.600000000000001"/>
    <x v="1"/>
    <n v="4.05"/>
    <x v="0"/>
    <n v="0.56000000000000005"/>
  </r>
  <r>
    <n v="89"/>
    <x v="22"/>
    <x v="2"/>
    <x v="16"/>
    <x v="34"/>
    <x v="60"/>
    <n v="2.96"/>
    <x v="2"/>
    <n v="18.900000000000002"/>
    <x v="0"/>
    <n v="1.46"/>
    <x v="1"/>
    <n v="0.32"/>
  </r>
  <r>
    <n v="90"/>
    <x v="38"/>
    <x v="9"/>
    <x v="8"/>
    <x v="37"/>
    <x v="61"/>
    <n v="2.81"/>
    <x v="1"/>
    <n v="14.200000000000001"/>
    <x v="0"/>
    <n v="1.35"/>
    <x v="1"/>
    <n v="0.38"/>
  </r>
  <r>
    <n v="91"/>
    <x v="4"/>
    <x v="27"/>
    <x v="44"/>
    <x v="26"/>
    <x v="19"/>
    <n v="3.39"/>
    <x v="2"/>
    <n v="16.7"/>
    <x v="2"/>
    <n v="2.68"/>
    <x v="0"/>
    <n v="0.49"/>
  </r>
  <r>
    <n v="92"/>
    <x v="8"/>
    <x v="8"/>
    <x v="8"/>
    <x v="46"/>
    <x v="23"/>
    <n v="2.82"/>
    <x v="1"/>
    <n v="14.200000000000001"/>
    <x v="0"/>
    <n v="2.06"/>
    <x v="0"/>
    <n v="0.37"/>
  </r>
  <r>
    <n v="93"/>
    <x v="34"/>
    <x v="25"/>
    <x v="33"/>
    <x v="27"/>
    <x v="24"/>
    <n v="2.67"/>
    <x v="0"/>
    <n v="17.600000000000001"/>
    <x v="0"/>
    <n v="3.07"/>
    <x v="0"/>
    <n v="0.41"/>
  </r>
  <r>
    <n v="94"/>
    <x v="31"/>
    <x v="11"/>
    <x v="43"/>
    <x v="34"/>
    <x v="62"/>
    <n v="3.08"/>
    <x v="0"/>
    <n v="14.1"/>
    <x v="2"/>
    <n v="3.93"/>
    <x v="0"/>
    <n v="0.56000000000000005"/>
  </r>
  <r>
    <n v="95"/>
    <x v="40"/>
    <x v="3"/>
    <x v="4"/>
    <x v="36"/>
    <x v="30"/>
    <n v="3.1"/>
    <x v="2"/>
    <n v="17.5"/>
    <x v="2"/>
    <n v="3.06"/>
    <x v="0"/>
    <n v="0.49"/>
  </r>
  <r>
    <n v="96"/>
    <x v="20"/>
    <x v="10"/>
    <x v="39"/>
    <x v="43"/>
    <x v="18"/>
    <n v="3.54"/>
    <x v="2"/>
    <n v="14.299999999999999"/>
    <x v="1"/>
    <n v="4.21"/>
    <x v="0"/>
    <n v="0.67"/>
  </r>
  <r>
    <n v="97"/>
    <x v="4"/>
    <x v="13"/>
    <x v="39"/>
    <x v="42"/>
    <x v="35"/>
    <n v="3.45"/>
    <x v="2"/>
    <n v="14.299999999999999"/>
    <x v="2"/>
    <n v="3.31"/>
    <x v="0"/>
    <n v="0.56999999999999995"/>
  </r>
  <r>
    <n v="98"/>
    <x v="24"/>
    <x v="4"/>
    <x v="1"/>
    <x v="11"/>
    <x v="63"/>
    <n v="3.39"/>
    <x v="2"/>
    <n v="16"/>
    <x v="2"/>
    <n v="4.0999999999999996"/>
    <x v="0"/>
    <n v="0.62"/>
  </r>
  <r>
    <n v="99"/>
    <x v="42"/>
    <x v="23"/>
    <x v="2"/>
    <x v="14"/>
    <x v="38"/>
    <n v="3.15"/>
    <x v="2"/>
    <n v="14.8"/>
    <x v="2"/>
    <n v="4.25"/>
    <x v="0"/>
    <n v="0.66"/>
  </r>
  <r>
    <n v="100"/>
    <x v="1"/>
    <x v="1"/>
    <x v="9"/>
    <x v="49"/>
    <x v="62"/>
    <n v="2.68"/>
    <x v="1"/>
    <n v="14.9"/>
    <x v="0"/>
    <n v="2.64"/>
    <x v="0"/>
    <n v="0.36"/>
  </r>
  <r>
    <n v="101"/>
    <x v="43"/>
    <x v="9"/>
    <x v="45"/>
    <x v="0"/>
    <x v="10"/>
    <n v="3.41"/>
    <x v="2"/>
    <n v="15.2"/>
    <x v="2"/>
    <n v="4.28"/>
    <x v="0"/>
    <n v="0.66"/>
  </r>
  <r>
    <n v="102"/>
    <x v="34"/>
    <x v="30"/>
    <x v="8"/>
    <x v="26"/>
    <x v="12"/>
    <n v="3.22"/>
    <x v="0"/>
    <n v="14.2"/>
    <x v="2"/>
    <n v="2.82"/>
    <x v="0"/>
    <n v="0.51"/>
  </r>
  <r>
    <n v="103"/>
    <x v="22"/>
    <x v="33"/>
    <x v="34"/>
    <x v="11"/>
    <x v="64"/>
    <n v="2.98"/>
    <x v="0"/>
    <n v="15.9"/>
    <x v="0"/>
    <n v="1.89"/>
    <x v="0"/>
    <n v="0.38"/>
  </r>
  <r>
    <n v="104"/>
    <x v="17"/>
    <x v="34"/>
    <x v="21"/>
    <x v="36"/>
    <x v="39"/>
    <n v="2.99"/>
    <x v="0"/>
    <n v="16.399999999999999"/>
    <x v="0"/>
    <n v="2.87"/>
    <x v="0"/>
    <n v="0.46"/>
  </r>
  <r>
    <n v="105"/>
    <x v="44"/>
    <x v="9"/>
    <x v="14"/>
    <x v="31"/>
    <x v="65"/>
    <n v="3.3"/>
    <x v="0"/>
    <n v="14.600000000000001"/>
    <x v="2"/>
    <n v="2.79"/>
    <x v="0"/>
    <n v="0.53"/>
  </r>
  <r>
    <n v="106"/>
    <x v="40"/>
    <x v="22"/>
    <x v="10"/>
    <x v="28"/>
    <x v="66"/>
    <n v="3.55"/>
    <x v="2"/>
    <n v="18.3"/>
    <x v="1"/>
    <n v="4.72"/>
    <x v="0"/>
    <n v="0.46"/>
  </r>
  <r>
    <n v="107"/>
    <x v="23"/>
    <x v="21"/>
    <x v="37"/>
    <x v="20"/>
    <x v="7"/>
    <n v="2.97"/>
    <x v="0"/>
    <n v="17"/>
    <x v="0"/>
    <n v="2.13"/>
    <x v="0"/>
    <n v="0.4"/>
  </r>
  <r>
    <n v="108"/>
    <x v="17"/>
    <x v="34"/>
    <x v="37"/>
    <x v="40"/>
    <x v="23"/>
    <n v="3.28"/>
    <x v="0"/>
    <n v="17"/>
    <x v="2"/>
    <n v="2.2799999999999998"/>
    <x v="0"/>
    <n v="0.45"/>
  </r>
  <r>
    <n v="109"/>
    <x v="32"/>
    <x v="0"/>
    <x v="10"/>
    <x v="12"/>
    <x v="18"/>
    <n v="3.05"/>
    <x v="2"/>
    <n v="18.3"/>
    <x v="2"/>
    <n v="3.67"/>
    <x v="0"/>
    <n v="0.51"/>
  </r>
  <r>
    <n v="110"/>
    <x v="34"/>
    <x v="2"/>
    <x v="36"/>
    <x v="3"/>
    <x v="67"/>
    <n v="3.08"/>
    <x v="0"/>
    <n v="16.5"/>
    <x v="2"/>
    <n v="2.33"/>
    <x v="0"/>
    <n v="0.44"/>
  </r>
  <r>
    <n v="111"/>
    <x v="27"/>
    <x v="19"/>
    <x v="38"/>
    <x v="44"/>
    <x v="21"/>
    <n v="3.3"/>
    <x v="2"/>
    <n v="18.600000000000001"/>
    <x v="2"/>
    <n v="4.33"/>
    <x v="0"/>
    <n v="0.44"/>
  </r>
  <r>
    <n v="112"/>
    <x v="37"/>
    <x v="29"/>
    <x v="17"/>
    <x v="0"/>
    <x v="17"/>
    <n v="2.7"/>
    <x v="1"/>
    <n v="14.500000000000002"/>
    <x v="0"/>
    <n v="1.95"/>
    <x v="0"/>
    <n v="0.41"/>
  </r>
  <r>
    <n v="113"/>
    <x v="29"/>
    <x v="5"/>
    <x v="29"/>
    <x v="39"/>
    <x v="66"/>
    <n v="3.14"/>
    <x v="2"/>
    <n v="18"/>
    <x v="2"/>
    <n v="4.6900000000000004"/>
    <x v="0"/>
    <n v="0.46"/>
  </r>
  <r>
    <n v="114"/>
    <x v="37"/>
    <x v="31"/>
    <x v="6"/>
    <x v="0"/>
    <x v="68"/>
    <n v="2.73"/>
    <x v="2"/>
    <n v="18.400000000000002"/>
    <x v="0"/>
    <n v="3.86"/>
    <x v="0"/>
    <n v="0.32"/>
  </r>
  <r>
    <n v="115"/>
    <x v="5"/>
    <x v="24"/>
    <x v="36"/>
    <x v="50"/>
    <x v="8"/>
    <n v="2.76"/>
    <x v="0"/>
    <n v="16.5"/>
    <x v="0"/>
    <n v="1.92"/>
    <x v="0"/>
    <n v="0.36"/>
  </r>
  <r>
    <n v="116"/>
    <x v="33"/>
    <x v="26"/>
    <x v="5"/>
    <x v="16"/>
    <x v="49"/>
    <n v="3.45"/>
    <x v="2"/>
    <n v="18.700000000000003"/>
    <x v="2"/>
    <n v="3.33"/>
    <x v="0"/>
    <n v="0.5"/>
  </r>
  <r>
    <n v="117"/>
    <x v="21"/>
    <x v="15"/>
    <x v="46"/>
    <x v="22"/>
    <x v="11"/>
    <n v="3.29"/>
    <x v="2"/>
    <n v="18.100000000000001"/>
    <x v="2"/>
    <n v="3.31"/>
    <x v="0"/>
    <n v="0.5"/>
  </r>
  <r>
    <n v="118"/>
    <x v="4"/>
    <x v="24"/>
    <x v="44"/>
    <x v="9"/>
    <x v="23"/>
    <n v="2.75"/>
    <x v="2"/>
    <n v="16.7"/>
    <x v="0"/>
    <n v="2.9"/>
    <x v="0"/>
    <n v="0.49"/>
  </r>
  <r>
    <n v="119"/>
    <x v="8"/>
    <x v="19"/>
    <x v="26"/>
    <x v="32"/>
    <x v="34"/>
    <n v="3.4"/>
    <x v="1"/>
    <n v="15.400000000000002"/>
    <x v="2"/>
    <n v="2.0299999999999998"/>
    <x v="0"/>
    <n v="0.34"/>
  </r>
  <r>
    <n v="120"/>
    <x v="26"/>
    <x v="6"/>
    <x v="25"/>
    <x v="18"/>
    <x v="26"/>
    <n v="3.05"/>
    <x v="1"/>
    <n v="16.3"/>
    <x v="2"/>
    <n v="2.92"/>
    <x v="0"/>
    <n v="0.34"/>
  </r>
  <r>
    <n v="121"/>
    <x v="45"/>
    <x v="24"/>
    <x v="16"/>
    <x v="31"/>
    <x v="32"/>
    <n v="2.82"/>
    <x v="2"/>
    <n v="18.899999999999999"/>
    <x v="0"/>
    <n v="3.69"/>
    <x v="0"/>
    <n v="0.33"/>
  </r>
  <r>
    <n v="122"/>
    <x v="41"/>
    <x v="7"/>
    <x v="1"/>
    <x v="50"/>
    <x v="65"/>
    <n v="2.62"/>
    <x v="1"/>
    <n v="16"/>
    <x v="0"/>
    <n v="1.21"/>
    <x v="1"/>
    <n v="0.35"/>
  </r>
  <r>
    <n v="123"/>
    <x v="13"/>
    <x v="14"/>
    <x v="38"/>
    <x v="51"/>
    <x v="57"/>
    <n v="3.64"/>
    <x v="2"/>
    <n v="18.600000000000001"/>
    <x v="1"/>
    <n v="3.01"/>
    <x v="0"/>
    <n v="0.48"/>
  </r>
  <r>
    <n v="124"/>
    <x v="46"/>
    <x v="30"/>
    <x v="33"/>
    <x v="4"/>
    <x v="69"/>
    <n v="3.19"/>
    <x v="0"/>
    <n v="17.600000000000001"/>
    <x v="2"/>
    <n v="3.6"/>
    <x v="0"/>
    <n v="0.41"/>
  </r>
  <r>
    <n v="125"/>
    <x v="27"/>
    <x v="32"/>
    <x v="12"/>
    <x v="48"/>
    <x v="39"/>
    <n v="2.95"/>
    <x v="2"/>
    <n v="17.2"/>
    <x v="0"/>
    <n v="3.37"/>
    <x v="0"/>
    <n v="0.48"/>
  </r>
  <r>
    <n v="126"/>
    <x v="26"/>
    <x v="4"/>
    <x v="47"/>
    <x v="43"/>
    <x v="70"/>
    <n v="2.94"/>
    <x v="1"/>
    <n v="17.799999999999997"/>
    <x v="0"/>
    <n v="4.72"/>
    <x v="0"/>
    <n v="0.31"/>
  </r>
  <r>
    <n v="127"/>
    <x v="37"/>
    <x v="8"/>
    <x v="46"/>
    <x v="32"/>
    <x v="42"/>
    <n v="2.89"/>
    <x v="2"/>
    <n v="18.100000000000001"/>
    <x v="0"/>
    <n v="2.29"/>
    <x v="0"/>
    <n v="0.33"/>
  </r>
  <r>
    <n v="128"/>
    <x v="19"/>
    <x v="2"/>
    <x v="6"/>
    <x v="52"/>
    <x v="64"/>
    <n v="2.9"/>
    <x v="2"/>
    <n v="18.399999999999999"/>
    <x v="0"/>
    <n v="1.98"/>
    <x v="0"/>
    <n v="0.39"/>
  </r>
  <r>
    <n v="129"/>
    <x v="42"/>
    <x v="1"/>
    <x v="9"/>
    <x v="53"/>
    <x v="51"/>
    <n v="3.57"/>
    <x v="2"/>
    <n v="14.9"/>
    <x v="1"/>
    <n v="4.26"/>
    <x v="0"/>
    <n v="0.66"/>
  </r>
  <r>
    <n v="130"/>
    <x v="20"/>
    <x v="9"/>
    <x v="31"/>
    <x v="2"/>
    <x v="60"/>
    <n v="3.24"/>
    <x v="2"/>
    <n v="16.100000000000001"/>
    <x v="2"/>
    <n v="3.8"/>
    <x v="0"/>
    <n v="0.6"/>
  </r>
  <r>
    <n v="131"/>
    <x v="16"/>
    <x v="5"/>
    <x v="13"/>
    <x v="20"/>
    <x v="71"/>
    <n v="2.99"/>
    <x v="2"/>
    <n v="17.399999999999999"/>
    <x v="0"/>
    <n v="3.52"/>
    <x v="0"/>
    <n v="0.51"/>
  </r>
  <r>
    <n v="132"/>
    <x v="41"/>
    <x v="21"/>
    <x v="33"/>
    <x v="38"/>
    <x v="72"/>
    <n v="2.85"/>
    <x v="1"/>
    <n v="17.600000000000001"/>
    <x v="0"/>
    <n v="1.75"/>
    <x v="0"/>
    <n v="0.32"/>
  </r>
  <r>
    <n v="133"/>
    <x v="35"/>
    <x v="35"/>
    <x v="25"/>
    <x v="5"/>
    <x v="73"/>
    <n v="2.7"/>
    <x v="1"/>
    <n v="16.3"/>
    <x v="0"/>
    <n v="3.64"/>
    <x v="0"/>
    <n v="0.36"/>
  </r>
  <r>
    <n v="134"/>
    <x v="1"/>
    <x v="36"/>
    <x v="13"/>
    <x v="36"/>
    <x v="74"/>
    <n v="2.72"/>
    <x v="1"/>
    <n v="17.400000000000002"/>
    <x v="0"/>
    <n v="0.94"/>
    <x v="1"/>
    <n v="0.3"/>
  </r>
  <r>
    <n v="135"/>
    <x v="45"/>
    <x v="33"/>
    <x v="45"/>
    <x v="26"/>
    <x v="23"/>
    <n v="2.4500000000000002"/>
    <x v="0"/>
    <n v="15.2"/>
    <x v="3"/>
    <n v="1.73"/>
    <x v="0"/>
    <n v="0.41"/>
  </r>
  <r>
    <n v="136"/>
    <x v="14"/>
    <x v="26"/>
    <x v="2"/>
    <x v="1"/>
    <x v="10"/>
    <n v="2.85"/>
    <x v="0"/>
    <n v="14.8"/>
    <x v="0"/>
    <n v="2.68"/>
    <x v="0"/>
    <n v="0.45"/>
  </r>
  <r>
    <n v="137"/>
    <x v="41"/>
    <x v="20"/>
    <x v="39"/>
    <x v="27"/>
    <x v="50"/>
    <n v="2.86"/>
    <x v="1"/>
    <n v="14.3"/>
    <x v="0"/>
    <n v="2"/>
    <x v="0"/>
    <n v="0.39"/>
  </r>
  <r>
    <n v="138"/>
    <x v="31"/>
    <x v="23"/>
    <x v="10"/>
    <x v="12"/>
    <x v="19"/>
    <n v="3.15"/>
    <x v="2"/>
    <n v="18.3"/>
    <x v="2"/>
    <n v="2.46"/>
    <x v="0"/>
    <n v="0.43"/>
  </r>
  <r>
    <n v="139"/>
    <x v="5"/>
    <x v="5"/>
    <x v="24"/>
    <x v="36"/>
    <x v="4"/>
    <n v="2.96"/>
    <x v="2"/>
    <n v="18.200000000000003"/>
    <x v="0"/>
    <n v="2.66"/>
    <x v="0"/>
    <n v="0.33"/>
  </r>
  <r>
    <n v="140"/>
    <x v="23"/>
    <x v="1"/>
    <x v="37"/>
    <x v="36"/>
    <x v="0"/>
    <n v="3.44"/>
    <x v="0"/>
    <n v="17"/>
    <x v="2"/>
    <n v="2.12"/>
    <x v="0"/>
    <n v="0.4"/>
  </r>
  <r>
    <n v="141"/>
    <x v="46"/>
    <x v="24"/>
    <x v="44"/>
    <x v="45"/>
    <x v="44"/>
    <n v="3.08"/>
    <x v="0"/>
    <n v="16.7"/>
    <x v="2"/>
    <n v="2.95"/>
    <x v="0"/>
    <n v="0.43"/>
  </r>
  <r>
    <n v="142"/>
    <x v="25"/>
    <x v="7"/>
    <x v="32"/>
    <x v="35"/>
    <x v="49"/>
    <n v="3.27"/>
    <x v="0"/>
    <n v="17.100000000000001"/>
    <x v="2"/>
    <n v="1.31"/>
    <x v="1"/>
    <n v="0.36"/>
  </r>
  <r>
    <n v="143"/>
    <x v="30"/>
    <x v="25"/>
    <x v="6"/>
    <x v="54"/>
    <x v="39"/>
    <n v="3.13"/>
    <x v="2"/>
    <n v="18.400000000000002"/>
    <x v="2"/>
    <n v="3.82"/>
    <x v="0"/>
    <n v="0.52"/>
  </r>
  <r>
    <n v="144"/>
    <x v="47"/>
    <x v="16"/>
    <x v="34"/>
    <x v="51"/>
    <x v="34"/>
    <n v="3.08"/>
    <x v="1"/>
    <n v="15.900000000000002"/>
    <x v="2"/>
    <n v="1.18"/>
    <x v="1"/>
    <n v="0.36"/>
  </r>
  <r>
    <n v="145"/>
    <x v="30"/>
    <x v="16"/>
    <x v="24"/>
    <x v="3"/>
    <x v="34"/>
    <n v="3.59"/>
    <x v="2"/>
    <n v="18.2"/>
    <x v="1"/>
    <n v="3.42"/>
    <x v="0"/>
    <n v="0.52"/>
  </r>
  <r>
    <n v="146"/>
    <x v="8"/>
    <x v="32"/>
    <x v="45"/>
    <x v="46"/>
    <x v="75"/>
    <n v="2.61"/>
    <x v="1"/>
    <n v="15.200000000000001"/>
    <x v="0"/>
    <n v="1.68"/>
    <x v="0"/>
    <n v="0.34"/>
  </r>
  <r>
    <n v="147"/>
    <x v="14"/>
    <x v="10"/>
    <x v="6"/>
    <x v="41"/>
    <x v="37"/>
    <n v="2.95"/>
    <x v="2"/>
    <n v="18.399999999999999"/>
    <x v="0"/>
    <n v="1.64"/>
    <x v="0"/>
    <n v="0.36"/>
  </r>
  <r>
    <n v="148"/>
    <x v="21"/>
    <x v="4"/>
    <x v="18"/>
    <x v="33"/>
    <x v="49"/>
    <n v="3.15"/>
    <x v="2"/>
    <n v="17.899999999999999"/>
    <x v="2"/>
    <n v="3.45"/>
    <x v="0"/>
    <n v="0.5"/>
  </r>
  <r>
    <n v="149"/>
    <x v="15"/>
    <x v="12"/>
    <x v="11"/>
    <x v="29"/>
    <x v="30"/>
    <n v="3.14"/>
    <x v="2"/>
    <n v="15.5"/>
    <x v="2"/>
    <n v="3.16"/>
    <x v="0"/>
    <n v="0.55000000000000004"/>
  </r>
  <r>
    <n v="150"/>
    <x v="37"/>
    <x v="7"/>
    <x v="31"/>
    <x v="52"/>
    <x v="76"/>
    <n v="2.64"/>
    <x v="1"/>
    <n v="16.100000000000001"/>
    <x v="0"/>
    <n v="1.46"/>
    <x v="1"/>
    <n v="0.37"/>
  </r>
  <r>
    <n v="151"/>
    <x v="34"/>
    <x v="0"/>
    <x v="24"/>
    <x v="38"/>
    <x v="67"/>
    <n v="3.58"/>
    <x v="2"/>
    <n v="18.2"/>
    <x v="1"/>
    <n v="1.84"/>
    <x v="0"/>
    <n v="0.4"/>
  </r>
  <r>
    <n v="152"/>
    <x v="2"/>
    <x v="1"/>
    <x v="39"/>
    <x v="51"/>
    <x v="52"/>
    <n v="2.79"/>
    <x v="1"/>
    <n v="14.3"/>
    <x v="0"/>
    <n v="1.1000000000000001"/>
    <x v="1"/>
    <n v="0.36"/>
  </r>
  <r>
    <n v="153"/>
    <x v="40"/>
    <x v="26"/>
    <x v="11"/>
    <x v="19"/>
    <x v="12"/>
    <n v="3.65"/>
    <x v="2"/>
    <n v="15.5"/>
    <x v="1"/>
    <n v="3.36"/>
    <x v="0"/>
    <n v="0.55000000000000004"/>
  </r>
  <r>
    <n v="154"/>
    <x v="19"/>
    <x v="20"/>
    <x v="39"/>
    <x v="8"/>
    <x v="56"/>
    <n v="3.33"/>
    <x v="0"/>
    <n v="14.3"/>
    <x v="2"/>
    <n v="2.82"/>
    <x v="0"/>
    <n v="0.5"/>
  </r>
  <r>
    <n v="155"/>
    <x v="34"/>
    <x v="30"/>
    <x v="43"/>
    <x v="55"/>
    <x v="9"/>
    <n v="3.11"/>
    <x v="0"/>
    <n v="14.100000000000001"/>
    <x v="2"/>
    <n v="3.19"/>
    <x v="0"/>
    <n v="0.52"/>
  </r>
  <r>
    <n v="156"/>
    <x v="6"/>
    <x v="37"/>
    <x v="5"/>
    <x v="15"/>
    <x v="77"/>
    <n v="3.42"/>
    <x v="2"/>
    <n v="18.7"/>
    <x v="2"/>
    <n v="3.34"/>
    <x v="0"/>
    <n v="0.43"/>
  </r>
  <r>
    <n v="157"/>
    <x v="21"/>
    <x v="38"/>
    <x v="23"/>
    <x v="52"/>
    <x v="46"/>
    <n v="3.51"/>
    <x v="2"/>
    <n v="17.3"/>
    <x v="1"/>
    <n v="3.95"/>
    <x v="0"/>
    <n v="0.52"/>
  </r>
  <r>
    <n v="158"/>
    <x v="14"/>
    <x v="29"/>
    <x v="0"/>
    <x v="56"/>
    <x v="57"/>
    <n v="3.02"/>
    <x v="0"/>
    <n v="15.3"/>
    <x v="2"/>
    <n v="2.2999999999999998"/>
    <x v="0"/>
    <n v="0.44"/>
  </r>
  <r>
    <n v="159"/>
    <x v="22"/>
    <x v="6"/>
    <x v="10"/>
    <x v="27"/>
    <x v="68"/>
    <n v="2.38"/>
    <x v="2"/>
    <n v="18.3"/>
    <x v="3"/>
    <n v="3.85"/>
    <x v="0"/>
    <n v="0.33"/>
  </r>
  <r>
    <n v="160"/>
    <x v="20"/>
    <x v="29"/>
    <x v="31"/>
    <x v="51"/>
    <x v="20"/>
    <n v="3.43"/>
    <x v="2"/>
    <n v="16.099999999999998"/>
    <x v="2"/>
    <n v="3.79"/>
    <x v="0"/>
    <n v="0.6"/>
  </r>
  <r>
    <n v="161"/>
    <x v="2"/>
    <x v="33"/>
    <x v="46"/>
    <x v="34"/>
    <x v="57"/>
    <n v="2.71"/>
    <x v="2"/>
    <n v="18.100000000000001"/>
    <x v="0"/>
    <n v="1.33"/>
    <x v="1"/>
    <n v="0.28000000000000003"/>
  </r>
  <r>
    <n v="162"/>
    <x v="38"/>
    <x v="36"/>
    <x v="36"/>
    <x v="26"/>
    <x v="61"/>
    <n v="2.59"/>
    <x v="1"/>
    <n v="16.5"/>
    <x v="0"/>
    <n v="0.88"/>
    <x v="1"/>
    <n v="0.33"/>
  </r>
  <r>
    <n v="163"/>
    <x v="1"/>
    <x v="15"/>
    <x v="29"/>
    <x v="32"/>
    <x v="6"/>
    <n v="2.68"/>
    <x v="1"/>
    <n v="18"/>
    <x v="0"/>
    <n v="1.1200000000000001"/>
    <x v="1"/>
    <n v="0.28999999999999998"/>
  </r>
  <r>
    <n v="164"/>
    <x v="8"/>
    <x v="35"/>
    <x v="48"/>
    <x v="53"/>
    <x v="59"/>
    <n v="2.67"/>
    <x v="1"/>
    <n v="16.2"/>
    <x v="0"/>
    <n v="3.69"/>
    <x v="0"/>
    <n v="0.32"/>
  </r>
  <r>
    <n v="165"/>
    <x v="13"/>
    <x v="6"/>
    <x v="21"/>
    <x v="10"/>
    <x v="74"/>
    <n v="3.58"/>
    <x v="2"/>
    <n v="16.400000000000002"/>
    <x v="1"/>
    <n v="3.25"/>
    <x v="0"/>
    <n v="0.54"/>
  </r>
  <r>
    <n v="166"/>
    <x v="35"/>
    <x v="5"/>
    <x v="41"/>
    <x v="6"/>
    <x v="52"/>
    <n v="2.46"/>
    <x v="1"/>
    <n v="14.7"/>
    <x v="3"/>
    <n v="2.5099999999999998"/>
    <x v="0"/>
    <n v="0.39"/>
  </r>
  <r>
    <n v="167"/>
    <x v="0"/>
    <x v="8"/>
    <x v="19"/>
    <x v="10"/>
    <x v="71"/>
    <n v="3.22"/>
    <x v="0"/>
    <n v="15.8"/>
    <x v="2"/>
    <n v="2.63"/>
    <x v="0"/>
    <n v="0.44"/>
  </r>
  <r>
    <n v="168"/>
    <x v="2"/>
    <x v="22"/>
    <x v="47"/>
    <x v="8"/>
    <x v="78"/>
    <n v="3.02"/>
    <x v="1"/>
    <n v="17.8"/>
    <x v="2"/>
    <n v="2.85"/>
    <x v="0"/>
    <n v="0.28999999999999998"/>
  </r>
  <r>
    <n v="169"/>
    <x v="2"/>
    <x v="31"/>
    <x v="28"/>
    <x v="27"/>
    <x v="14"/>
    <n v="2.52"/>
    <x v="1"/>
    <n v="15"/>
    <x v="0"/>
    <n v="3.73"/>
    <x v="0"/>
    <n v="0.34"/>
  </r>
  <r>
    <n v="170"/>
    <x v="26"/>
    <x v="19"/>
    <x v="26"/>
    <x v="41"/>
    <x v="34"/>
    <n v="2.97"/>
    <x v="1"/>
    <n v="15.399999999999999"/>
    <x v="0"/>
    <n v="2.0299999999999998"/>
    <x v="0"/>
    <n v="0.36"/>
  </r>
  <r>
    <n v="171"/>
    <x v="48"/>
    <x v="37"/>
    <x v="27"/>
    <x v="43"/>
    <x v="29"/>
    <n v="3.5"/>
    <x v="2"/>
    <n v="15.7"/>
    <x v="1"/>
    <n v="3.73"/>
    <x v="0"/>
    <n v="0.59"/>
  </r>
  <r>
    <n v="172"/>
    <x v="2"/>
    <x v="11"/>
    <x v="29"/>
    <x v="39"/>
    <x v="79"/>
    <n v="2.7"/>
    <x v="1"/>
    <n v="18"/>
    <x v="0"/>
    <n v="5.74"/>
    <x v="0"/>
    <n v="0.28000000000000003"/>
  </r>
  <r>
    <n v="173"/>
    <x v="37"/>
    <x v="32"/>
    <x v="20"/>
    <x v="32"/>
    <x v="37"/>
    <n v="2.78"/>
    <x v="1"/>
    <n v="16.899999999999999"/>
    <x v="0"/>
    <n v="1.71"/>
    <x v="0"/>
    <n v="0.35"/>
  </r>
  <r>
    <n v="174"/>
    <x v="45"/>
    <x v="24"/>
    <x v="1"/>
    <x v="16"/>
    <x v="4"/>
    <n v="3.15"/>
    <x v="0"/>
    <n v="16"/>
    <x v="2"/>
    <n v="2.83"/>
    <x v="0"/>
    <n v="0.39"/>
  </r>
  <r>
    <n v="175"/>
    <x v="4"/>
    <x v="37"/>
    <x v="48"/>
    <x v="20"/>
    <x v="29"/>
    <n v="3.26"/>
    <x v="2"/>
    <n v="16.2"/>
    <x v="2"/>
    <n v="2.86"/>
    <x v="0"/>
    <n v="0.5"/>
  </r>
  <r>
    <n v="176"/>
    <x v="16"/>
    <x v="4"/>
    <x v="41"/>
    <x v="20"/>
    <x v="65"/>
    <n v="3.3"/>
    <x v="2"/>
    <n v="14.7"/>
    <x v="2"/>
    <n v="3.55"/>
    <x v="0"/>
    <n v="0.6"/>
  </r>
  <r>
    <n v="177"/>
    <x v="30"/>
    <x v="16"/>
    <x v="20"/>
    <x v="28"/>
    <x v="80"/>
    <n v="3.49"/>
    <x v="2"/>
    <n v="16.899999999999999"/>
    <x v="2"/>
    <n v="3.91"/>
    <x v="0"/>
    <n v="0.56000000000000005"/>
  </r>
  <r>
    <n v="178"/>
    <x v="27"/>
    <x v="19"/>
    <x v="10"/>
    <x v="55"/>
    <x v="80"/>
    <n v="2.89"/>
    <x v="2"/>
    <n v="18.299999999999997"/>
    <x v="0"/>
    <n v="2.96"/>
    <x v="0"/>
    <n v="0.45"/>
  </r>
  <r>
    <n v="179"/>
    <x v="24"/>
    <x v="3"/>
    <x v="46"/>
    <x v="16"/>
    <x v="57"/>
    <n v="3.52"/>
    <x v="2"/>
    <n v="18.100000000000001"/>
    <x v="1"/>
    <n v="3.8"/>
    <x v="0"/>
    <n v="0.55000000000000004"/>
  </r>
  <r>
    <n v="180"/>
    <x v="11"/>
    <x v="9"/>
    <x v="27"/>
    <x v="55"/>
    <x v="15"/>
    <n v="2.76"/>
    <x v="0"/>
    <n v="15.700000000000001"/>
    <x v="0"/>
    <n v="2.13"/>
    <x v="0"/>
    <n v="0.41"/>
  </r>
  <r>
    <n v="181"/>
    <x v="5"/>
    <x v="38"/>
    <x v="10"/>
    <x v="32"/>
    <x v="81"/>
    <n v="2.95"/>
    <x v="2"/>
    <n v="18.3"/>
    <x v="0"/>
    <n v="3.11"/>
    <x v="0"/>
    <n v="0.33"/>
  </r>
  <r>
    <n v="182"/>
    <x v="6"/>
    <x v="33"/>
    <x v="46"/>
    <x v="57"/>
    <x v="20"/>
    <n v="3.4"/>
    <x v="2"/>
    <n v="18.099999999999998"/>
    <x v="2"/>
    <n v="2.78"/>
    <x v="0"/>
    <n v="0.44"/>
  </r>
  <r>
    <n v="183"/>
    <x v="19"/>
    <x v="24"/>
    <x v="21"/>
    <x v="5"/>
    <x v="26"/>
    <n v="3.17"/>
    <x v="0"/>
    <n v="16.399999999999999"/>
    <x v="2"/>
    <n v="3.73"/>
    <x v="0"/>
    <n v="0.43"/>
  </r>
  <r>
    <n v="184"/>
    <x v="38"/>
    <x v="21"/>
    <x v="47"/>
    <x v="29"/>
    <x v="69"/>
    <n v="2.66"/>
    <x v="1"/>
    <n v="17.8"/>
    <x v="0"/>
    <n v="2.6"/>
    <x v="0"/>
    <n v="0.3"/>
  </r>
  <r>
    <n v="185"/>
    <x v="11"/>
    <x v="29"/>
    <x v="26"/>
    <x v="45"/>
    <x v="82"/>
    <n v="2.77"/>
    <x v="0"/>
    <n v="15.400000000000002"/>
    <x v="0"/>
    <n v="2.61"/>
    <x v="0"/>
    <n v="0.42"/>
  </r>
  <r>
    <n v="186"/>
    <x v="29"/>
    <x v="26"/>
    <x v="0"/>
    <x v="14"/>
    <x v="23"/>
    <n v="3.77"/>
    <x v="2"/>
    <n v="15.299999999999999"/>
    <x v="1"/>
    <n v="3.23"/>
    <x v="0"/>
    <n v="0.54"/>
  </r>
  <r>
    <n v="187"/>
    <x v="8"/>
    <x v="19"/>
    <x v="1"/>
    <x v="5"/>
    <x v="83"/>
    <n v="3.29"/>
    <x v="1"/>
    <n v="16"/>
    <x v="2"/>
    <n v="4.26"/>
    <x v="0"/>
    <n v="0.32"/>
  </r>
  <r>
    <n v="188"/>
    <x v="14"/>
    <x v="34"/>
    <x v="42"/>
    <x v="19"/>
    <x v="84"/>
    <n v="2.99"/>
    <x v="2"/>
    <n v="18.5"/>
    <x v="0"/>
    <n v="3.48"/>
    <x v="0"/>
    <n v="0.36"/>
  </r>
  <r>
    <n v="189"/>
    <x v="15"/>
    <x v="14"/>
    <x v="22"/>
    <x v="4"/>
    <x v="12"/>
    <n v="3.43"/>
    <x v="2"/>
    <n v="15.600000000000001"/>
    <x v="2"/>
    <n v="3.15"/>
    <x v="0"/>
    <n v="0.55000000000000004"/>
  </r>
  <r>
    <n v="190"/>
    <x v="21"/>
    <x v="27"/>
    <x v="33"/>
    <x v="30"/>
    <x v="75"/>
    <n v="3.24"/>
    <x v="2"/>
    <n v="17.600000000000001"/>
    <x v="2"/>
    <n v="3.09"/>
    <x v="0"/>
    <n v="0.51"/>
  </r>
  <r>
    <n v="191"/>
    <x v="23"/>
    <x v="31"/>
    <x v="30"/>
    <x v="44"/>
    <x v="55"/>
    <n v="3.01"/>
    <x v="0"/>
    <n v="14.4"/>
    <x v="2"/>
    <n v="3.47"/>
    <x v="0"/>
    <n v="0.47"/>
  </r>
  <r>
    <n v="192"/>
    <x v="37"/>
    <x v="9"/>
    <x v="14"/>
    <x v="13"/>
    <x v="15"/>
    <n v="3.01"/>
    <x v="1"/>
    <n v="14.600000000000001"/>
    <x v="2"/>
    <n v="1.84"/>
    <x v="0"/>
    <n v="0.4"/>
  </r>
  <r>
    <n v="193"/>
    <x v="21"/>
    <x v="12"/>
    <x v="11"/>
    <x v="35"/>
    <x v="35"/>
    <n v="3.34"/>
    <x v="2"/>
    <n v="15.499999999999998"/>
    <x v="2"/>
    <n v="3.6"/>
    <x v="0"/>
    <n v="0.57999999999999996"/>
  </r>
  <r>
    <n v="194"/>
    <x v="22"/>
    <x v="36"/>
    <x v="39"/>
    <x v="39"/>
    <x v="49"/>
    <n v="2.58"/>
    <x v="0"/>
    <n v="14.299999999999999"/>
    <x v="0"/>
    <n v="2.46"/>
    <x v="0"/>
    <n v="0.43"/>
  </r>
  <r>
    <n v="195"/>
    <x v="40"/>
    <x v="26"/>
    <x v="46"/>
    <x v="30"/>
    <x v="52"/>
    <n v="3.06"/>
    <x v="2"/>
    <n v="18.100000000000001"/>
    <x v="2"/>
    <n v="2.7"/>
    <x v="0"/>
    <n v="0.47"/>
  </r>
  <r>
    <n v="196"/>
    <x v="20"/>
    <x v="2"/>
    <x v="39"/>
    <x v="53"/>
    <x v="18"/>
    <n v="3.65"/>
    <x v="2"/>
    <n v="14.3"/>
    <x v="1"/>
    <n v="4.34"/>
    <x v="0"/>
    <n v="0.67"/>
  </r>
  <r>
    <n v="197"/>
    <x v="32"/>
    <x v="23"/>
    <x v="13"/>
    <x v="42"/>
    <x v="39"/>
    <n v="3.41"/>
    <x v="2"/>
    <n v="17.400000000000002"/>
    <x v="2"/>
    <n v="3.57"/>
    <x v="0"/>
    <n v="0.53"/>
  </r>
  <r>
    <n v="198"/>
    <x v="25"/>
    <x v="30"/>
    <x v="38"/>
    <x v="1"/>
    <x v="69"/>
    <n v="2.84"/>
    <x v="2"/>
    <n v="18.600000000000001"/>
    <x v="0"/>
    <n v="3.12"/>
    <x v="0"/>
    <n v="0.33"/>
  </r>
  <r>
    <n v="199"/>
    <x v="14"/>
    <x v="20"/>
    <x v="5"/>
    <x v="31"/>
    <x v="85"/>
    <n v="3.29"/>
    <x v="2"/>
    <n v="18.7"/>
    <x v="2"/>
    <n v="2.67"/>
    <x v="0"/>
    <n v="0.36"/>
  </r>
  <r>
    <n v="200"/>
    <x v="18"/>
    <x v="25"/>
    <x v="14"/>
    <x v="30"/>
    <x v="15"/>
    <n v="3.03"/>
    <x v="0"/>
    <n v="14.6"/>
    <x v="2"/>
    <n v="2.04"/>
    <x v="0"/>
    <n v="0.45"/>
  </r>
  <r>
    <n v="201"/>
    <x v="25"/>
    <x v="18"/>
    <x v="14"/>
    <x v="28"/>
    <x v="84"/>
    <n v="2.95"/>
    <x v="0"/>
    <n v="14.599999999999998"/>
    <x v="0"/>
    <n v="4.18"/>
    <x v="0"/>
    <n v="0.42"/>
  </r>
  <r>
    <n v="202"/>
    <x v="10"/>
    <x v="16"/>
    <x v="40"/>
    <x v="53"/>
    <x v="86"/>
    <n v="3.67"/>
    <x v="2"/>
    <n v="13.999999999999998"/>
    <x v="1"/>
    <n v="4.32"/>
    <x v="0"/>
    <n v="0.69"/>
  </r>
  <r>
    <n v="203"/>
    <x v="16"/>
    <x v="37"/>
    <x v="49"/>
    <x v="23"/>
    <x v="75"/>
    <n v="3.23"/>
    <x v="2"/>
    <n v="16.599999999999998"/>
    <x v="2"/>
    <n v="3.23"/>
    <x v="0"/>
    <n v="0.53"/>
  </r>
  <r>
    <n v="204"/>
    <x v="19"/>
    <x v="15"/>
    <x v="47"/>
    <x v="14"/>
    <x v="87"/>
    <n v="3.36"/>
    <x v="0"/>
    <n v="17.799999999999997"/>
    <x v="2"/>
    <n v="3.15"/>
    <x v="0"/>
    <n v="0.4"/>
  </r>
  <r>
    <n v="205"/>
    <x v="23"/>
    <x v="8"/>
    <x v="4"/>
    <x v="25"/>
    <x v="84"/>
    <n v="3.01"/>
    <x v="0"/>
    <n v="17.5"/>
    <x v="2"/>
    <n v="3.66"/>
    <x v="0"/>
    <n v="0.39"/>
  </r>
  <r>
    <n v="206"/>
    <x v="0"/>
    <x v="33"/>
    <x v="18"/>
    <x v="6"/>
    <x v="23"/>
    <n v="3.08"/>
    <x v="0"/>
    <n v="17.900000000000002"/>
    <x v="2"/>
    <n v="2.16"/>
    <x v="0"/>
    <n v="0.39"/>
  </r>
  <r>
    <n v="207"/>
    <x v="13"/>
    <x v="31"/>
    <x v="20"/>
    <x v="46"/>
    <x v="36"/>
    <n v="3.33"/>
    <x v="2"/>
    <n v="16.900000000000002"/>
    <x v="2"/>
    <n v="3.71"/>
    <x v="0"/>
    <n v="0.53"/>
  </r>
  <r>
    <n v="208"/>
    <x v="4"/>
    <x v="5"/>
    <x v="40"/>
    <x v="2"/>
    <x v="49"/>
    <n v="3.35"/>
    <x v="2"/>
    <n v="13.999999999999998"/>
    <x v="2"/>
    <n v="3.39"/>
    <x v="0"/>
    <n v="0.57999999999999996"/>
  </r>
  <r>
    <n v="209"/>
    <x v="10"/>
    <x v="12"/>
    <x v="1"/>
    <x v="31"/>
    <x v="0"/>
    <n v="3.33"/>
    <x v="2"/>
    <n v="16"/>
    <x v="2"/>
    <n v="3.82"/>
    <x v="0"/>
    <n v="0.61"/>
  </r>
  <r>
    <n v="210"/>
    <x v="22"/>
    <x v="5"/>
    <x v="15"/>
    <x v="11"/>
    <x v="44"/>
    <n v="2.81"/>
    <x v="0"/>
    <n v="15.100000000000001"/>
    <x v="0"/>
    <n v="2.8"/>
    <x v="0"/>
    <n v="0.4"/>
  </r>
  <r>
    <n v="211"/>
    <x v="1"/>
    <x v="2"/>
    <x v="14"/>
    <x v="55"/>
    <x v="18"/>
    <n v="3.08"/>
    <x v="1"/>
    <n v="14.6"/>
    <x v="2"/>
    <n v="2.25"/>
    <x v="0"/>
    <n v="0.36"/>
  </r>
  <r>
    <n v="212"/>
    <x v="40"/>
    <x v="4"/>
    <x v="9"/>
    <x v="22"/>
    <x v="57"/>
    <n v="3.16"/>
    <x v="2"/>
    <n v="14.9"/>
    <x v="2"/>
    <n v="3.61"/>
    <x v="0"/>
    <n v="0.56999999999999995"/>
  </r>
  <r>
    <n v="213"/>
    <x v="22"/>
    <x v="3"/>
    <x v="1"/>
    <x v="38"/>
    <x v="6"/>
    <n v="2.79"/>
    <x v="0"/>
    <n v="16"/>
    <x v="0"/>
    <n v="1.67"/>
    <x v="0"/>
    <n v="0.38"/>
  </r>
  <r>
    <n v="214"/>
    <x v="33"/>
    <x v="0"/>
    <x v="41"/>
    <x v="2"/>
    <x v="56"/>
    <n v="3.33"/>
    <x v="2"/>
    <n v="14.7"/>
    <x v="2"/>
    <n v="4.0999999999999996"/>
    <x v="0"/>
    <n v="0.64"/>
  </r>
  <r>
    <n v="215"/>
    <x v="29"/>
    <x v="9"/>
    <x v="38"/>
    <x v="10"/>
    <x v="40"/>
    <n v="2.97"/>
    <x v="2"/>
    <n v="18.600000000000001"/>
    <x v="0"/>
    <n v="2.88"/>
    <x v="0"/>
    <n v="0.45"/>
  </r>
  <r>
    <n v="216"/>
    <x v="15"/>
    <x v="14"/>
    <x v="38"/>
    <x v="22"/>
    <x v="24"/>
    <n v="3.14"/>
    <x v="2"/>
    <n v="18.600000000000001"/>
    <x v="2"/>
    <n v="3.56"/>
    <x v="0"/>
    <n v="0.46"/>
  </r>
  <r>
    <n v="217"/>
    <x v="7"/>
    <x v="11"/>
    <x v="41"/>
    <x v="7"/>
    <x v="1"/>
    <n v="3.77"/>
    <x v="2"/>
    <n v="14.700000000000001"/>
    <x v="1"/>
    <n v="3.4"/>
    <x v="0"/>
    <n v="0.56999999999999995"/>
  </r>
  <r>
    <n v="218"/>
    <x v="28"/>
    <x v="29"/>
    <x v="22"/>
    <x v="58"/>
    <x v="19"/>
    <n v="3.26"/>
    <x v="2"/>
    <n v="15.600000000000001"/>
    <x v="2"/>
    <n v="3.52"/>
    <x v="0"/>
    <n v="0.57999999999999996"/>
  </r>
  <r>
    <n v="219"/>
    <x v="45"/>
    <x v="1"/>
    <x v="28"/>
    <x v="30"/>
    <x v="0"/>
    <n v="3.11"/>
    <x v="0"/>
    <n v="15.000000000000002"/>
    <x v="2"/>
    <n v="1.87"/>
    <x v="0"/>
    <n v="0.42"/>
  </r>
  <r>
    <n v="220"/>
    <x v="40"/>
    <x v="33"/>
    <x v="34"/>
    <x v="38"/>
    <x v="51"/>
    <n v="3.38"/>
    <x v="2"/>
    <n v="15.899999999999999"/>
    <x v="2"/>
    <n v="3.16"/>
    <x v="0"/>
    <n v="0.53"/>
  </r>
  <r>
    <n v="221"/>
    <x v="35"/>
    <x v="1"/>
    <x v="14"/>
    <x v="39"/>
    <x v="43"/>
    <n v="2.84"/>
    <x v="1"/>
    <n v="14.6"/>
    <x v="0"/>
    <n v="2.4900000000000002"/>
    <x v="0"/>
    <n v="0.4"/>
  </r>
  <r>
    <n v="222"/>
    <x v="14"/>
    <x v="15"/>
    <x v="24"/>
    <x v="36"/>
    <x v="67"/>
    <n v="3.03"/>
    <x v="2"/>
    <n v="18.2"/>
    <x v="2"/>
    <n v="1.64"/>
    <x v="0"/>
    <n v="0.37"/>
  </r>
  <r>
    <n v="223"/>
    <x v="48"/>
    <x v="14"/>
    <x v="50"/>
    <x v="3"/>
    <x v="72"/>
    <n v="3.42"/>
    <x v="2"/>
    <n v="19"/>
    <x v="2"/>
    <n v="3.58"/>
    <x v="0"/>
    <n v="0.48"/>
  </r>
  <r>
    <n v="224"/>
    <x v="27"/>
    <x v="19"/>
    <x v="19"/>
    <x v="51"/>
    <x v="63"/>
    <n v="3.24"/>
    <x v="2"/>
    <n v="15.799999999999999"/>
    <x v="2"/>
    <n v="3.03"/>
    <x v="0"/>
    <n v="0.52"/>
  </r>
  <r>
    <n v="225"/>
    <x v="13"/>
    <x v="31"/>
    <x v="45"/>
    <x v="51"/>
    <x v="65"/>
    <n v="3.32"/>
    <x v="2"/>
    <n v="15.2"/>
    <x v="2"/>
    <n v="3.61"/>
    <x v="0"/>
    <n v="0.59"/>
  </r>
  <r>
    <n v="226"/>
    <x v="27"/>
    <x v="26"/>
    <x v="42"/>
    <x v="54"/>
    <x v="88"/>
    <n v="3.29"/>
    <x v="2"/>
    <n v="18.5"/>
    <x v="2"/>
    <n v="3.04"/>
    <x v="0"/>
    <n v="0.44"/>
  </r>
  <r>
    <n v="227"/>
    <x v="7"/>
    <x v="11"/>
    <x v="4"/>
    <x v="1"/>
    <x v="2"/>
    <n v="3.29"/>
    <x v="2"/>
    <n v="17.5"/>
    <x v="2"/>
    <n v="3.31"/>
    <x v="0"/>
    <n v="0.48"/>
  </r>
  <r>
    <n v="228"/>
    <x v="14"/>
    <x v="25"/>
    <x v="35"/>
    <x v="21"/>
    <x v="17"/>
    <n v="2.86"/>
    <x v="2"/>
    <n v="18.799999999999997"/>
    <x v="0"/>
    <n v="1.75"/>
    <x v="0"/>
    <n v="0.36"/>
  </r>
  <r>
    <n v="229"/>
    <x v="24"/>
    <x v="2"/>
    <x v="0"/>
    <x v="39"/>
    <x v="9"/>
    <n v="3.8"/>
    <x v="2"/>
    <n v="15.3"/>
    <x v="1"/>
    <n v="4.34"/>
    <x v="0"/>
    <n v="0.65"/>
  </r>
  <r>
    <n v="230"/>
    <x v="7"/>
    <x v="6"/>
    <x v="33"/>
    <x v="49"/>
    <x v="89"/>
    <n v="3.25"/>
    <x v="2"/>
    <n v="17.600000000000001"/>
    <x v="2"/>
    <n v="3.38"/>
    <x v="0"/>
    <n v="0.48"/>
  </r>
  <r>
    <n v="231"/>
    <x v="19"/>
    <x v="6"/>
    <x v="24"/>
    <x v="12"/>
    <x v="57"/>
    <n v="2.86"/>
    <x v="2"/>
    <n v="18.2"/>
    <x v="0"/>
    <n v="2.17"/>
    <x v="0"/>
    <n v="0.39"/>
  </r>
  <r>
    <n v="232"/>
    <x v="38"/>
    <x v="33"/>
    <x v="27"/>
    <x v="16"/>
    <x v="90"/>
    <n v="2.95"/>
    <x v="1"/>
    <n v="15.700000000000001"/>
    <x v="0"/>
    <n v="2.11"/>
    <x v="0"/>
    <n v="0.34"/>
  </r>
  <r>
    <n v="233"/>
    <x v="42"/>
    <x v="4"/>
    <x v="3"/>
    <x v="6"/>
    <x v="86"/>
    <n v="3.84"/>
    <x v="2"/>
    <n v="16.8"/>
    <x v="1"/>
    <n v="4.43"/>
    <x v="0"/>
    <n v="0.57999999999999996"/>
  </r>
  <r>
    <n v="234"/>
    <x v="49"/>
    <x v="8"/>
    <x v="43"/>
    <x v="10"/>
    <x v="61"/>
    <n v="2.84"/>
    <x v="0"/>
    <n v="14.1"/>
    <x v="0"/>
    <n v="2.52"/>
    <x v="0"/>
    <n v="0.5"/>
  </r>
  <r>
    <n v="235"/>
    <x v="30"/>
    <x v="22"/>
    <x v="18"/>
    <x v="39"/>
    <x v="13"/>
    <n v="3.17"/>
    <x v="2"/>
    <n v="17.899999999999999"/>
    <x v="2"/>
    <n v="4.63"/>
    <x v="0"/>
    <n v="0.53"/>
  </r>
  <r>
    <n v="236"/>
    <x v="32"/>
    <x v="35"/>
    <x v="8"/>
    <x v="17"/>
    <x v="75"/>
    <n v="3.68"/>
    <x v="2"/>
    <n v="14.200000000000001"/>
    <x v="1"/>
    <n v="3.91"/>
    <x v="0"/>
    <n v="0.65"/>
  </r>
  <r>
    <n v="237"/>
    <x v="32"/>
    <x v="34"/>
    <x v="15"/>
    <x v="29"/>
    <x v="18"/>
    <n v="3.52"/>
    <x v="2"/>
    <n v="15.1"/>
    <x v="1"/>
    <n v="3.85"/>
    <x v="0"/>
    <n v="0.62"/>
  </r>
  <r>
    <n v="238"/>
    <x v="47"/>
    <x v="18"/>
    <x v="30"/>
    <x v="40"/>
    <x v="8"/>
    <n v="3.12"/>
    <x v="1"/>
    <n v="14.4"/>
    <x v="2"/>
    <n v="2.4700000000000002"/>
    <x v="0"/>
    <n v="0.4"/>
  </r>
  <r>
    <n v="239"/>
    <x v="21"/>
    <x v="35"/>
    <x v="6"/>
    <x v="44"/>
    <x v="24"/>
    <n v="3.21"/>
    <x v="2"/>
    <n v="18.400000000000002"/>
    <x v="2"/>
    <n v="3.89"/>
    <x v="0"/>
    <n v="0.49"/>
  </r>
  <r>
    <n v="240"/>
    <x v="5"/>
    <x v="14"/>
    <x v="5"/>
    <x v="38"/>
    <x v="85"/>
    <n v="3.26"/>
    <x v="2"/>
    <n v="18.7"/>
    <x v="2"/>
    <n v="2.36"/>
    <x v="0"/>
    <n v="0.32"/>
  </r>
  <r>
    <n v="241"/>
    <x v="45"/>
    <x v="16"/>
    <x v="13"/>
    <x v="56"/>
    <x v="7"/>
    <n v="2.85"/>
    <x v="0"/>
    <n v="17.399999999999999"/>
    <x v="0"/>
    <n v="1.69"/>
    <x v="0"/>
    <n v="0.36"/>
  </r>
  <r>
    <n v="242"/>
    <x v="6"/>
    <x v="28"/>
    <x v="11"/>
    <x v="21"/>
    <x v="25"/>
    <n v="2.72"/>
    <x v="0"/>
    <n v="15.499999999999998"/>
    <x v="0"/>
    <n v="3.35"/>
    <x v="0"/>
    <n v="0.52"/>
  </r>
  <r>
    <n v="243"/>
    <x v="13"/>
    <x v="39"/>
    <x v="49"/>
    <x v="17"/>
    <x v="81"/>
    <n v="3.33"/>
    <x v="2"/>
    <n v="16.600000000000001"/>
    <x v="2"/>
    <n v="4.41"/>
    <x v="0"/>
    <n v="0.54"/>
  </r>
  <r>
    <n v="244"/>
    <x v="4"/>
    <x v="27"/>
    <x v="48"/>
    <x v="28"/>
    <x v="7"/>
    <n v="2.98"/>
    <x v="2"/>
    <n v="16.2"/>
    <x v="0"/>
    <n v="3.41"/>
    <x v="0"/>
    <n v="0.5"/>
  </r>
  <r>
    <n v="245"/>
    <x v="18"/>
    <x v="3"/>
    <x v="38"/>
    <x v="11"/>
    <x v="78"/>
    <n v="2.79"/>
    <x v="2"/>
    <n v="18.599999999999998"/>
    <x v="0"/>
    <n v="2.98"/>
    <x v="0"/>
    <n v="0.35"/>
  </r>
  <r>
    <n v="246"/>
    <x v="44"/>
    <x v="27"/>
    <x v="28"/>
    <x v="24"/>
    <x v="61"/>
    <n v="3.11"/>
    <x v="0"/>
    <n v="15"/>
    <x v="2"/>
    <n v="2.91"/>
    <x v="0"/>
    <n v="0.52"/>
  </r>
  <r>
    <n v="247"/>
    <x v="35"/>
    <x v="31"/>
    <x v="19"/>
    <x v="1"/>
    <x v="91"/>
    <n v="2.88"/>
    <x v="1"/>
    <n v="15.8"/>
    <x v="0"/>
    <n v="2.46"/>
    <x v="0"/>
    <n v="0.37"/>
  </r>
  <r>
    <n v="248"/>
    <x v="40"/>
    <x v="1"/>
    <x v="26"/>
    <x v="56"/>
    <x v="86"/>
    <n v="3.15"/>
    <x v="2"/>
    <n v="15.399999999999999"/>
    <x v="2"/>
    <n v="3.32"/>
    <x v="0"/>
    <n v="0.55000000000000004"/>
  </r>
  <r>
    <n v="249"/>
    <x v="14"/>
    <x v="10"/>
    <x v="38"/>
    <x v="32"/>
    <x v="74"/>
    <n v="3.27"/>
    <x v="2"/>
    <n v="18.600000000000001"/>
    <x v="2"/>
    <n v="1.7"/>
    <x v="0"/>
    <n v="0.36"/>
  </r>
  <r>
    <n v="250"/>
    <x v="34"/>
    <x v="12"/>
    <x v="21"/>
    <x v="13"/>
    <x v="15"/>
    <n v="3.13"/>
    <x v="0"/>
    <n v="16.400000000000002"/>
    <x v="2"/>
    <n v="2.35"/>
    <x v="0"/>
    <n v="0.45"/>
  </r>
  <r>
    <n v="251"/>
    <x v="38"/>
    <x v="39"/>
    <x v="47"/>
    <x v="43"/>
    <x v="92"/>
    <n v="2.75"/>
    <x v="1"/>
    <n v="17.8"/>
    <x v="0"/>
    <n v="5.05"/>
    <x v="0"/>
    <n v="0.3"/>
  </r>
  <r>
    <n v="252"/>
    <x v="24"/>
    <x v="17"/>
    <x v="46"/>
    <x v="59"/>
    <x v="19"/>
    <n v="3.57"/>
    <x v="2"/>
    <n v="18.100000000000001"/>
    <x v="1"/>
    <n v="3.86"/>
    <x v="0"/>
    <n v="0.55000000000000004"/>
  </r>
  <r>
    <n v="253"/>
    <x v="29"/>
    <x v="14"/>
    <x v="48"/>
    <x v="1"/>
    <x v="93"/>
    <n v="3.25"/>
    <x v="2"/>
    <n v="16.2"/>
    <x v="2"/>
    <n v="3.04"/>
    <x v="0"/>
    <n v="0.51"/>
  </r>
  <r>
    <n v="254"/>
    <x v="5"/>
    <x v="33"/>
    <x v="38"/>
    <x v="39"/>
    <x v="94"/>
    <n v="2.92"/>
    <x v="2"/>
    <n v="18.599999999999998"/>
    <x v="0"/>
    <n v="4.12"/>
    <x v="0"/>
    <n v="0.32"/>
  </r>
  <r>
    <n v="255"/>
    <x v="45"/>
    <x v="35"/>
    <x v="41"/>
    <x v="13"/>
    <x v="15"/>
    <n v="2.85"/>
    <x v="0"/>
    <n v="14.7"/>
    <x v="0"/>
    <n v="2.09"/>
    <x v="0"/>
    <n v="0.43"/>
  </r>
  <r>
    <n v="256"/>
    <x v="14"/>
    <x v="24"/>
    <x v="43"/>
    <x v="39"/>
    <x v="42"/>
    <n v="3.32"/>
    <x v="0"/>
    <n v="14.099999999999998"/>
    <x v="2"/>
    <n v="3.16"/>
    <x v="0"/>
    <n v="0.48"/>
  </r>
  <r>
    <n v="257"/>
    <x v="32"/>
    <x v="32"/>
    <x v="3"/>
    <x v="23"/>
    <x v="89"/>
    <n v="3.61"/>
    <x v="2"/>
    <n v="16.8"/>
    <x v="1"/>
    <n v="3.54"/>
    <x v="0"/>
    <n v="0.55000000000000004"/>
  </r>
  <r>
    <n v="258"/>
    <x v="30"/>
    <x v="13"/>
    <x v="33"/>
    <x v="26"/>
    <x v="12"/>
    <n v="3.42"/>
    <x v="2"/>
    <n v="17.599999999999998"/>
    <x v="2"/>
    <n v="3.49"/>
    <x v="0"/>
    <n v="0.54"/>
  </r>
  <r>
    <n v="259"/>
    <x v="20"/>
    <x v="40"/>
    <x v="34"/>
    <x v="38"/>
    <x v="30"/>
    <n v="3.31"/>
    <x v="2"/>
    <n v="15.9"/>
    <x v="2"/>
    <n v="3.91"/>
    <x v="0"/>
    <n v="0.6"/>
  </r>
  <r>
    <n v="260"/>
    <x v="15"/>
    <x v="7"/>
    <x v="46"/>
    <x v="25"/>
    <x v="57"/>
    <n v="3.37"/>
    <x v="2"/>
    <n v="18.100000000000001"/>
    <x v="2"/>
    <n v="3.01"/>
    <x v="0"/>
    <n v="0.48"/>
  </r>
  <r>
    <n v="261"/>
    <x v="24"/>
    <x v="5"/>
    <x v="41"/>
    <x v="15"/>
    <x v="15"/>
    <n v="3.59"/>
    <x v="2"/>
    <n v="14.7"/>
    <x v="1"/>
    <n v="4.2"/>
    <x v="0"/>
    <n v="0.67"/>
  </r>
  <r>
    <n v="262"/>
    <x v="46"/>
    <x v="3"/>
    <x v="12"/>
    <x v="26"/>
    <x v="6"/>
    <n v="3.01"/>
    <x v="0"/>
    <n v="17.2"/>
    <x v="2"/>
    <n v="2.14"/>
    <x v="0"/>
    <n v="0.42"/>
  </r>
  <r>
    <n v="263"/>
    <x v="35"/>
    <x v="37"/>
    <x v="8"/>
    <x v="18"/>
    <x v="71"/>
    <n v="2.61"/>
    <x v="1"/>
    <n v="14.2"/>
    <x v="0"/>
    <n v="2.3199999999999998"/>
    <x v="0"/>
    <n v="0.41"/>
  </r>
  <r>
    <n v="264"/>
    <x v="13"/>
    <x v="30"/>
    <x v="8"/>
    <x v="4"/>
    <x v="23"/>
    <n v="3.57"/>
    <x v="2"/>
    <n v="14.200000000000001"/>
    <x v="1"/>
    <n v="3.68"/>
    <x v="0"/>
    <n v="0.63"/>
  </r>
  <r>
    <n v="265"/>
    <x v="25"/>
    <x v="11"/>
    <x v="24"/>
    <x v="37"/>
    <x v="21"/>
    <n v="3.13"/>
    <x v="2"/>
    <n v="18.2"/>
    <x v="2"/>
    <n v="3.62"/>
    <x v="0"/>
    <n v="0.34"/>
  </r>
  <r>
    <n v="266"/>
    <x v="46"/>
    <x v="19"/>
    <x v="34"/>
    <x v="1"/>
    <x v="61"/>
    <n v="2.98"/>
    <x v="0"/>
    <n v="15.899999999999999"/>
    <x v="0"/>
    <n v="2.5499999999999998"/>
    <x v="0"/>
    <n v="0.45"/>
  </r>
  <r>
    <n v="267"/>
    <x v="35"/>
    <x v="5"/>
    <x v="35"/>
    <x v="13"/>
    <x v="27"/>
    <n v="2.81"/>
    <x v="2"/>
    <n v="18.8"/>
    <x v="0"/>
    <n v="3.03"/>
    <x v="0"/>
    <n v="0.31"/>
  </r>
  <r>
    <n v="268"/>
    <x v="48"/>
    <x v="16"/>
    <x v="31"/>
    <x v="51"/>
    <x v="31"/>
    <n v="3.8"/>
    <x v="2"/>
    <n v="16.099999999999998"/>
    <x v="1"/>
    <n v="3.68"/>
    <x v="0"/>
    <n v="0.56999999999999995"/>
  </r>
  <r>
    <n v="269"/>
    <x v="5"/>
    <x v="31"/>
    <x v="7"/>
    <x v="5"/>
    <x v="95"/>
    <n v="3.05"/>
    <x v="0"/>
    <n v="17.7"/>
    <x v="2"/>
    <n v="5.13"/>
    <x v="0"/>
    <n v="0.34"/>
  </r>
  <r>
    <n v="270"/>
    <x v="8"/>
    <x v="30"/>
    <x v="44"/>
    <x v="54"/>
    <x v="91"/>
    <n v="2.79"/>
    <x v="1"/>
    <n v="16.700000000000003"/>
    <x v="0"/>
    <n v="2.46"/>
    <x v="0"/>
    <n v="0.31"/>
  </r>
  <r>
    <n v="271"/>
    <x v="18"/>
    <x v="14"/>
    <x v="35"/>
    <x v="24"/>
    <x v="68"/>
    <n v="3.17"/>
    <x v="2"/>
    <n v="18.8"/>
    <x v="2"/>
    <n v="3.94"/>
    <x v="0"/>
    <n v="0.35"/>
  </r>
  <r>
    <n v="272"/>
    <x v="34"/>
    <x v="3"/>
    <x v="49"/>
    <x v="8"/>
    <x v="74"/>
    <n v="3.16"/>
    <x v="0"/>
    <n v="16.600000000000001"/>
    <x v="2"/>
    <n v="2.2400000000000002"/>
    <x v="0"/>
    <n v="0.44"/>
  </r>
  <r>
    <n v="273"/>
    <x v="47"/>
    <x v="18"/>
    <x v="4"/>
    <x v="1"/>
    <x v="26"/>
    <n v="2.98"/>
    <x v="1"/>
    <n v="17.5"/>
    <x v="0"/>
    <n v="3.15"/>
    <x v="0"/>
    <n v="0.33"/>
  </r>
  <r>
    <n v="274"/>
    <x v="42"/>
    <x v="31"/>
    <x v="22"/>
    <x v="52"/>
    <x v="1"/>
    <n v="3.26"/>
    <x v="2"/>
    <n v="15.600000000000001"/>
    <x v="2"/>
    <n v="4.09"/>
    <x v="0"/>
    <n v="0.63"/>
  </r>
  <r>
    <n v="275"/>
    <x v="32"/>
    <x v="5"/>
    <x v="11"/>
    <x v="47"/>
    <x v="38"/>
    <n v="3.43"/>
    <x v="2"/>
    <n v="15.5"/>
    <x v="2"/>
    <n v="4.04"/>
    <x v="0"/>
    <n v="0.6"/>
  </r>
  <r>
    <n v="276"/>
    <x v="50"/>
    <x v="25"/>
    <x v="41"/>
    <x v="56"/>
    <x v="30"/>
    <n v="3.2"/>
    <x v="0"/>
    <n v="14.7"/>
    <x v="2"/>
    <n v="2.57"/>
    <x v="0"/>
    <n v="0.51"/>
  </r>
  <r>
    <n v="277"/>
    <x v="8"/>
    <x v="26"/>
    <x v="22"/>
    <x v="50"/>
    <x v="23"/>
    <n v="2.91"/>
    <x v="1"/>
    <n v="15.6"/>
    <x v="0"/>
    <n v="1.07"/>
    <x v="1"/>
    <n v="0.33"/>
  </r>
  <r>
    <n v="278"/>
    <x v="49"/>
    <x v="12"/>
    <x v="42"/>
    <x v="42"/>
    <x v="64"/>
    <n v="2.82"/>
    <x v="2"/>
    <n v="18.5"/>
    <x v="0"/>
    <n v="1.86"/>
    <x v="0"/>
    <n v="0.38"/>
  </r>
  <r>
    <n v="279"/>
    <x v="43"/>
    <x v="39"/>
    <x v="43"/>
    <x v="16"/>
    <x v="36"/>
    <n v="3.56"/>
    <x v="2"/>
    <n v="14.099999999999998"/>
    <x v="1"/>
    <n v="4.4000000000000004"/>
    <x v="0"/>
    <n v="0.71"/>
  </r>
  <r>
    <n v="280"/>
    <x v="44"/>
    <x v="15"/>
    <x v="14"/>
    <x v="18"/>
    <x v="36"/>
    <n v="3.25"/>
    <x v="0"/>
    <n v="14.600000000000001"/>
    <x v="2"/>
    <n v="2.83"/>
    <x v="0"/>
    <n v="0.53"/>
  </r>
  <r>
    <n v="281"/>
    <x v="18"/>
    <x v="33"/>
    <x v="28"/>
    <x v="33"/>
    <x v="89"/>
    <n v="2.93"/>
    <x v="0"/>
    <n v="15.000000000000002"/>
    <x v="0"/>
    <n v="2.2400000000000002"/>
    <x v="0"/>
    <n v="0.44"/>
  </r>
  <r>
    <n v="282"/>
    <x v="28"/>
    <x v="30"/>
    <x v="25"/>
    <x v="60"/>
    <x v="24"/>
    <n v="3.64"/>
    <x v="2"/>
    <n v="16.3"/>
    <x v="1"/>
    <n v="4.53"/>
    <x v="0"/>
    <n v="0.56000000000000005"/>
  </r>
  <r>
    <n v="283"/>
    <x v="18"/>
    <x v="24"/>
    <x v="37"/>
    <x v="1"/>
    <x v="50"/>
    <n v="2.79"/>
    <x v="0"/>
    <n v="17"/>
    <x v="0"/>
    <n v="2.1"/>
    <x v="0"/>
    <n v="0.39"/>
  </r>
  <r>
    <n v="284"/>
    <x v="25"/>
    <x v="24"/>
    <x v="18"/>
    <x v="53"/>
    <x v="96"/>
    <n v="2.5"/>
    <x v="0"/>
    <n v="17.899999999999999"/>
    <x v="0"/>
    <n v="4.3499999999999996"/>
    <x v="0"/>
    <n v="0.35"/>
  </r>
  <r>
    <n v="285"/>
    <x v="6"/>
    <x v="33"/>
    <x v="34"/>
    <x v="52"/>
    <x v="12"/>
    <n v="3.4"/>
    <x v="0"/>
    <n v="15.899999999999999"/>
    <x v="2"/>
    <n v="2.69"/>
    <x v="0"/>
    <n v="0.5"/>
  </r>
  <r>
    <n v="286"/>
    <x v="17"/>
    <x v="35"/>
    <x v="16"/>
    <x v="15"/>
    <x v="41"/>
    <n v="3.08"/>
    <x v="2"/>
    <n v="18.899999999999999"/>
    <x v="2"/>
    <n v="3.21"/>
    <x v="0"/>
    <n v="0.4"/>
  </r>
  <r>
    <n v="287"/>
    <x v="0"/>
    <x v="37"/>
    <x v="31"/>
    <x v="51"/>
    <x v="17"/>
    <n v="3.31"/>
    <x v="0"/>
    <n v="16.100000000000001"/>
    <x v="2"/>
    <n v="2.23"/>
    <x v="0"/>
    <n v="0.43"/>
  </r>
  <r>
    <n v="288"/>
    <x v="28"/>
    <x v="20"/>
    <x v="8"/>
    <x v="60"/>
    <x v="19"/>
    <n v="3.48"/>
    <x v="2"/>
    <n v="14.2"/>
    <x v="2"/>
    <n v="3.9"/>
    <x v="0"/>
    <n v="0.64"/>
  </r>
  <r>
    <n v="289"/>
    <x v="5"/>
    <x v="38"/>
    <x v="19"/>
    <x v="32"/>
    <x v="17"/>
    <n v="2.92"/>
    <x v="0"/>
    <n v="15.8"/>
    <x v="0"/>
    <n v="2.71"/>
    <x v="0"/>
    <n v="0.38"/>
  </r>
  <r>
    <n v="290"/>
    <x v="1"/>
    <x v="26"/>
    <x v="12"/>
    <x v="17"/>
    <x v="5"/>
    <n v="2.78"/>
    <x v="1"/>
    <n v="17.2"/>
    <x v="0"/>
    <n v="2.94"/>
    <x v="0"/>
    <n v="0.31"/>
  </r>
  <r>
    <n v="291"/>
    <x v="36"/>
    <x v="19"/>
    <x v="33"/>
    <x v="45"/>
    <x v="41"/>
    <n v="3.15"/>
    <x v="0"/>
    <n v="17.600000000000001"/>
    <x v="2"/>
    <n v="3.48"/>
    <x v="0"/>
    <n v="0.42"/>
  </r>
  <r>
    <n v="292"/>
    <x v="18"/>
    <x v="21"/>
    <x v="26"/>
    <x v="16"/>
    <x v="11"/>
    <n v="3.27"/>
    <x v="0"/>
    <n v="15.399999999999999"/>
    <x v="2"/>
    <n v="2.2799999999999998"/>
    <x v="0"/>
    <n v="0.43"/>
  </r>
  <r>
    <n v="293"/>
    <x v="19"/>
    <x v="30"/>
    <x v="46"/>
    <x v="50"/>
    <x v="55"/>
    <n v="3.09"/>
    <x v="2"/>
    <n v="18.100000000000001"/>
    <x v="2"/>
    <n v="2.97"/>
    <x v="0"/>
    <n v="0.39"/>
  </r>
  <r>
    <n v="294"/>
    <x v="40"/>
    <x v="31"/>
    <x v="48"/>
    <x v="18"/>
    <x v="82"/>
    <n v="3.01"/>
    <x v="2"/>
    <n v="16.2"/>
    <x v="2"/>
    <n v="3.77"/>
    <x v="0"/>
    <n v="0.52"/>
  </r>
  <r>
    <n v="295"/>
    <x v="42"/>
    <x v="35"/>
    <x v="28"/>
    <x v="45"/>
    <x v="33"/>
    <n v="3.5"/>
    <x v="2"/>
    <n v="15.000000000000002"/>
    <x v="1"/>
    <n v="4.04"/>
    <x v="0"/>
    <n v="0.65"/>
  </r>
  <r>
    <n v="296"/>
    <x v="42"/>
    <x v="21"/>
    <x v="9"/>
    <x v="52"/>
    <x v="56"/>
    <n v="3.38"/>
    <x v="2"/>
    <n v="14.900000000000002"/>
    <x v="2"/>
    <n v="4.17"/>
    <x v="0"/>
    <n v="0.66"/>
  </r>
  <r>
    <n v="297"/>
    <x v="22"/>
    <x v="40"/>
    <x v="34"/>
    <x v="10"/>
    <x v="3"/>
    <n v="2.67"/>
    <x v="0"/>
    <n v="15.899999999999999"/>
    <x v="0"/>
    <n v="2.78"/>
    <x v="0"/>
    <n v="0.38"/>
  </r>
  <r>
    <n v="298"/>
    <x v="13"/>
    <x v="8"/>
    <x v="9"/>
    <x v="11"/>
    <x v="12"/>
    <n v="3.2"/>
    <x v="2"/>
    <n v="14.899999999999999"/>
    <x v="2"/>
    <n v="3.52"/>
    <x v="0"/>
    <n v="0.6"/>
  </r>
  <r>
    <n v="299"/>
    <x v="29"/>
    <x v="31"/>
    <x v="34"/>
    <x v="56"/>
    <x v="57"/>
    <n v="3.01"/>
    <x v="2"/>
    <n v="15.900000000000002"/>
    <x v="2"/>
    <n v="3.34"/>
    <x v="0"/>
    <n v="0.52"/>
  </r>
  <r>
    <n v="300"/>
    <x v="39"/>
    <x v="1"/>
    <x v="18"/>
    <x v="19"/>
    <x v="7"/>
    <n v="3.37"/>
    <x v="2"/>
    <n v="17.899999999999999"/>
    <x v="2"/>
    <n v="3.42"/>
    <x v="0"/>
    <n v="0.49"/>
  </r>
  <r>
    <n v="301"/>
    <x v="2"/>
    <x v="12"/>
    <x v="1"/>
    <x v="35"/>
    <x v="64"/>
    <n v="2.65"/>
    <x v="1"/>
    <n v="16"/>
    <x v="0"/>
    <n v="1.25"/>
    <x v="1"/>
    <n v="0.32"/>
  </r>
  <r>
    <n v="302"/>
    <x v="6"/>
    <x v="14"/>
    <x v="43"/>
    <x v="17"/>
    <x v="61"/>
    <n v="2.93"/>
    <x v="0"/>
    <n v="14.1"/>
    <x v="0"/>
    <n v="3.21"/>
    <x v="0"/>
    <n v="0.56999999999999995"/>
  </r>
  <r>
    <n v="303"/>
    <x v="40"/>
    <x v="37"/>
    <x v="20"/>
    <x v="33"/>
    <x v="52"/>
    <n v="3.39"/>
    <x v="2"/>
    <n v="16.899999999999999"/>
    <x v="2"/>
    <n v="3.06"/>
    <x v="0"/>
    <n v="0.5"/>
  </r>
  <r>
    <n v="304"/>
    <x v="11"/>
    <x v="11"/>
    <x v="38"/>
    <x v="32"/>
    <x v="3"/>
    <n v="3.29"/>
    <x v="2"/>
    <n v="18.600000000000001"/>
    <x v="2"/>
    <n v="2.94"/>
    <x v="0"/>
    <n v="0.34"/>
  </r>
  <r>
    <n v="305"/>
    <x v="5"/>
    <x v="17"/>
    <x v="18"/>
    <x v="11"/>
    <x v="58"/>
    <n v="2.91"/>
    <x v="0"/>
    <n v="17.899999999999999"/>
    <x v="0"/>
    <n v="3.38"/>
    <x v="0"/>
    <n v="0.34"/>
  </r>
  <r>
    <n v="306"/>
    <x v="1"/>
    <x v="16"/>
    <x v="47"/>
    <x v="51"/>
    <x v="72"/>
    <n v="2.64"/>
    <x v="1"/>
    <n v="17.799999999999997"/>
    <x v="0"/>
    <n v="1.48"/>
    <x v="1"/>
    <n v="0.3"/>
  </r>
  <r>
    <n v="307"/>
    <x v="33"/>
    <x v="12"/>
    <x v="25"/>
    <x v="25"/>
    <x v="47"/>
    <n v="3.66"/>
    <x v="2"/>
    <n v="16.3"/>
    <x v="1"/>
    <n v="3.61"/>
    <x v="0"/>
    <n v="0.57999999999999996"/>
  </r>
  <r>
    <n v="308"/>
    <x v="43"/>
    <x v="12"/>
    <x v="48"/>
    <x v="20"/>
    <x v="88"/>
    <n v="3.26"/>
    <x v="2"/>
    <n v="16.2"/>
    <x v="2"/>
    <n v="4.04"/>
    <x v="0"/>
    <n v="0.62"/>
  </r>
  <r>
    <n v="309"/>
    <x v="34"/>
    <x v="39"/>
    <x v="48"/>
    <x v="6"/>
    <x v="1"/>
    <n v="3.2"/>
    <x v="0"/>
    <n v="16.2"/>
    <x v="2"/>
    <n v="3.12"/>
    <x v="0"/>
    <n v="0.45"/>
  </r>
  <r>
    <n v="310"/>
    <x v="5"/>
    <x v="3"/>
    <x v="42"/>
    <x v="56"/>
    <x v="69"/>
    <n v="2.72"/>
    <x v="2"/>
    <n v="18.5"/>
    <x v="0"/>
    <n v="2.67"/>
    <x v="0"/>
    <n v="0.32"/>
  </r>
  <r>
    <n v="311"/>
    <x v="16"/>
    <x v="29"/>
    <x v="27"/>
    <x v="13"/>
    <x v="25"/>
    <n v="3.1"/>
    <x v="2"/>
    <n v="15.700000000000001"/>
    <x v="2"/>
    <n v="3.58"/>
    <x v="0"/>
    <n v="0.56000000000000005"/>
  </r>
  <r>
    <n v="312"/>
    <x v="43"/>
    <x v="26"/>
    <x v="25"/>
    <x v="4"/>
    <x v="18"/>
    <n v="3.44"/>
    <x v="2"/>
    <n v="16.299999999999997"/>
    <x v="2"/>
    <n v="4.17"/>
    <x v="0"/>
    <n v="0.61"/>
  </r>
  <r>
    <n v="313"/>
    <x v="17"/>
    <x v="25"/>
    <x v="38"/>
    <x v="9"/>
    <x v="49"/>
    <n v="3.17"/>
    <x v="2"/>
    <n v="18.600000000000001"/>
    <x v="2"/>
    <n v="2.14"/>
    <x v="0"/>
    <n v="0.41"/>
  </r>
  <r>
    <n v="314"/>
    <x v="13"/>
    <x v="27"/>
    <x v="35"/>
    <x v="45"/>
    <x v="71"/>
    <n v="3.3"/>
    <x v="2"/>
    <n v="18.8"/>
    <x v="2"/>
    <n v="3.16"/>
    <x v="0"/>
    <n v="0.47"/>
  </r>
  <r>
    <n v="315"/>
    <x v="45"/>
    <x v="29"/>
    <x v="38"/>
    <x v="54"/>
    <x v="71"/>
    <n v="2.58"/>
    <x v="2"/>
    <n v="18.599999999999998"/>
    <x v="0"/>
    <n v="2.21"/>
    <x v="0"/>
    <n v="0.34"/>
  </r>
  <r>
    <n v="316"/>
    <x v="49"/>
    <x v="6"/>
    <x v="1"/>
    <x v="37"/>
    <x v="80"/>
    <n v="3.15"/>
    <x v="0"/>
    <n v="16"/>
    <x v="2"/>
    <n v="2.21"/>
    <x v="0"/>
    <n v="0.44"/>
  </r>
  <r>
    <n v="317"/>
    <x v="20"/>
    <x v="14"/>
    <x v="40"/>
    <x v="15"/>
    <x v="18"/>
    <n v="3.46"/>
    <x v="2"/>
    <n v="14"/>
    <x v="2"/>
    <n v="4.1399999999999997"/>
    <x v="0"/>
    <n v="0.69"/>
  </r>
  <r>
    <n v="318"/>
    <x v="0"/>
    <x v="1"/>
    <x v="41"/>
    <x v="38"/>
    <x v="39"/>
    <n v="3.02"/>
    <x v="0"/>
    <n v="14.700000000000001"/>
    <x v="2"/>
    <n v="2.5"/>
    <x v="0"/>
    <n v="0.47"/>
  </r>
  <r>
    <n v="319"/>
    <x v="21"/>
    <x v="28"/>
    <x v="38"/>
    <x v="52"/>
    <x v="90"/>
    <n v="3.46"/>
    <x v="2"/>
    <n v="18.600000000000001"/>
    <x v="2"/>
    <n v="3.55"/>
    <x v="0"/>
    <n v="0.48"/>
  </r>
  <r>
    <n v="320"/>
    <x v="14"/>
    <x v="2"/>
    <x v="19"/>
    <x v="33"/>
    <x v="38"/>
    <n v="2.83"/>
    <x v="0"/>
    <n v="15.799999999999999"/>
    <x v="0"/>
    <n v="2.38"/>
    <x v="0"/>
    <n v="0.42"/>
  </r>
  <r>
    <n v="321"/>
    <x v="47"/>
    <x v="23"/>
    <x v="30"/>
    <x v="20"/>
    <x v="65"/>
    <n v="3.13"/>
    <x v="1"/>
    <n v="14.399999999999999"/>
    <x v="2"/>
    <n v="1.44"/>
    <x v="1"/>
    <n v="0.4"/>
  </r>
  <r>
    <n v="322"/>
    <x v="37"/>
    <x v="14"/>
    <x v="37"/>
    <x v="24"/>
    <x v="84"/>
    <n v="3"/>
    <x v="1"/>
    <n v="17"/>
    <x v="2"/>
    <n v="3.4"/>
    <x v="0"/>
    <n v="0.35"/>
  </r>
  <r>
    <n v="323"/>
    <x v="23"/>
    <x v="11"/>
    <x v="16"/>
    <x v="44"/>
    <x v="95"/>
    <n v="3.03"/>
    <x v="2"/>
    <n v="18.899999999999999"/>
    <x v="2"/>
    <n v="5.12"/>
    <x v="0"/>
    <n v="0.36"/>
  </r>
  <r>
    <n v="324"/>
    <x v="42"/>
    <x v="13"/>
    <x v="13"/>
    <x v="7"/>
    <x v="47"/>
    <n v="3.58"/>
    <x v="2"/>
    <n v="17.399999999999999"/>
    <x v="1"/>
    <n v="3.68"/>
    <x v="0"/>
    <n v="0.56000000000000005"/>
  </r>
  <r>
    <n v="325"/>
    <x v="46"/>
    <x v="31"/>
    <x v="19"/>
    <x v="22"/>
    <x v="81"/>
    <n v="3.39"/>
    <x v="0"/>
    <n v="15.8"/>
    <x v="2"/>
    <n v="3.6"/>
    <x v="0"/>
    <n v="0.46"/>
  </r>
  <r>
    <n v="326"/>
    <x v="35"/>
    <x v="39"/>
    <x v="15"/>
    <x v="0"/>
    <x v="28"/>
    <n v="3.11"/>
    <x v="1"/>
    <n v="15.100000000000001"/>
    <x v="2"/>
    <n v="2.84"/>
    <x v="0"/>
    <n v="0.38"/>
  </r>
  <r>
    <n v="327"/>
    <x v="1"/>
    <x v="36"/>
    <x v="5"/>
    <x v="1"/>
    <x v="7"/>
    <n v="2.67"/>
    <x v="2"/>
    <n v="18.7"/>
    <x v="0"/>
    <n v="0.67"/>
    <x v="1"/>
    <n v="0.28000000000000003"/>
  </r>
  <r>
    <n v="328"/>
    <x v="40"/>
    <x v="39"/>
    <x v="36"/>
    <x v="49"/>
    <x v="0"/>
    <n v="3.21"/>
    <x v="2"/>
    <n v="16.5"/>
    <x v="2"/>
    <n v="3.81"/>
    <x v="0"/>
    <n v="0.52"/>
  </r>
  <r>
    <n v="329"/>
    <x v="28"/>
    <x v="25"/>
    <x v="4"/>
    <x v="40"/>
    <x v="19"/>
    <n v="2.85"/>
    <x v="2"/>
    <n v="17.5"/>
    <x v="0"/>
    <n v="3.22"/>
    <x v="0"/>
    <n v="0.52"/>
  </r>
  <r>
    <n v="330"/>
    <x v="47"/>
    <x v="1"/>
    <x v="3"/>
    <x v="2"/>
    <x v="55"/>
    <n v="3.04"/>
    <x v="1"/>
    <n v="16.799999999999997"/>
    <x v="2"/>
    <n v="2.35"/>
    <x v="0"/>
    <n v="0.34"/>
  </r>
  <r>
    <n v="331"/>
    <x v="23"/>
    <x v="13"/>
    <x v="9"/>
    <x v="13"/>
    <x v="30"/>
    <n v="2.9"/>
    <x v="0"/>
    <n v="14.9"/>
    <x v="0"/>
    <n v="2.38"/>
    <x v="0"/>
    <n v="0.46"/>
  </r>
  <r>
    <n v="332"/>
    <x v="2"/>
    <x v="19"/>
    <x v="45"/>
    <x v="44"/>
    <x v="73"/>
    <n v="2.25"/>
    <x v="1"/>
    <n v="15.2"/>
    <x v="3"/>
    <n v="3.6"/>
    <x v="0"/>
    <n v="0.34"/>
  </r>
  <r>
    <n v="333"/>
    <x v="9"/>
    <x v="22"/>
    <x v="16"/>
    <x v="25"/>
    <x v="97"/>
    <n v="3.15"/>
    <x v="2"/>
    <n v="18.899999999999999"/>
    <x v="2"/>
    <n v="4.16"/>
    <x v="0"/>
    <n v="0.41"/>
  </r>
  <r>
    <n v="334"/>
    <x v="26"/>
    <x v="9"/>
    <x v="44"/>
    <x v="41"/>
    <x v="29"/>
    <n v="2.94"/>
    <x v="1"/>
    <n v="16.7"/>
    <x v="0"/>
    <n v="1.48"/>
    <x v="1"/>
    <n v="0.33"/>
  </r>
  <r>
    <n v="335"/>
    <x v="26"/>
    <x v="14"/>
    <x v="24"/>
    <x v="31"/>
    <x v="66"/>
    <n v="2.79"/>
    <x v="2"/>
    <n v="18.200000000000003"/>
    <x v="0"/>
    <n v="3.29"/>
    <x v="0"/>
    <n v="0.3"/>
  </r>
  <r>
    <n v="336"/>
    <x v="0"/>
    <x v="37"/>
    <x v="44"/>
    <x v="59"/>
    <x v="61"/>
    <n v="3.38"/>
    <x v="0"/>
    <n v="16.7"/>
    <x v="2"/>
    <n v="2.2200000000000002"/>
    <x v="0"/>
    <n v="0.41"/>
  </r>
  <r>
    <n v="337"/>
    <x v="30"/>
    <x v="0"/>
    <x v="15"/>
    <x v="17"/>
    <x v="51"/>
    <n v="3.3"/>
    <x v="2"/>
    <n v="15.1"/>
    <x v="2"/>
    <n v="4.0599999999999996"/>
    <x v="0"/>
    <n v="0.63"/>
  </r>
  <r>
    <n v="338"/>
    <x v="45"/>
    <x v="23"/>
    <x v="35"/>
    <x v="32"/>
    <x v="98"/>
    <n v="3.31"/>
    <x v="2"/>
    <n v="18.8"/>
    <x v="2"/>
    <n v="1.38"/>
    <x v="1"/>
    <n v="0.34"/>
  </r>
  <r>
    <n v="339"/>
    <x v="34"/>
    <x v="25"/>
    <x v="27"/>
    <x v="46"/>
    <x v="35"/>
    <n v="3.36"/>
    <x v="0"/>
    <n v="15.700000000000001"/>
    <x v="2"/>
    <n v="2.96"/>
    <x v="0"/>
    <n v="0.46"/>
  </r>
  <r>
    <n v="340"/>
    <x v="1"/>
    <x v="3"/>
    <x v="24"/>
    <x v="13"/>
    <x v="55"/>
    <n v="3.11"/>
    <x v="2"/>
    <n v="18.200000000000003"/>
    <x v="2"/>
    <n v="1.83"/>
    <x v="0"/>
    <n v="0.28999999999999998"/>
  </r>
  <r>
    <n v="341"/>
    <x v="17"/>
    <x v="33"/>
    <x v="35"/>
    <x v="19"/>
    <x v="48"/>
    <n v="3.07"/>
    <x v="2"/>
    <n v="18.8"/>
    <x v="2"/>
    <n v="3.69"/>
    <x v="0"/>
    <n v="0.4"/>
  </r>
  <r>
    <n v="342"/>
    <x v="38"/>
    <x v="38"/>
    <x v="8"/>
    <x v="13"/>
    <x v="17"/>
    <n v="2.85"/>
    <x v="1"/>
    <n v="14.200000000000001"/>
    <x v="0"/>
    <n v="2.41"/>
    <x v="0"/>
    <n v="0.38"/>
  </r>
  <r>
    <n v="343"/>
    <x v="23"/>
    <x v="28"/>
    <x v="23"/>
    <x v="47"/>
    <x v="50"/>
    <n v="2.81"/>
    <x v="0"/>
    <n v="17.3"/>
    <x v="0"/>
    <n v="2.3199999999999998"/>
    <x v="0"/>
    <n v="0.39"/>
  </r>
  <r>
    <n v="344"/>
    <x v="37"/>
    <x v="31"/>
    <x v="27"/>
    <x v="47"/>
    <x v="11"/>
    <n v="2.99"/>
    <x v="1"/>
    <n v="15.7"/>
    <x v="0"/>
    <n v="2.42"/>
    <x v="0"/>
    <n v="0.38"/>
  </r>
  <r>
    <n v="345"/>
    <x v="45"/>
    <x v="18"/>
    <x v="38"/>
    <x v="34"/>
    <x v="55"/>
    <n v="3.14"/>
    <x v="2"/>
    <n v="18.600000000000001"/>
    <x v="2"/>
    <n v="3.04"/>
    <x v="0"/>
    <n v="0.34"/>
  </r>
  <r>
    <n v="346"/>
    <x v="4"/>
    <x v="24"/>
    <x v="29"/>
    <x v="14"/>
    <x v="69"/>
    <n v="3.06"/>
    <x v="2"/>
    <n v="18"/>
    <x v="2"/>
    <n v="3.94"/>
    <x v="0"/>
    <n v="0.45"/>
  </r>
  <r>
    <n v="347"/>
    <x v="4"/>
    <x v="34"/>
    <x v="19"/>
    <x v="52"/>
    <x v="19"/>
    <n v="3.09"/>
    <x v="2"/>
    <n v="15.8"/>
    <x v="2"/>
    <n v="2.79"/>
    <x v="0"/>
    <n v="0.51"/>
  </r>
  <r>
    <n v="348"/>
    <x v="24"/>
    <x v="21"/>
    <x v="31"/>
    <x v="0"/>
    <x v="88"/>
    <n v="3.67"/>
    <x v="2"/>
    <n v="16.100000000000001"/>
    <x v="1"/>
    <n v="3.99"/>
    <x v="0"/>
    <n v="0.61"/>
  </r>
  <r>
    <n v="349"/>
    <x v="28"/>
    <x v="12"/>
    <x v="6"/>
    <x v="15"/>
    <x v="50"/>
    <n v="3.16"/>
    <x v="2"/>
    <n v="18.399999999999999"/>
    <x v="2"/>
    <n v="3.22"/>
    <x v="0"/>
    <n v="0.49"/>
  </r>
  <r>
    <n v="350"/>
    <x v="46"/>
    <x v="25"/>
    <x v="39"/>
    <x v="27"/>
    <x v="61"/>
    <n v="2.69"/>
    <x v="0"/>
    <n v="14.299999999999999"/>
    <x v="0"/>
    <n v="2.61"/>
    <x v="0"/>
    <n v="0.5"/>
  </r>
  <r>
    <n v="351"/>
    <x v="41"/>
    <x v="40"/>
    <x v="14"/>
    <x v="42"/>
    <x v="6"/>
    <n v="3.01"/>
    <x v="1"/>
    <n v="14.599999999999998"/>
    <x v="2"/>
    <n v="2.0299999999999998"/>
    <x v="0"/>
    <n v="0.38"/>
  </r>
  <r>
    <n v="352"/>
    <x v="32"/>
    <x v="23"/>
    <x v="30"/>
    <x v="53"/>
    <x v="9"/>
    <n v="3.28"/>
    <x v="2"/>
    <n v="14.400000000000002"/>
    <x v="2"/>
    <n v="4"/>
    <x v="0"/>
    <n v="0.65"/>
  </r>
  <r>
    <n v="353"/>
    <x v="16"/>
    <x v="6"/>
    <x v="2"/>
    <x v="37"/>
    <x v="25"/>
    <n v="3.45"/>
    <x v="2"/>
    <n v="14.8"/>
    <x v="2"/>
    <n v="3.5"/>
    <x v="0"/>
    <n v="0.59"/>
  </r>
  <r>
    <n v="354"/>
    <x v="37"/>
    <x v="9"/>
    <x v="43"/>
    <x v="54"/>
    <x v="18"/>
    <n v="3.12"/>
    <x v="1"/>
    <n v="14.100000000000001"/>
    <x v="2"/>
    <n v="2.68"/>
    <x v="0"/>
    <n v="0.42"/>
  </r>
  <r>
    <n v="355"/>
    <x v="8"/>
    <x v="5"/>
    <x v="10"/>
    <x v="13"/>
    <x v="48"/>
    <n v="2.67"/>
    <x v="2"/>
    <n v="18.3"/>
    <x v="0"/>
    <n v="3.01"/>
    <x v="0"/>
    <n v="0.28000000000000003"/>
  </r>
  <r>
    <n v="356"/>
    <x v="50"/>
    <x v="23"/>
    <x v="0"/>
    <x v="52"/>
    <x v="30"/>
    <n v="3.24"/>
    <x v="0"/>
    <n v="15.3"/>
    <x v="2"/>
    <n v="2.52"/>
    <x v="0"/>
    <n v="0.49"/>
  </r>
  <r>
    <n v="357"/>
    <x v="6"/>
    <x v="14"/>
    <x v="4"/>
    <x v="30"/>
    <x v="80"/>
    <n v="3.35"/>
    <x v="0"/>
    <n v="17.5"/>
    <x v="2"/>
    <n v="2.57"/>
    <x v="0"/>
    <n v="0.46"/>
  </r>
  <r>
    <n v="358"/>
    <x v="27"/>
    <x v="15"/>
    <x v="24"/>
    <x v="0"/>
    <x v="76"/>
    <n v="3.31"/>
    <x v="2"/>
    <n v="18.2"/>
    <x v="2"/>
    <n v="2.5099999999999998"/>
    <x v="0"/>
    <n v="0.45"/>
  </r>
  <r>
    <n v="359"/>
    <x v="12"/>
    <x v="19"/>
    <x v="26"/>
    <x v="49"/>
    <x v="63"/>
    <n v="2.71"/>
    <x v="1"/>
    <n v="15.4"/>
    <x v="0"/>
    <n v="2.1800000000000002"/>
    <x v="0"/>
    <n v="0.32"/>
  </r>
  <r>
    <n v="360"/>
    <x v="21"/>
    <x v="40"/>
    <x v="48"/>
    <x v="13"/>
    <x v="30"/>
    <n v="3.18"/>
    <x v="2"/>
    <n v="16.200000000000003"/>
    <x v="2"/>
    <n v="3.62"/>
    <x v="0"/>
    <n v="0.56000000000000005"/>
  </r>
  <r>
    <n v="361"/>
    <x v="4"/>
    <x v="40"/>
    <x v="12"/>
    <x v="59"/>
    <x v="67"/>
    <n v="3.19"/>
    <x v="2"/>
    <n v="17.200000000000003"/>
    <x v="2"/>
    <n v="3.02"/>
    <x v="0"/>
    <n v="0.47"/>
  </r>
  <r>
    <n v="362"/>
    <x v="16"/>
    <x v="18"/>
    <x v="0"/>
    <x v="2"/>
    <x v="7"/>
    <n v="3.32"/>
    <x v="2"/>
    <n v="15.3"/>
    <x v="2"/>
    <n v="3.98"/>
    <x v="0"/>
    <n v="0.57999999999999996"/>
  </r>
  <r>
    <n v="363"/>
    <x v="42"/>
    <x v="24"/>
    <x v="13"/>
    <x v="24"/>
    <x v="7"/>
    <n v="3.61"/>
    <x v="2"/>
    <n v="17.400000000000002"/>
    <x v="1"/>
    <n v="4.0999999999999996"/>
    <x v="0"/>
    <n v="0.56000000000000005"/>
  </r>
  <r>
    <n v="364"/>
    <x v="43"/>
    <x v="24"/>
    <x v="3"/>
    <x v="23"/>
    <x v="33"/>
    <n v="3.43"/>
    <x v="2"/>
    <n v="16.8"/>
    <x v="2"/>
    <n v="4.0199999999999996"/>
    <x v="0"/>
    <n v="0.6"/>
  </r>
  <r>
    <n v="365"/>
    <x v="33"/>
    <x v="21"/>
    <x v="37"/>
    <x v="11"/>
    <x v="60"/>
    <n v="3.1"/>
    <x v="2"/>
    <n v="17"/>
    <x v="2"/>
    <n v="3.46"/>
    <x v="0"/>
    <n v="0.55000000000000004"/>
  </r>
  <r>
    <n v="366"/>
    <x v="21"/>
    <x v="31"/>
    <x v="31"/>
    <x v="58"/>
    <x v="34"/>
    <n v="3.6"/>
    <x v="2"/>
    <n v="16.100000000000001"/>
    <x v="1"/>
    <n v="3.62"/>
    <x v="0"/>
    <n v="0.56000000000000005"/>
  </r>
  <r>
    <n v="367"/>
    <x v="27"/>
    <x v="11"/>
    <x v="31"/>
    <x v="30"/>
    <x v="76"/>
    <n v="3.64"/>
    <x v="2"/>
    <n v="16.100000000000001"/>
    <x v="1"/>
    <n v="3.25"/>
    <x v="0"/>
    <n v="0.51"/>
  </r>
  <r>
    <n v="368"/>
    <x v="7"/>
    <x v="16"/>
    <x v="7"/>
    <x v="55"/>
    <x v="25"/>
    <n v="3.5"/>
    <x v="2"/>
    <n v="17.700000000000003"/>
    <x v="1"/>
    <n v="3.09"/>
    <x v="0"/>
    <n v="0.47"/>
  </r>
  <r>
    <n v="369"/>
    <x v="50"/>
    <x v="11"/>
    <x v="5"/>
    <x v="15"/>
    <x v="97"/>
    <n v="3.26"/>
    <x v="2"/>
    <n v="18.700000000000003"/>
    <x v="2"/>
    <n v="4.17"/>
    <x v="0"/>
    <n v="0.4"/>
  </r>
  <r>
    <n v="370"/>
    <x v="13"/>
    <x v="3"/>
    <x v="3"/>
    <x v="24"/>
    <x v="8"/>
    <n v="3.53"/>
    <x v="2"/>
    <n v="16.8"/>
    <x v="1"/>
    <n v="3.55"/>
    <x v="0"/>
    <n v="0.53"/>
  </r>
  <r>
    <n v="371"/>
    <x v="18"/>
    <x v="13"/>
    <x v="38"/>
    <x v="22"/>
    <x v="16"/>
    <n v="3.29"/>
    <x v="2"/>
    <n v="18.600000000000001"/>
    <x v="2"/>
    <n v="3.77"/>
    <x v="0"/>
    <n v="0.35"/>
  </r>
  <r>
    <n v="372"/>
    <x v="43"/>
    <x v="26"/>
    <x v="19"/>
    <x v="24"/>
    <x v="51"/>
    <n v="3.63"/>
    <x v="2"/>
    <n v="15.799999999999999"/>
    <x v="1"/>
    <n v="4.22"/>
    <x v="0"/>
    <n v="0.63"/>
  </r>
  <r>
    <n v="373"/>
    <x v="27"/>
    <x v="34"/>
    <x v="6"/>
    <x v="10"/>
    <x v="2"/>
    <n v="3.16"/>
    <x v="2"/>
    <n v="18.399999999999999"/>
    <x v="2"/>
    <n v="2.56"/>
    <x v="0"/>
    <n v="0.45"/>
  </r>
  <r>
    <n v="374"/>
    <x v="31"/>
    <x v="21"/>
    <x v="46"/>
    <x v="4"/>
    <x v="40"/>
    <n v="3.4"/>
    <x v="2"/>
    <n v="18.100000000000001"/>
    <x v="2"/>
    <n v="2.74"/>
    <x v="0"/>
    <n v="0.44"/>
  </r>
  <r>
    <n v="375"/>
    <x v="14"/>
    <x v="18"/>
    <x v="16"/>
    <x v="55"/>
    <x v="77"/>
    <n v="3.03"/>
    <x v="2"/>
    <n v="18.899999999999999"/>
    <x v="2"/>
    <n v="3.21"/>
    <x v="0"/>
    <n v="0.35"/>
  </r>
  <r>
    <n v="376"/>
    <x v="3"/>
    <x v="0"/>
    <x v="7"/>
    <x v="20"/>
    <x v="11"/>
    <n v="2.62"/>
    <x v="0"/>
    <n v="17.7"/>
    <x v="0"/>
    <n v="1.65"/>
    <x v="0"/>
    <n v="0.37"/>
  </r>
  <r>
    <n v="377"/>
    <x v="33"/>
    <x v="23"/>
    <x v="46"/>
    <x v="33"/>
    <x v="88"/>
    <n v="3.18"/>
    <x v="2"/>
    <n v="18.100000000000001"/>
    <x v="2"/>
    <n v="3.54"/>
    <x v="0"/>
    <n v="0.52"/>
  </r>
  <r>
    <n v="378"/>
    <x v="47"/>
    <x v="11"/>
    <x v="26"/>
    <x v="7"/>
    <x v="55"/>
    <n v="2.2799999999999998"/>
    <x v="1"/>
    <n v="15.4"/>
    <x v="3"/>
    <n v="2.78"/>
    <x v="0"/>
    <n v="0.37"/>
  </r>
  <r>
    <n v="379"/>
    <x v="46"/>
    <x v="20"/>
    <x v="45"/>
    <x v="44"/>
    <x v="6"/>
    <n v="2.88"/>
    <x v="0"/>
    <n v="15.2"/>
    <x v="0"/>
    <n v="2.68"/>
    <x v="0"/>
    <n v="0.47"/>
  </r>
  <r>
    <n v="380"/>
    <x v="16"/>
    <x v="12"/>
    <x v="8"/>
    <x v="39"/>
    <x v="23"/>
    <n v="3.38"/>
    <x v="2"/>
    <n v="14.2"/>
    <x v="2"/>
    <n v="3.68"/>
    <x v="0"/>
    <n v="0.62"/>
  </r>
  <r>
    <n v="381"/>
    <x v="1"/>
    <x v="8"/>
    <x v="7"/>
    <x v="18"/>
    <x v="96"/>
    <n v="2.75"/>
    <x v="1"/>
    <n v="17.700000000000003"/>
    <x v="0"/>
    <n v="4.05"/>
    <x v="0"/>
    <n v="0.3"/>
  </r>
  <r>
    <n v="382"/>
    <x v="11"/>
    <x v="15"/>
    <x v="3"/>
    <x v="59"/>
    <x v="65"/>
    <n v="3.03"/>
    <x v="0"/>
    <n v="16.8"/>
    <x v="2"/>
    <n v="1.71"/>
    <x v="0"/>
    <n v="0.38"/>
  </r>
  <r>
    <n v="383"/>
    <x v="1"/>
    <x v="14"/>
    <x v="35"/>
    <x v="53"/>
    <x v="99"/>
    <n v="2.31"/>
    <x v="2"/>
    <n v="18.8"/>
    <x v="3"/>
    <n v="4.7300000000000004"/>
    <x v="0"/>
    <n v="0.28000000000000003"/>
  </r>
  <r>
    <n v="384"/>
    <x v="14"/>
    <x v="7"/>
    <x v="16"/>
    <x v="8"/>
    <x v="2"/>
    <n v="3.18"/>
    <x v="2"/>
    <n v="18.899999999999999"/>
    <x v="2"/>
    <n v="1.38"/>
    <x v="1"/>
    <n v="0.35"/>
  </r>
  <r>
    <n v="385"/>
    <x v="42"/>
    <x v="9"/>
    <x v="39"/>
    <x v="28"/>
    <x v="19"/>
    <n v="3.16"/>
    <x v="2"/>
    <n v="14.3"/>
    <x v="2"/>
    <n v="4.2699999999999996"/>
    <x v="0"/>
    <n v="0.69"/>
  </r>
  <r>
    <n v="386"/>
    <x v="39"/>
    <x v="2"/>
    <x v="7"/>
    <x v="35"/>
    <x v="0"/>
    <n v="3.2"/>
    <x v="2"/>
    <n v="17.7"/>
    <x v="2"/>
    <n v="2.98"/>
    <x v="0"/>
    <n v="0.49"/>
  </r>
  <r>
    <n v="387"/>
    <x v="5"/>
    <x v="32"/>
    <x v="44"/>
    <x v="34"/>
    <x v="23"/>
    <n v="2.58"/>
    <x v="0"/>
    <n v="16.700000000000003"/>
    <x v="0"/>
    <n v="2"/>
    <x v="0"/>
    <n v="0.36"/>
  </r>
  <r>
    <n v="388"/>
    <x v="41"/>
    <x v="4"/>
    <x v="18"/>
    <x v="18"/>
    <x v="100"/>
    <n v="3.07"/>
    <x v="1"/>
    <n v="17.899999999999999"/>
    <x v="2"/>
    <n v="4.3899999999999997"/>
    <x v="0"/>
    <n v="0.31"/>
  </r>
  <r>
    <n v="389"/>
    <x v="32"/>
    <x v="9"/>
    <x v="21"/>
    <x v="17"/>
    <x v="6"/>
    <n v="3.48"/>
    <x v="2"/>
    <n v="16.399999999999999"/>
    <x v="2"/>
    <n v="3.78"/>
    <x v="0"/>
    <n v="0.56999999999999995"/>
  </r>
  <r>
    <n v="390"/>
    <x v="1"/>
    <x v="27"/>
    <x v="25"/>
    <x v="19"/>
    <x v="69"/>
    <n v="2.93"/>
    <x v="1"/>
    <n v="16.3"/>
    <x v="0"/>
    <n v="3.11"/>
    <x v="0"/>
    <n v="0.33"/>
  </r>
  <r>
    <n v="391"/>
    <x v="34"/>
    <x v="35"/>
    <x v="24"/>
    <x v="6"/>
    <x v="37"/>
    <n v="3.18"/>
    <x v="2"/>
    <n v="18.2"/>
    <x v="2"/>
    <n v="2.41"/>
    <x v="0"/>
    <n v="0.4"/>
  </r>
  <r>
    <n v="392"/>
    <x v="34"/>
    <x v="37"/>
    <x v="27"/>
    <x v="35"/>
    <x v="61"/>
    <n v="3.28"/>
    <x v="0"/>
    <n v="15.7"/>
    <x v="2"/>
    <n v="2.41"/>
    <x v="0"/>
    <n v="0.46"/>
  </r>
  <r>
    <n v="393"/>
    <x v="1"/>
    <x v="3"/>
    <x v="28"/>
    <x v="0"/>
    <x v="11"/>
    <n v="2.67"/>
    <x v="1"/>
    <n v="15"/>
    <x v="0"/>
    <n v="1.54"/>
    <x v="0"/>
    <n v="0.35"/>
  </r>
  <r>
    <n v="394"/>
    <x v="35"/>
    <x v="17"/>
    <x v="45"/>
    <x v="37"/>
    <x v="64"/>
    <n v="2.71"/>
    <x v="1"/>
    <n v="15.2"/>
    <x v="0"/>
    <n v="2.0099999999999998"/>
    <x v="0"/>
    <n v="0.38"/>
  </r>
  <r>
    <n v="395"/>
    <x v="5"/>
    <x v="1"/>
    <x v="14"/>
    <x v="13"/>
    <x v="86"/>
    <n v="2.84"/>
    <x v="0"/>
    <n v="14.6"/>
    <x v="0"/>
    <n v="2.2200000000000002"/>
    <x v="0"/>
    <n v="0.41"/>
  </r>
  <r>
    <n v="396"/>
    <x v="24"/>
    <x v="34"/>
    <x v="16"/>
    <x v="53"/>
    <x v="54"/>
    <n v="3.17"/>
    <x v="2"/>
    <n v="18.899999999999999"/>
    <x v="2"/>
    <n v="4.03"/>
    <x v="0"/>
    <n v="0.52"/>
  </r>
  <r>
    <n v="397"/>
    <x v="34"/>
    <x v="7"/>
    <x v="25"/>
    <x v="56"/>
    <x v="65"/>
    <n v="3.15"/>
    <x v="0"/>
    <n v="16.3"/>
    <x v="2"/>
    <n v="2.19"/>
    <x v="0"/>
    <n v="0.45"/>
  </r>
  <r>
    <n v="398"/>
    <x v="28"/>
    <x v="24"/>
    <x v="15"/>
    <x v="33"/>
    <x v="10"/>
    <n v="3.21"/>
    <x v="2"/>
    <n v="15.099999999999998"/>
    <x v="2"/>
    <n v="3.94"/>
    <x v="0"/>
    <n v="0.6"/>
  </r>
  <r>
    <n v="399"/>
    <x v="5"/>
    <x v="3"/>
    <x v="33"/>
    <x v="12"/>
    <x v="50"/>
    <n v="3.27"/>
    <x v="0"/>
    <n v="17.599999999999998"/>
    <x v="2"/>
    <n v="1.64"/>
    <x v="0"/>
    <n v="0.34"/>
  </r>
  <r>
    <n v="400"/>
    <x v="21"/>
    <x v="37"/>
    <x v="30"/>
    <x v="15"/>
    <x v="0"/>
    <n v="3.57"/>
    <x v="2"/>
    <n v="14.4"/>
    <x v="1"/>
    <n v="3.6"/>
    <x v="0"/>
    <n v="0.62"/>
  </r>
  <r>
    <n v="401"/>
    <x v="35"/>
    <x v="27"/>
    <x v="28"/>
    <x v="31"/>
    <x v="57"/>
    <n v="2.8"/>
    <x v="1"/>
    <n v="15"/>
    <x v="0"/>
    <n v="1.74"/>
    <x v="0"/>
    <n v="0.39"/>
  </r>
  <r>
    <n v="402"/>
    <x v="37"/>
    <x v="7"/>
    <x v="27"/>
    <x v="24"/>
    <x v="71"/>
    <n v="2.8"/>
    <x v="1"/>
    <n v="15.7"/>
    <x v="0"/>
    <n v="2.2400000000000002"/>
    <x v="0"/>
    <n v="0.38"/>
  </r>
  <r>
    <n v="403"/>
    <x v="46"/>
    <x v="25"/>
    <x v="38"/>
    <x v="46"/>
    <x v="67"/>
    <n v="3.08"/>
    <x v="2"/>
    <n v="18.600000000000001"/>
    <x v="2"/>
    <n v="2.0499999999999998"/>
    <x v="0"/>
    <n v="0.39"/>
  </r>
  <r>
    <n v="404"/>
    <x v="42"/>
    <x v="13"/>
    <x v="43"/>
    <x v="3"/>
    <x v="38"/>
    <n v="3.75"/>
    <x v="2"/>
    <n v="14.1"/>
    <x v="1"/>
    <n v="4.2"/>
    <x v="0"/>
    <n v="0.7"/>
  </r>
  <r>
    <n v="405"/>
    <x v="27"/>
    <x v="5"/>
    <x v="14"/>
    <x v="52"/>
    <x v="37"/>
    <n v="3.47"/>
    <x v="2"/>
    <n v="14.599999999999998"/>
    <x v="2"/>
    <n v="3.22"/>
    <x v="0"/>
    <n v="0.56000000000000005"/>
  </r>
  <r>
    <n v="406"/>
    <x v="15"/>
    <x v="7"/>
    <x v="38"/>
    <x v="13"/>
    <x v="30"/>
    <n v="3.81"/>
    <x v="2"/>
    <n v="18.600000000000001"/>
    <x v="1"/>
    <n v="2.82"/>
    <x v="0"/>
    <n v="0.46"/>
  </r>
  <r>
    <n v="407"/>
    <x v="37"/>
    <x v="23"/>
    <x v="9"/>
    <x v="7"/>
    <x v="23"/>
    <n v="2.68"/>
    <x v="1"/>
    <n v="14.9"/>
    <x v="0"/>
    <n v="1.49"/>
    <x v="1"/>
    <n v="0.4"/>
  </r>
  <r>
    <n v="408"/>
    <x v="36"/>
    <x v="10"/>
    <x v="44"/>
    <x v="11"/>
    <x v="29"/>
    <n v="3.34"/>
    <x v="0"/>
    <n v="16.7"/>
    <x v="2"/>
    <n v="2.2799999999999998"/>
    <x v="0"/>
    <n v="0.44"/>
  </r>
  <r>
    <n v="409"/>
    <x v="50"/>
    <x v="10"/>
    <x v="23"/>
    <x v="43"/>
    <x v="54"/>
    <n v="3.29"/>
    <x v="0"/>
    <n v="17.3"/>
    <x v="2"/>
    <n v="2.8"/>
    <x v="0"/>
    <n v="0.43"/>
  </r>
  <r>
    <n v="410"/>
    <x v="26"/>
    <x v="19"/>
    <x v="10"/>
    <x v="11"/>
    <x v="94"/>
    <n v="2.93"/>
    <x v="2"/>
    <n v="18.299999999999997"/>
    <x v="0"/>
    <n v="3.92"/>
    <x v="0"/>
    <n v="0.3"/>
  </r>
  <r>
    <n v="411"/>
    <x v="34"/>
    <x v="15"/>
    <x v="27"/>
    <x v="30"/>
    <x v="30"/>
    <n v="3.29"/>
    <x v="0"/>
    <n v="15.700000000000001"/>
    <x v="2"/>
    <n v="2.33"/>
    <x v="0"/>
    <n v="0.46"/>
  </r>
  <r>
    <n v="412"/>
    <x v="36"/>
    <x v="2"/>
    <x v="19"/>
    <x v="17"/>
    <x v="29"/>
    <n v="3.02"/>
    <x v="0"/>
    <n v="15.8"/>
    <x v="2"/>
    <n v="2.78"/>
    <x v="0"/>
    <n v="0.47"/>
  </r>
  <r>
    <n v="413"/>
    <x v="7"/>
    <x v="17"/>
    <x v="22"/>
    <x v="53"/>
    <x v="54"/>
    <n v="3.32"/>
    <x v="2"/>
    <n v="15.600000000000001"/>
    <x v="2"/>
    <n v="3.73"/>
    <x v="0"/>
    <n v="0.54"/>
  </r>
  <r>
    <n v="414"/>
    <x v="22"/>
    <x v="10"/>
    <x v="33"/>
    <x v="42"/>
    <x v="6"/>
    <n v="2.86"/>
    <x v="0"/>
    <n v="17.599999999999998"/>
    <x v="0"/>
    <n v="1.21"/>
    <x v="1"/>
    <n v="0.35"/>
  </r>
  <r>
    <n v="415"/>
    <x v="40"/>
    <x v="3"/>
    <x v="4"/>
    <x v="22"/>
    <x v="40"/>
    <n v="3.38"/>
    <x v="2"/>
    <n v="17.5"/>
    <x v="2"/>
    <n v="3.32"/>
    <x v="0"/>
    <n v="0.49"/>
  </r>
  <r>
    <n v="416"/>
    <x v="33"/>
    <x v="34"/>
    <x v="15"/>
    <x v="3"/>
    <x v="38"/>
    <n v="3.45"/>
    <x v="2"/>
    <n v="15.1"/>
    <x v="2"/>
    <n v="3.86"/>
    <x v="0"/>
    <n v="0.62"/>
  </r>
  <r>
    <n v="417"/>
    <x v="45"/>
    <x v="7"/>
    <x v="22"/>
    <x v="51"/>
    <x v="52"/>
    <n v="2.92"/>
    <x v="0"/>
    <n v="15.600000000000001"/>
    <x v="0"/>
    <n v="1.66"/>
    <x v="0"/>
    <n v="0.4"/>
  </r>
  <r>
    <n v="418"/>
    <x v="34"/>
    <x v="1"/>
    <x v="25"/>
    <x v="11"/>
    <x v="63"/>
    <n v="2.9"/>
    <x v="0"/>
    <n v="16.3"/>
    <x v="0"/>
    <n v="2.2400000000000002"/>
    <x v="0"/>
    <n v="0.45"/>
  </r>
  <r>
    <n v="419"/>
    <x v="24"/>
    <x v="31"/>
    <x v="20"/>
    <x v="5"/>
    <x v="28"/>
    <n v="3.55"/>
    <x v="2"/>
    <n v="16.900000000000002"/>
    <x v="1"/>
    <n v="4.71"/>
    <x v="0"/>
    <n v="0.59"/>
  </r>
  <r>
    <n v="420"/>
    <x v="11"/>
    <x v="23"/>
    <x v="4"/>
    <x v="57"/>
    <x v="19"/>
    <n v="3"/>
    <x v="0"/>
    <n v="17.5"/>
    <x v="2"/>
    <n v="1.92"/>
    <x v="0"/>
    <n v="0.37"/>
  </r>
  <r>
    <n v="421"/>
    <x v="16"/>
    <x v="16"/>
    <x v="16"/>
    <x v="34"/>
    <x v="25"/>
    <n v="3.13"/>
    <x v="2"/>
    <n v="18.900000000000002"/>
    <x v="2"/>
    <n v="3.33"/>
    <x v="0"/>
    <n v="0.47"/>
  </r>
  <r>
    <n v="422"/>
    <x v="28"/>
    <x v="8"/>
    <x v="14"/>
    <x v="19"/>
    <x v="29"/>
    <n v="3.58"/>
    <x v="2"/>
    <n v="14.6"/>
    <x v="1"/>
    <n v="3.92"/>
    <x v="0"/>
    <n v="0.62"/>
  </r>
  <r>
    <n v="423"/>
    <x v="40"/>
    <x v="9"/>
    <x v="42"/>
    <x v="18"/>
    <x v="28"/>
    <n v="3.27"/>
    <x v="2"/>
    <n v="18.5"/>
    <x v="2"/>
    <n v="3.34"/>
    <x v="0"/>
    <n v="0.46"/>
  </r>
  <r>
    <n v="424"/>
    <x v="3"/>
    <x v="21"/>
    <x v="4"/>
    <x v="45"/>
    <x v="53"/>
    <n v="2.91"/>
    <x v="0"/>
    <n v="17.5"/>
    <x v="0"/>
    <n v="2.64"/>
    <x v="0"/>
    <n v="0.37"/>
  </r>
  <r>
    <n v="425"/>
    <x v="39"/>
    <x v="39"/>
    <x v="17"/>
    <x v="12"/>
    <x v="39"/>
    <n v="3.5"/>
    <x v="2"/>
    <n v="14.5"/>
    <x v="1"/>
    <n v="3.95"/>
    <x v="0"/>
    <n v="0.6"/>
  </r>
  <r>
    <n v="426"/>
    <x v="30"/>
    <x v="5"/>
    <x v="38"/>
    <x v="25"/>
    <x v="87"/>
    <n v="3.77"/>
    <x v="2"/>
    <n v="18.600000000000001"/>
    <x v="1"/>
    <n v="4.29"/>
    <x v="0"/>
    <n v="0.51"/>
  </r>
  <r>
    <n v="427"/>
    <x v="21"/>
    <x v="18"/>
    <x v="31"/>
    <x v="49"/>
    <x v="88"/>
    <n v="3.36"/>
    <x v="2"/>
    <n v="16.100000000000001"/>
    <x v="2"/>
    <n v="4.21"/>
    <x v="0"/>
    <n v="0.56000000000000005"/>
  </r>
  <r>
    <n v="428"/>
    <x v="1"/>
    <x v="10"/>
    <x v="1"/>
    <x v="14"/>
    <x v="24"/>
    <n v="3.03"/>
    <x v="1"/>
    <n v="16"/>
    <x v="2"/>
    <n v="2.61"/>
    <x v="0"/>
    <n v="0.33"/>
  </r>
  <r>
    <n v="429"/>
    <x v="26"/>
    <x v="7"/>
    <x v="27"/>
    <x v="55"/>
    <x v="22"/>
    <n v="2.86"/>
    <x v="1"/>
    <n v="15.7"/>
    <x v="0"/>
    <n v="1.75"/>
    <x v="0"/>
    <n v="0.35"/>
  </r>
  <r>
    <n v="430"/>
    <x v="17"/>
    <x v="13"/>
    <x v="13"/>
    <x v="20"/>
    <x v="54"/>
    <n v="3.34"/>
    <x v="0"/>
    <n v="17.399999999999999"/>
    <x v="2"/>
    <n v="2.71"/>
    <x v="0"/>
    <n v="0.44"/>
  </r>
  <r>
    <n v="431"/>
    <x v="13"/>
    <x v="21"/>
    <x v="17"/>
    <x v="25"/>
    <x v="0"/>
    <n v="3.66"/>
    <x v="2"/>
    <n v="14.500000000000002"/>
    <x v="1"/>
    <n v="3.54"/>
    <x v="0"/>
    <n v="0.61"/>
  </r>
  <r>
    <n v="432"/>
    <x v="6"/>
    <x v="27"/>
    <x v="47"/>
    <x v="37"/>
    <x v="29"/>
    <n v="3.46"/>
    <x v="0"/>
    <n v="17.8"/>
    <x v="2"/>
    <n v="2.41"/>
    <x v="0"/>
    <n v="0.45"/>
  </r>
  <r>
    <n v="433"/>
    <x v="26"/>
    <x v="24"/>
    <x v="49"/>
    <x v="42"/>
    <x v="42"/>
    <n v="2.85"/>
    <x v="1"/>
    <n v="16.600000000000001"/>
    <x v="0"/>
    <n v="1.94"/>
    <x v="0"/>
    <n v="0.33"/>
  </r>
  <r>
    <n v="434"/>
    <x v="39"/>
    <x v="14"/>
    <x v="19"/>
    <x v="53"/>
    <x v="50"/>
    <n v="3.42"/>
    <x v="2"/>
    <n v="15.8"/>
    <x v="2"/>
    <n v="3.63"/>
    <x v="0"/>
    <n v="0.55000000000000004"/>
  </r>
  <r>
    <n v="435"/>
    <x v="45"/>
    <x v="29"/>
    <x v="49"/>
    <x v="5"/>
    <x v="21"/>
    <n v="2.86"/>
    <x v="0"/>
    <n v="16.599999999999998"/>
    <x v="0"/>
    <n v="3.95"/>
    <x v="0"/>
    <n v="0.38"/>
  </r>
  <r>
    <n v="436"/>
    <x v="24"/>
    <x v="17"/>
    <x v="49"/>
    <x v="27"/>
    <x v="6"/>
    <n v="3.35"/>
    <x v="2"/>
    <n v="16.600000000000001"/>
    <x v="2"/>
    <n v="4.0999999999999996"/>
    <x v="0"/>
    <n v="0.6"/>
  </r>
  <r>
    <n v="437"/>
    <x v="4"/>
    <x v="8"/>
    <x v="29"/>
    <x v="37"/>
    <x v="42"/>
    <n v="3.15"/>
    <x v="2"/>
    <n v="18"/>
    <x v="2"/>
    <n v="3.05"/>
    <x v="0"/>
    <n v="0.45"/>
  </r>
  <r>
    <n v="438"/>
    <x v="21"/>
    <x v="32"/>
    <x v="21"/>
    <x v="18"/>
    <x v="67"/>
    <n v="3.2"/>
    <x v="2"/>
    <n v="16.400000000000002"/>
    <x v="2"/>
    <n v="3.38"/>
    <x v="0"/>
    <n v="0.55000000000000004"/>
  </r>
  <r>
    <n v="439"/>
    <x v="10"/>
    <x v="37"/>
    <x v="38"/>
    <x v="40"/>
    <x v="67"/>
    <n v="3.39"/>
    <x v="2"/>
    <n v="18.600000000000001"/>
    <x v="2"/>
    <n v="3.5"/>
    <x v="0"/>
    <n v="0.52"/>
  </r>
  <r>
    <n v="440"/>
    <x v="50"/>
    <x v="1"/>
    <x v="36"/>
    <x v="42"/>
    <x v="22"/>
    <n v="2.97"/>
    <x v="0"/>
    <n v="16.5"/>
    <x v="0"/>
    <n v="2.46"/>
    <x v="0"/>
    <n v="0.45"/>
  </r>
  <r>
    <n v="441"/>
    <x v="43"/>
    <x v="30"/>
    <x v="33"/>
    <x v="52"/>
    <x v="50"/>
    <n v="3.14"/>
    <x v="2"/>
    <n v="17.600000000000001"/>
    <x v="2"/>
    <n v="4.1100000000000003"/>
    <x v="0"/>
    <n v="0.56999999999999995"/>
  </r>
  <r>
    <n v="442"/>
    <x v="30"/>
    <x v="20"/>
    <x v="1"/>
    <x v="27"/>
    <x v="52"/>
    <n v="3.11"/>
    <x v="2"/>
    <n v="16"/>
    <x v="2"/>
    <n v="3.75"/>
    <x v="0"/>
    <n v="0.59"/>
  </r>
  <r>
    <n v="443"/>
    <x v="28"/>
    <x v="0"/>
    <x v="9"/>
    <x v="60"/>
    <x v="30"/>
    <n v="3.27"/>
    <x v="2"/>
    <n v="14.899999999999999"/>
    <x v="2"/>
    <n v="3.91"/>
    <x v="0"/>
    <n v="0.61"/>
  </r>
  <r>
    <n v="444"/>
    <x v="45"/>
    <x v="39"/>
    <x v="1"/>
    <x v="50"/>
    <x v="91"/>
    <n v="2.97"/>
    <x v="0"/>
    <n v="16"/>
    <x v="0"/>
    <n v="2.69"/>
    <x v="0"/>
    <n v="0.39"/>
  </r>
  <r>
    <n v="445"/>
    <x v="41"/>
    <x v="24"/>
    <x v="44"/>
    <x v="4"/>
    <x v="41"/>
    <n v="2.8"/>
    <x v="1"/>
    <n v="16.700000000000003"/>
    <x v="0"/>
    <n v="2.8"/>
    <x v="0"/>
    <n v="0.34"/>
  </r>
  <r>
    <n v="446"/>
    <x v="16"/>
    <x v="11"/>
    <x v="38"/>
    <x v="11"/>
    <x v="41"/>
    <n v="3.12"/>
    <x v="2"/>
    <n v="18.600000000000001"/>
    <x v="2"/>
    <n v="4.09"/>
    <x v="0"/>
    <n v="0.47"/>
  </r>
  <r>
    <n v="447"/>
    <x v="10"/>
    <x v="33"/>
    <x v="22"/>
    <x v="2"/>
    <x v="30"/>
    <n v="3.44"/>
    <x v="2"/>
    <n v="15.599999999999998"/>
    <x v="2"/>
    <n v="3.91"/>
    <x v="0"/>
    <n v="0.62"/>
  </r>
  <r>
    <n v="448"/>
    <x v="27"/>
    <x v="26"/>
    <x v="34"/>
    <x v="38"/>
    <x v="31"/>
    <n v="3.23"/>
    <x v="2"/>
    <n v="15.899999999999999"/>
    <x v="2"/>
    <n v="3.17"/>
    <x v="0"/>
    <n v="0.52"/>
  </r>
  <r>
    <n v="449"/>
    <x v="15"/>
    <x v="30"/>
    <x v="17"/>
    <x v="53"/>
    <x v="64"/>
    <n v="3.06"/>
    <x v="2"/>
    <n v="14.5"/>
    <x v="2"/>
    <n v="3.95"/>
    <x v="0"/>
    <n v="0.59"/>
  </r>
  <r>
    <n v="450"/>
    <x v="2"/>
    <x v="13"/>
    <x v="4"/>
    <x v="58"/>
    <x v="78"/>
    <n v="2.79"/>
    <x v="1"/>
    <n v="17.5"/>
    <x v="0"/>
    <n v="2.68"/>
    <x v="0"/>
    <n v="0.28999999999999998"/>
  </r>
  <r>
    <n v="451"/>
    <x v="31"/>
    <x v="39"/>
    <x v="6"/>
    <x v="30"/>
    <x v="81"/>
    <n v="3.44"/>
    <x v="2"/>
    <n v="18.399999999999999"/>
    <x v="2"/>
    <n v="3.51"/>
    <x v="0"/>
    <n v="0.43"/>
  </r>
  <r>
    <n v="452"/>
    <x v="29"/>
    <x v="23"/>
    <x v="11"/>
    <x v="16"/>
    <x v="19"/>
    <n v="3.07"/>
    <x v="2"/>
    <n v="15.5"/>
    <x v="2"/>
    <n v="3.04"/>
    <x v="0"/>
    <n v="0.54"/>
  </r>
  <r>
    <n v="453"/>
    <x v="7"/>
    <x v="8"/>
    <x v="4"/>
    <x v="59"/>
    <x v="37"/>
    <n v="3.54"/>
    <x v="2"/>
    <n v="17.5"/>
    <x v="1"/>
    <n v="3.07"/>
    <x v="0"/>
    <n v="0.48"/>
  </r>
  <r>
    <n v="454"/>
    <x v="28"/>
    <x v="23"/>
    <x v="30"/>
    <x v="44"/>
    <x v="25"/>
    <n v="3.31"/>
    <x v="2"/>
    <n v="14.4"/>
    <x v="2"/>
    <n v="3.85"/>
    <x v="0"/>
    <n v="0.63"/>
  </r>
  <r>
    <n v="455"/>
    <x v="18"/>
    <x v="32"/>
    <x v="32"/>
    <x v="26"/>
    <x v="2"/>
    <n v="3.2"/>
    <x v="0"/>
    <n v="17.099999999999998"/>
    <x v="2"/>
    <n v="1.81"/>
    <x v="0"/>
    <n v="0.39"/>
  </r>
  <r>
    <n v="456"/>
    <x v="0"/>
    <x v="5"/>
    <x v="3"/>
    <x v="24"/>
    <x v="73"/>
    <n v="3.26"/>
    <x v="0"/>
    <n v="16.8"/>
    <x v="2"/>
    <n v="3.97"/>
    <x v="0"/>
    <n v="0.41"/>
  </r>
  <r>
    <n v="457"/>
    <x v="30"/>
    <x v="29"/>
    <x v="24"/>
    <x v="39"/>
    <x v="77"/>
    <n v="3.69"/>
    <x v="2"/>
    <n v="18.2"/>
    <x v="1"/>
    <n v="4.47"/>
    <x v="0"/>
    <n v="0.52"/>
  </r>
  <r>
    <n v="458"/>
    <x v="14"/>
    <x v="11"/>
    <x v="37"/>
    <x v="31"/>
    <x v="101"/>
    <n v="3.28"/>
    <x v="0"/>
    <n v="17"/>
    <x v="2"/>
    <n v="3.74"/>
    <x v="0"/>
    <n v="0.39"/>
  </r>
  <r>
    <n v="459"/>
    <x v="7"/>
    <x v="21"/>
    <x v="12"/>
    <x v="22"/>
    <x v="43"/>
    <n v="3.25"/>
    <x v="2"/>
    <n v="17.200000000000003"/>
    <x v="2"/>
    <n v="3.17"/>
    <x v="0"/>
    <n v="0.49"/>
  </r>
  <r>
    <n v="460"/>
    <x v="7"/>
    <x v="4"/>
    <x v="49"/>
    <x v="39"/>
    <x v="41"/>
    <n v="3.32"/>
    <x v="2"/>
    <n v="16.600000000000001"/>
    <x v="2"/>
    <n v="4.3499999999999996"/>
    <x v="0"/>
    <n v="0.51"/>
  </r>
  <r>
    <n v="461"/>
    <x v="50"/>
    <x v="2"/>
    <x v="32"/>
    <x v="39"/>
    <x v="54"/>
    <n v="3.11"/>
    <x v="0"/>
    <n v="17.100000000000001"/>
    <x v="2"/>
    <n v="3.09"/>
    <x v="0"/>
    <n v="0.44"/>
  </r>
  <r>
    <n v="462"/>
    <x v="35"/>
    <x v="18"/>
    <x v="45"/>
    <x v="0"/>
    <x v="3"/>
    <n v="2.8"/>
    <x v="1"/>
    <n v="15.2"/>
    <x v="0"/>
    <n v="2.94"/>
    <x v="0"/>
    <n v="0.38"/>
  </r>
  <r>
    <n v="463"/>
    <x v="11"/>
    <x v="7"/>
    <x v="6"/>
    <x v="6"/>
    <x v="65"/>
    <n v="3.1"/>
    <x v="2"/>
    <n v="18.399999999999999"/>
    <x v="2"/>
    <n v="1.74"/>
    <x v="0"/>
    <n v="0.35"/>
  </r>
  <r>
    <n v="464"/>
    <x v="6"/>
    <x v="10"/>
    <x v="43"/>
    <x v="44"/>
    <x v="30"/>
    <n v="3.13"/>
    <x v="0"/>
    <n v="14.100000000000001"/>
    <x v="2"/>
    <n v="3.15"/>
    <x v="0"/>
    <n v="0.56999999999999995"/>
  </r>
  <r>
    <n v="465"/>
    <x v="42"/>
    <x v="37"/>
    <x v="32"/>
    <x v="31"/>
    <x v="34"/>
    <n v="3.23"/>
    <x v="2"/>
    <n v="17.100000000000001"/>
    <x v="2"/>
    <n v="3.81"/>
    <x v="0"/>
    <n v="0.56999999999999995"/>
  </r>
  <r>
    <n v="466"/>
    <x v="44"/>
    <x v="9"/>
    <x v="45"/>
    <x v="33"/>
    <x v="38"/>
    <n v="3.2"/>
    <x v="0"/>
    <n v="15.200000000000001"/>
    <x v="2"/>
    <n v="3.01"/>
    <x v="0"/>
    <n v="0.51"/>
  </r>
  <r>
    <n v="467"/>
    <x v="46"/>
    <x v="28"/>
    <x v="7"/>
    <x v="2"/>
    <x v="101"/>
    <n v="3.05"/>
    <x v="0"/>
    <n v="17.7"/>
    <x v="2"/>
    <n v="3.74"/>
    <x v="0"/>
    <n v="0.41"/>
  </r>
  <r>
    <n v="468"/>
    <x v="11"/>
    <x v="2"/>
    <x v="48"/>
    <x v="15"/>
    <x v="29"/>
    <n v="2.87"/>
    <x v="0"/>
    <n v="16.2"/>
    <x v="0"/>
    <n v="1.8"/>
    <x v="0"/>
    <n v="0.4"/>
  </r>
  <r>
    <n v="469"/>
    <x v="31"/>
    <x v="4"/>
    <x v="3"/>
    <x v="23"/>
    <x v="57"/>
    <n v="2.68"/>
    <x v="0"/>
    <n v="16.8"/>
    <x v="0"/>
    <n v="2.99"/>
    <x v="0"/>
    <n v="0.47"/>
  </r>
  <r>
    <n v="470"/>
    <x v="43"/>
    <x v="1"/>
    <x v="34"/>
    <x v="25"/>
    <x v="88"/>
    <n v="3.44"/>
    <x v="2"/>
    <n v="15.9"/>
    <x v="2"/>
    <n v="4.16"/>
    <x v="0"/>
    <n v="0.63"/>
  </r>
  <r>
    <n v="471"/>
    <x v="4"/>
    <x v="40"/>
    <x v="37"/>
    <x v="39"/>
    <x v="27"/>
    <n v="3.74"/>
    <x v="2"/>
    <n v="17"/>
    <x v="1"/>
    <n v="4.34"/>
    <x v="0"/>
    <n v="0.48"/>
  </r>
  <r>
    <n v="472"/>
    <x v="22"/>
    <x v="2"/>
    <x v="17"/>
    <x v="51"/>
    <x v="9"/>
    <n v="2.61"/>
    <x v="0"/>
    <n v="14.5"/>
    <x v="0"/>
    <n v="1.98"/>
    <x v="0"/>
    <n v="0.42"/>
  </r>
  <r>
    <n v="473"/>
    <x v="9"/>
    <x v="1"/>
    <x v="10"/>
    <x v="59"/>
    <x v="75"/>
    <n v="3.21"/>
    <x v="2"/>
    <n v="18.299999999999997"/>
    <x v="2"/>
    <n v="2.29"/>
    <x v="0"/>
    <n v="0.42"/>
  </r>
  <r>
    <n v="474"/>
    <x v="11"/>
    <x v="1"/>
    <x v="39"/>
    <x v="14"/>
    <x v="98"/>
    <n v="2.89"/>
    <x v="0"/>
    <n v="14.3"/>
    <x v="0"/>
    <n v="2.33"/>
    <x v="0"/>
    <n v="0.45"/>
  </r>
  <r>
    <n v="475"/>
    <x v="34"/>
    <x v="2"/>
    <x v="49"/>
    <x v="59"/>
    <x v="86"/>
    <n v="2.74"/>
    <x v="0"/>
    <n v="16.599999999999998"/>
    <x v="0"/>
    <n v="2.72"/>
    <x v="0"/>
    <n v="0.44"/>
  </r>
  <r>
    <n v="476"/>
    <x v="11"/>
    <x v="40"/>
    <x v="45"/>
    <x v="29"/>
    <x v="42"/>
    <n v="3.21"/>
    <x v="0"/>
    <n v="15.2"/>
    <x v="2"/>
    <n v="2.68"/>
    <x v="0"/>
    <n v="0.42"/>
  </r>
  <r>
    <n v="477"/>
    <x v="17"/>
    <x v="14"/>
    <x v="31"/>
    <x v="21"/>
    <x v="9"/>
    <n v="3.13"/>
    <x v="0"/>
    <n v="16.100000000000001"/>
    <x v="2"/>
    <n v="2.93"/>
    <x v="0"/>
    <n v="0.47"/>
  </r>
  <r>
    <n v="478"/>
    <x v="28"/>
    <x v="34"/>
    <x v="31"/>
    <x v="40"/>
    <x v="10"/>
    <n v="3.42"/>
    <x v="2"/>
    <n v="16.099999999999998"/>
    <x v="2"/>
    <n v="3.71"/>
    <x v="0"/>
    <n v="0.56999999999999995"/>
  </r>
  <r>
    <n v="479"/>
    <x v="5"/>
    <x v="31"/>
    <x v="41"/>
    <x v="20"/>
    <x v="42"/>
    <n v="3.02"/>
    <x v="0"/>
    <n v="14.7"/>
    <x v="2"/>
    <n v="2.67"/>
    <x v="0"/>
    <n v="0.41"/>
  </r>
  <r>
    <n v="480"/>
    <x v="4"/>
    <x v="26"/>
    <x v="16"/>
    <x v="58"/>
    <x v="76"/>
    <n v="2.63"/>
    <x v="2"/>
    <n v="18.900000000000002"/>
    <x v="0"/>
    <n v="2.31"/>
    <x v="0"/>
    <n v="0.43"/>
  </r>
  <r>
    <n v="481"/>
    <x v="7"/>
    <x v="20"/>
    <x v="11"/>
    <x v="17"/>
    <x v="67"/>
    <n v="3.07"/>
    <x v="2"/>
    <n v="15.5"/>
    <x v="2"/>
    <n v="3.28"/>
    <x v="0"/>
    <n v="0.54"/>
  </r>
  <r>
    <n v="482"/>
    <x v="21"/>
    <x v="8"/>
    <x v="18"/>
    <x v="6"/>
    <x v="15"/>
    <n v="3.07"/>
    <x v="2"/>
    <n v="17.900000000000002"/>
    <x v="2"/>
    <n v="3.61"/>
    <x v="0"/>
    <n v="0.5"/>
  </r>
  <r>
    <n v="483"/>
    <x v="12"/>
    <x v="36"/>
    <x v="22"/>
    <x v="55"/>
    <x v="22"/>
    <n v="2.9"/>
    <x v="1"/>
    <n v="15.6"/>
    <x v="0"/>
    <n v="1.6"/>
    <x v="0"/>
    <n v="0.32"/>
  </r>
  <r>
    <n v="484"/>
    <x v="39"/>
    <x v="4"/>
    <x v="45"/>
    <x v="9"/>
    <x v="89"/>
    <n v="3.41"/>
    <x v="2"/>
    <n v="15.2"/>
    <x v="2"/>
    <n v="3.67"/>
    <x v="0"/>
    <n v="0.56999999999999995"/>
  </r>
  <r>
    <n v="485"/>
    <x v="29"/>
    <x v="34"/>
    <x v="2"/>
    <x v="11"/>
    <x v="9"/>
    <n v="3.24"/>
    <x v="2"/>
    <n v="14.8"/>
    <x v="2"/>
    <n v="3.15"/>
    <x v="0"/>
    <n v="0.56000000000000005"/>
  </r>
  <r>
    <n v="486"/>
    <x v="38"/>
    <x v="37"/>
    <x v="37"/>
    <x v="53"/>
    <x v="102"/>
    <n v="2.63"/>
    <x v="1"/>
    <n v="17"/>
    <x v="0"/>
    <n v="4.1500000000000004"/>
    <x v="0"/>
    <n v="0.32"/>
  </r>
  <r>
    <n v="487"/>
    <x v="14"/>
    <x v="31"/>
    <x v="28"/>
    <x v="6"/>
    <x v="19"/>
    <n v="2.63"/>
    <x v="0"/>
    <n v="15"/>
    <x v="0"/>
    <n v="2.95"/>
    <x v="0"/>
    <n v="0.45"/>
  </r>
  <r>
    <n v="488"/>
    <x v="38"/>
    <x v="14"/>
    <x v="28"/>
    <x v="1"/>
    <x v="63"/>
    <n v="2.85"/>
    <x v="1"/>
    <n v="15.000000000000002"/>
    <x v="0"/>
    <n v="1.43"/>
    <x v="1"/>
    <n v="0.36"/>
  </r>
  <r>
    <n v="489"/>
    <x v="1"/>
    <x v="11"/>
    <x v="37"/>
    <x v="45"/>
    <x v="102"/>
    <n v="2.64"/>
    <x v="1"/>
    <n v="17"/>
    <x v="0"/>
    <n v="4.1399999999999997"/>
    <x v="0"/>
    <n v="0.31"/>
  </r>
  <r>
    <n v="490"/>
    <x v="21"/>
    <x v="26"/>
    <x v="37"/>
    <x v="42"/>
    <x v="18"/>
    <n v="3.16"/>
    <x v="2"/>
    <n v="16.999999999999996"/>
    <x v="2"/>
    <n v="3.55"/>
    <x v="0"/>
    <n v="0.53"/>
  </r>
  <r>
    <n v="491"/>
    <x v="18"/>
    <x v="35"/>
    <x v="18"/>
    <x v="23"/>
    <x v="40"/>
    <n v="3"/>
    <x v="0"/>
    <n v="17.899999999999999"/>
    <x v="2"/>
    <n v="2.0699999999999998"/>
    <x v="0"/>
    <n v="0.37"/>
  </r>
  <r>
    <n v="492"/>
    <x v="23"/>
    <x v="12"/>
    <x v="6"/>
    <x v="46"/>
    <x v="98"/>
    <n v="3.08"/>
    <x v="2"/>
    <n v="18.399999999999999"/>
    <x v="2"/>
    <n v="1.84"/>
    <x v="0"/>
    <n v="0.37"/>
  </r>
  <r>
    <n v="493"/>
    <x v="50"/>
    <x v="6"/>
    <x v="31"/>
    <x v="40"/>
    <x v="60"/>
    <n v="3.17"/>
    <x v="0"/>
    <n v="16.100000000000001"/>
    <x v="2"/>
    <n v="2.4500000000000002"/>
    <x v="0"/>
    <n v="0.47"/>
  </r>
  <r>
    <n v="494"/>
    <x v="25"/>
    <x v="20"/>
    <x v="9"/>
    <x v="59"/>
    <x v="25"/>
    <n v="2.83"/>
    <x v="0"/>
    <n v="14.9"/>
    <x v="0"/>
    <n v="2.21"/>
    <x v="0"/>
    <n v="0.42"/>
  </r>
  <r>
    <n v="495"/>
    <x v="44"/>
    <x v="3"/>
    <x v="10"/>
    <x v="59"/>
    <x v="98"/>
    <n v="3.16"/>
    <x v="2"/>
    <n v="18.3"/>
    <x v="2"/>
    <n v="2.4"/>
    <x v="0"/>
    <n v="0.43"/>
  </r>
  <r>
    <n v="496"/>
    <x v="11"/>
    <x v="30"/>
    <x v="34"/>
    <x v="5"/>
    <x v="59"/>
    <n v="2.61"/>
    <x v="0"/>
    <n v="15.899999999999999"/>
    <x v="0"/>
    <n v="4.2300000000000004"/>
    <x v="0"/>
    <n v="0.4"/>
  </r>
  <r>
    <n v="497"/>
    <x v="39"/>
    <x v="17"/>
    <x v="50"/>
    <x v="37"/>
    <x v="46"/>
    <n v="3.24"/>
    <x v="2"/>
    <n v="19"/>
    <x v="2"/>
    <n v="3.24"/>
    <x v="0"/>
    <n v="0.46"/>
  </r>
  <r>
    <n v="498"/>
    <x v="48"/>
    <x v="38"/>
    <x v="47"/>
    <x v="13"/>
    <x v="76"/>
    <n v="3.41"/>
    <x v="2"/>
    <n v="17.8"/>
    <x v="2"/>
    <n v="3.76"/>
    <x v="0"/>
    <n v="0.52"/>
  </r>
  <r>
    <n v="499"/>
    <x v="18"/>
    <x v="31"/>
    <x v="12"/>
    <x v="16"/>
    <x v="21"/>
    <n v="2.89"/>
    <x v="0"/>
    <n v="17.2"/>
    <x v="0"/>
    <n v="3.93"/>
    <x v="0"/>
    <n v="0.38"/>
  </r>
  <r>
    <n v="500"/>
    <x v="13"/>
    <x v="7"/>
    <x v="3"/>
    <x v="42"/>
    <x v="18"/>
    <n v="3.51"/>
    <x v="2"/>
    <n v="16.799999999999997"/>
    <x v="1"/>
    <n v="3.51"/>
    <x v="0"/>
    <n v="0.53"/>
  </r>
  <r>
    <n v="501"/>
    <x v="0"/>
    <x v="2"/>
    <x v="38"/>
    <x v="50"/>
    <x v="98"/>
    <n v="2.5499999999999998"/>
    <x v="2"/>
    <n v="18.600000000000001"/>
    <x v="0"/>
    <n v="1.51"/>
    <x v="0"/>
    <n v="0.37"/>
  </r>
  <r>
    <n v="502"/>
    <x v="27"/>
    <x v="27"/>
    <x v="50"/>
    <x v="43"/>
    <x v="87"/>
    <n v="3.2"/>
    <x v="2"/>
    <n v="19"/>
    <x v="2"/>
    <n v="3.41"/>
    <x v="0"/>
    <n v="0.43"/>
  </r>
  <r>
    <n v="503"/>
    <x v="15"/>
    <x v="33"/>
    <x v="8"/>
    <x v="4"/>
    <x v="86"/>
    <n v="3.31"/>
    <x v="2"/>
    <n v="14.2"/>
    <x v="2"/>
    <n v="3.47"/>
    <x v="0"/>
    <n v="0.61"/>
  </r>
  <r>
    <n v="504"/>
    <x v="3"/>
    <x v="31"/>
    <x v="15"/>
    <x v="42"/>
    <x v="6"/>
    <n v="3.01"/>
    <x v="0"/>
    <n v="15.100000000000001"/>
    <x v="2"/>
    <n v="2.52"/>
    <x v="0"/>
    <n v="0.43"/>
  </r>
  <r>
    <n v="505"/>
    <x v="8"/>
    <x v="29"/>
    <x v="8"/>
    <x v="7"/>
    <x v="2"/>
    <n v="2.4900000000000002"/>
    <x v="1"/>
    <n v="14.2"/>
    <x v="3"/>
    <n v="1.71"/>
    <x v="0"/>
    <n v="0.37"/>
  </r>
  <r>
    <n v="506"/>
    <x v="5"/>
    <x v="24"/>
    <x v="12"/>
    <x v="5"/>
    <x v="103"/>
    <n v="2.44"/>
    <x v="0"/>
    <n v="17.2"/>
    <x v="3"/>
    <n v="4.1900000000000004"/>
    <x v="0"/>
    <n v="0.35"/>
  </r>
  <r>
    <n v="507"/>
    <x v="16"/>
    <x v="13"/>
    <x v="9"/>
    <x v="40"/>
    <x v="86"/>
    <n v="3.44"/>
    <x v="2"/>
    <n v="14.899999999999999"/>
    <x v="2"/>
    <n v="3.61"/>
    <x v="0"/>
    <n v="0.59"/>
  </r>
  <r>
    <n v="508"/>
    <x v="36"/>
    <x v="1"/>
    <x v="18"/>
    <x v="50"/>
    <x v="47"/>
    <n v="2.88"/>
    <x v="0"/>
    <n v="17.899999999999999"/>
    <x v="0"/>
    <n v="2.0099999999999998"/>
    <x v="0"/>
    <n v="0.41"/>
  </r>
  <r>
    <n v="509"/>
    <x v="6"/>
    <x v="28"/>
    <x v="10"/>
    <x v="42"/>
    <x v="7"/>
    <n v="3.03"/>
    <x v="2"/>
    <n v="18.3"/>
    <x v="2"/>
    <n v="2.83"/>
    <x v="0"/>
    <n v="0.44"/>
  </r>
  <r>
    <n v="510"/>
    <x v="27"/>
    <x v="37"/>
    <x v="26"/>
    <x v="27"/>
    <x v="57"/>
    <n v="3.46"/>
    <x v="2"/>
    <n v="15.399999999999999"/>
    <x v="2"/>
    <n v="3.26"/>
    <x v="0"/>
    <n v="0.53"/>
  </r>
  <r>
    <n v="511"/>
    <x v="30"/>
    <x v="8"/>
    <x v="12"/>
    <x v="5"/>
    <x v="28"/>
    <n v="3.43"/>
    <x v="2"/>
    <n v="17.2"/>
    <x v="2"/>
    <n v="4.37"/>
    <x v="0"/>
    <n v="0.55000000000000004"/>
  </r>
  <r>
    <n v="512"/>
    <x v="45"/>
    <x v="10"/>
    <x v="16"/>
    <x v="29"/>
    <x v="87"/>
    <n v="2.74"/>
    <x v="2"/>
    <n v="18.899999999999999"/>
    <x v="0"/>
    <n v="2.2799999999999998"/>
    <x v="0"/>
    <n v="0.33"/>
  </r>
  <r>
    <n v="513"/>
    <x v="14"/>
    <x v="18"/>
    <x v="6"/>
    <x v="10"/>
    <x v="104"/>
    <n v="2.4900000000000002"/>
    <x v="2"/>
    <n v="18.399999999999999"/>
    <x v="3"/>
    <n v="4.05"/>
    <x v="0"/>
    <n v="0.36"/>
  </r>
  <r>
    <n v="514"/>
    <x v="9"/>
    <x v="21"/>
    <x v="50"/>
    <x v="0"/>
    <x v="72"/>
    <n v="3.12"/>
    <x v="2"/>
    <n v="19"/>
    <x v="2"/>
    <n v="2.57"/>
    <x v="0"/>
    <n v="0.41"/>
  </r>
  <r>
    <n v="515"/>
    <x v="42"/>
    <x v="3"/>
    <x v="22"/>
    <x v="2"/>
    <x v="52"/>
    <n v="3.61"/>
    <x v="2"/>
    <n v="15.6"/>
    <x v="1"/>
    <n v="3.97"/>
    <x v="0"/>
    <n v="0.63"/>
  </r>
  <r>
    <n v="516"/>
    <x v="17"/>
    <x v="2"/>
    <x v="6"/>
    <x v="28"/>
    <x v="53"/>
    <n v="3.28"/>
    <x v="2"/>
    <n v="18.399999999999999"/>
    <x v="2"/>
    <n v="3.4"/>
    <x v="0"/>
    <n v="0.41"/>
  </r>
  <r>
    <n v="517"/>
    <x v="13"/>
    <x v="16"/>
    <x v="6"/>
    <x v="16"/>
    <x v="50"/>
    <n v="3.36"/>
    <x v="2"/>
    <n v="18.400000000000002"/>
    <x v="2"/>
    <n v="3.13"/>
    <x v="0"/>
    <n v="0.48"/>
  </r>
  <r>
    <n v="518"/>
    <x v="14"/>
    <x v="24"/>
    <x v="50"/>
    <x v="45"/>
    <x v="16"/>
    <n v="3.31"/>
    <x v="2"/>
    <n v="19"/>
    <x v="2"/>
    <n v="3.7"/>
    <x v="0"/>
    <n v="0.35"/>
  </r>
  <r>
    <n v="519"/>
    <x v="27"/>
    <x v="2"/>
    <x v="2"/>
    <x v="28"/>
    <x v="23"/>
    <n v="3.26"/>
    <x v="2"/>
    <n v="14.799999999999999"/>
    <x v="2"/>
    <n v="3.39"/>
    <x v="0"/>
    <n v="0.55000000000000004"/>
  </r>
  <r>
    <n v="520"/>
    <x v="13"/>
    <x v="6"/>
    <x v="37"/>
    <x v="45"/>
    <x v="57"/>
    <n v="3.38"/>
    <x v="2"/>
    <n v="17"/>
    <x v="2"/>
    <n v="3.35"/>
    <x v="0"/>
    <n v="0.52"/>
  </r>
  <r>
    <n v="521"/>
    <x v="1"/>
    <x v="22"/>
    <x v="47"/>
    <x v="58"/>
    <x v="59"/>
    <n v="2.76"/>
    <x v="1"/>
    <n v="17.799999999999997"/>
    <x v="0"/>
    <n v="3.36"/>
    <x v="0"/>
    <n v="0.3"/>
  </r>
  <r>
    <n v="522"/>
    <x v="1"/>
    <x v="0"/>
    <x v="39"/>
    <x v="50"/>
    <x v="25"/>
    <n v="3.13"/>
    <x v="1"/>
    <n v="14.299999999999999"/>
    <x v="2"/>
    <n v="1.77"/>
    <x v="0"/>
    <n v="0.37"/>
  </r>
  <r>
    <n v="523"/>
    <x v="43"/>
    <x v="9"/>
    <x v="8"/>
    <x v="39"/>
    <x v="0"/>
    <n v="3.25"/>
    <x v="2"/>
    <n v="14.2"/>
    <x v="2"/>
    <n v="4.3899999999999997"/>
    <x v="0"/>
    <n v="0.7"/>
  </r>
  <r>
    <n v="524"/>
    <x v="5"/>
    <x v="4"/>
    <x v="34"/>
    <x v="59"/>
    <x v="2"/>
    <n v="2.78"/>
    <x v="0"/>
    <n v="15.9"/>
    <x v="0"/>
    <n v="2.34"/>
    <x v="0"/>
    <n v="0.38"/>
  </r>
  <r>
    <n v="525"/>
    <x v="31"/>
    <x v="4"/>
    <x v="9"/>
    <x v="23"/>
    <x v="23"/>
    <n v="3.5"/>
    <x v="0"/>
    <n v="14.9"/>
    <x v="1"/>
    <n v="3.08"/>
    <x v="0"/>
    <n v="0.53"/>
  </r>
  <r>
    <n v="526"/>
    <x v="45"/>
    <x v="29"/>
    <x v="30"/>
    <x v="3"/>
    <x v="64"/>
    <n v="2.74"/>
    <x v="0"/>
    <n v="14.399999999999999"/>
    <x v="0"/>
    <n v="2.4300000000000002"/>
    <x v="0"/>
    <n v="0.44"/>
  </r>
  <r>
    <n v="527"/>
    <x v="34"/>
    <x v="7"/>
    <x v="11"/>
    <x v="5"/>
    <x v="6"/>
    <n v="2.93"/>
    <x v="0"/>
    <n v="15.5"/>
    <x v="0"/>
    <n v="2.87"/>
    <x v="0"/>
    <n v="0.47"/>
  </r>
  <r>
    <n v="528"/>
    <x v="47"/>
    <x v="0"/>
    <x v="21"/>
    <x v="18"/>
    <x v="91"/>
    <n v="3.27"/>
    <x v="1"/>
    <n v="16.399999999999999"/>
    <x v="2"/>
    <n v="1.92"/>
    <x v="0"/>
    <n v="0.35"/>
  </r>
  <r>
    <n v="529"/>
    <x v="50"/>
    <x v="33"/>
    <x v="38"/>
    <x v="16"/>
    <x v="53"/>
    <n v="3.09"/>
    <x v="2"/>
    <n v="18.599999999999998"/>
    <x v="2"/>
    <n v="2.94"/>
    <x v="0"/>
    <n v="0.4"/>
  </r>
  <r>
    <n v="530"/>
    <x v="9"/>
    <x v="13"/>
    <x v="35"/>
    <x v="43"/>
    <x v="14"/>
    <n v="3.43"/>
    <x v="2"/>
    <n v="18.8"/>
    <x v="2"/>
    <n v="3.89"/>
    <x v="0"/>
    <n v="0.41"/>
  </r>
  <r>
    <n v="531"/>
    <x v="46"/>
    <x v="40"/>
    <x v="35"/>
    <x v="41"/>
    <x v="42"/>
    <n v="2.99"/>
    <x v="2"/>
    <n v="18.8"/>
    <x v="0"/>
    <n v="2.75"/>
    <x v="0"/>
    <n v="0.38"/>
  </r>
  <r>
    <n v="532"/>
    <x v="42"/>
    <x v="40"/>
    <x v="8"/>
    <x v="26"/>
    <x v="105"/>
    <n v="3.59"/>
    <x v="2"/>
    <n v="14.200000000000001"/>
    <x v="1"/>
    <n v="4.4400000000000004"/>
    <x v="0"/>
    <n v="0.69"/>
  </r>
  <r>
    <n v="533"/>
    <x v="15"/>
    <x v="2"/>
    <x v="48"/>
    <x v="43"/>
    <x v="65"/>
    <n v="3.69"/>
    <x v="2"/>
    <n v="16.2"/>
    <x v="1"/>
    <n v="3.26"/>
    <x v="0"/>
    <n v="0.53"/>
  </r>
  <r>
    <n v="534"/>
    <x v="38"/>
    <x v="25"/>
    <x v="43"/>
    <x v="27"/>
    <x v="43"/>
    <n v="2.54"/>
    <x v="1"/>
    <n v="14.1"/>
    <x v="0"/>
    <n v="2.08"/>
    <x v="0"/>
    <n v="0.38"/>
  </r>
  <r>
    <n v="535"/>
    <x v="21"/>
    <x v="7"/>
    <x v="39"/>
    <x v="16"/>
    <x v="62"/>
    <n v="3.44"/>
    <x v="2"/>
    <n v="14.299999999999999"/>
    <x v="2"/>
    <n v="3.89"/>
    <x v="0"/>
    <n v="0.63"/>
  </r>
  <r>
    <n v="536"/>
    <x v="16"/>
    <x v="4"/>
    <x v="49"/>
    <x v="33"/>
    <x v="47"/>
    <n v="3.32"/>
    <x v="2"/>
    <n v="16.599999999999998"/>
    <x v="2"/>
    <n v="3.45"/>
    <x v="0"/>
    <n v="0.53"/>
  </r>
  <r>
    <n v="537"/>
    <x v="25"/>
    <x v="12"/>
    <x v="27"/>
    <x v="43"/>
    <x v="46"/>
    <n v="3.23"/>
    <x v="0"/>
    <n v="15.700000000000001"/>
    <x v="2"/>
    <n v="2.54"/>
    <x v="0"/>
    <n v="0.39"/>
  </r>
  <r>
    <n v="538"/>
    <x v="50"/>
    <x v="38"/>
    <x v="50"/>
    <x v="11"/>
    <x v="103"/>
    <n v="3.2"/>
    <x v="2"/>
    <n v="19"/>
    <x v="2"/>
    <n v="4.43"/>
    <x v="0"/>
    <n v="0.39"/>
  </r>
  <r>
    <n v="539"/>
    <x v="20"/>
    <x v="22"/>
    <x v="19"/>
    <x v="2"/>
    <x v="80"/>
    <n v="3.62"/>
    <x v="2"/>
    <n v="15.799999999999999"/>
    <x v="1"/>
    <n v="4.03"/>
    <x v="0"/>
    <n v="0.61"/>
  </r>
  <r>
    <n v="540"/>
    <x v="15"/>
    <x v="31"/>
    <x v="20"/>
    <x v="39"/>
    <x v="69"/>
    <n v="3.2"/>
    <x v="2"/>
    <n v="16.899999999999999"/>
    <x v="2"/>
    <n v="4.55"/>
    <x v="0"/>
    <n v="0.51"/>
  </r>
  <r>
    <n v="541"/>
    <x v="36"/>
    <x v="12"/>
    <x v="6"/>
    <x v="3"/>
    <x v="24"/>
    <n v="3.26"/>
    <x v="2"/>
    <n v="18.399999999999999"/>
    <x v="2"/>
    <n v="2.87"/>
    <x v="0"/>
    <n v="0.4"/>
  </r>
  <r>
    <n v="542"/>
    <x v="43"/>
    <x v="39"/>
    <x v="45"/>
    <x v="31"/>
    <x v="60"/>
    <n v="3.46"/>
    <x v="2"/>
    <n v="15.2"/>
    <x v="2"/>
    <n v="4.3"/>
    <x v="0"/>
    <n v="0.66"/>
  </r>
  <r>
    <n v="543"/>
    <x v="49"/>
    <x v="15"/>
    <x v="30"/>
    <x v="1"/>
    <x v="10"/>
    <n v="2.68"/>
    <x v="0"/>
    <n v="14.399999999999999"/>
    <x v="0"/>
    <n v="2.82"/>
    <x v="0"/>
    <n v="0.49"/>
  </r>
  <r>
    <n v="544"/>
    <x v="13"/>
    <x v="19"/>
    <x v="48"/>
    <x v="4"/>
    <x v="80"/>
    <n v="3.54"/>
    <x v="2"/>
    <n v="16.200000000000003"/>
    <x v="1"/>
    <n v="3.48"/>
    <x v="0"/>
    <n v="0.55000000000000004"/>
  </r>
  <r>
    <n v="545"/>
    <x v="29"/>
    <x v="19"/>
    <x v="29"/>
    <x v="57"/>
    <x v="74"/>
    <n v="3.25"/>
    <x v="2"/>
    <n v="18"/>
    <x v="2"/>
    <n v="3.13"/>
    <x v="0"/>
    <n v="0.46"/>
  </r>
  <r>
    <n v="546"/>
    <x v="22"/>
    <x v="39"/>
    <x v="35"/>
    <x v="27"/>
    <x v="106"/>
    <n v="2.72"/>
    <x v="2"/>
    <n v="18.8"/>
    <x v="0"/>
    <n v="5.17"/>
    <x v="0"/>
    <n v="0.32"/>
  </r>
  <r>
    <n v="547"/>
    <x v="32"/>
    <x v="8"/>
    <x v="8"/>
    <x v="4"/>
    <x v="22"/>
    <n v="3.79"/>
    <x v="2"/>
    <n v="14.200000000000001"/>
    <x v="1"/>
    <n v="3.86"/>
    <x v="0"/>
    <n v="0.65"/>
  </r>
  <r>
    <n v="548"/>
    <x v="17"/>
    <x v="15"/>
    <x v="33"/>
    <x v="11"/>
    <x v="8"/>
    <n v="2.83"/>
    <x v="0"/>
    <n v="17.600000000000001"/>
    <x v="0"/>
    <n v="2.4300000000000002"/>
    <x v="0"/>
    <n v="0.43"/>
  </r>
  <r>
    <n v="549"/>
    <x v="30"/>
    <x v="0"/>
    <x v="17"/>
    <x v="19"/>
    <x v="86"/>
    <n v="3.4"/>
    <x v="2"/>
    <n v="14.5"/>
    <x v="2"/>
    <n v="4.2"/>
    <x v="0"/>
    <n v="0.66"/>
  </r>
  <r>
    <n v="550"/>
    <x v="50"/>
    <x v="40"/>
    <x v="1"/>
    <x v="27"/>
    <x v="4"/>
    <n v="3.43"/>
    <x v="0"/>
    <n v="16"/>
    <x v="2"/>
    <n v="3.54"/>
    <x v="0"/>
    <n v="0.47"/>
  </r>
  <r>
    <n v="551"/>
    <x v="14"/>
    <x v="23"/>
    <x v="29"/>
    <x v="53"/>
    <x v="26"/>
    <n v="2.48"/>
    <x v="0"/>
    <n v="18"/>
    <x v="3"/>
    <n v="3.26"/>
    <x v="0"/>
    <n v="0.37"/>
  </r>
  <r>
    <n v="552"/>
    <x v="28"/>
    <x v="10"/>
    <x v="23"/>
    <x v="30"/>
    <x v="33"/>
    <n v="3.4"/>
    <x v="2"/>
    <n v="17.299999999999997"/>
    <x v="2"/>
    <n v="3.3"/>
    <x v="0"/>
    <n v="0.53"/>
  </r>
  <r>
    <n v="553"/>
    <x v="13"/>
    <x v="12"/>
    <x v="24"/>
    <x v="46"/>
    <x v="89"/>
    <n v="2.98"/>
    <x v="2"/>
    <n v="18.2"/>
    <x v="0"/>
    <n v="3.33"/>
    <x v="0"/>
    <n v="0.49"/>
  </r>
  <r>
    <n v="554"/>
    <x v="19"/>
    <x v="39"/>
    <x v="6"/>
    <x v="47"/>
    <x v="3"/>
    <n v="3.13"/>
    <x v="2"/>
    <n v="18.399999999999999"/>
    <x v="2"/>
    <n v="3.12"/>
    <x v="0"/>
    <n v="0.39"/>
  </r>
  <r>
    <n v="555"/>
    <x v="12"/>
    <x v="13"/>
    <x v="21"/>
    <x v="5"/>
    <x v="103"/>
    <n v="2.5299999999999998"/>
    <x v="1"/>
    <n v="16.399999999999999"/>
    <x v="0"/>
    <n v="4.05"/>
    <x v="0"/>
    <n v="0.3"/>
  </r>
  <r>
    <n v="556"/>
    <x v="25"/>
    <x v="38"/>
    <x v="26"/>
    <x v="34"/>
    <x v="63"/>
    <n v="2.71"/>
    <x v="0"/>
    <n v="15.4"/>
    <x v="0"/>
    <n v="2.85"/>
    <x v="0"/>
    <n v="0.4"/>
  </r>
  <r>
    <n v="557"/>
    <x v="22"/>
    <x v="33"/>
    <x v="0"/>
    <x v="41"/>
    <x v="89"/>
    <n v="2.57"/>
    <x v="0"/>
    <n v="15.3"/>
    <x v="0"/>
    <n v="2.16"/>
    <x v="0"/>
    <n v="0.4"/>
  </r>
  <r>
    <n v="558"/>
    <x v="18"/>
    <x v="20"/>
    <x v="9"/>
    <x v="43"/>
    <x v="17"/>
    <n v="2.85"/>
    <x v="0"/>
    <n v="14.9"/>
    <x v="0"/>
    <n v="2.37"/>
    <x v="0"/>
    <n v="0.44"/>
  </r>
  <r>
    <n v="559"/>
    <x v="0"/>
    <x v="7"/>
    <x v="28"/>
    <x v="13"/>
    <x v="62"/>
    <n v="2.92"/>
    <x v="0"/>
    <n v="15"/>
    <x v="0"/>
    <n v="2.81"/>
    <x v="0"/>
    <n v="0.46"/>
  </r>
  <r>
    <n v="560"/>
    <x v="6"/>
    <x v="12"/>
    <x v="38"/>
    <x v="35"/>
    <x v="50"/>
    <n v="3.48"/>
    <x v="2"/>
    <n v="18.599999999999998"/>
    <x v="2"/>
    <n v="2.4"/>
    <x v="0"/>
    <n v="0.43"/>
  </r>
  <r>
    <n v="561"/>
    <x v="40"/>
    <x v="5"/>
    <x v="15"/>
    <x v="30"/>
    <x v="52"/>
    <n v="3.41"/>
    <x v="2"/>
    <n v="15.1"/>
    <x v="2"/>
    <n v="3.34"/>
    <x v="0"/>
    <n v="0.56000000000000005"/>
  </r>
  <r>
    <n v="562"/>
    <x v="3"/>
    <x v="20"/>
    <x v="45"/>
    <x v="17"/>
    <x v="7"/>
    <n v="2.67"/>
    <x v="0"/>
    <n v="15.2"/>
    <x v="0"/>
    <n v="2.6"/>
    <x v="0"/>
    <n v="0.43"/>
  </r>
  <r>
    <n v="563"/>
    <x v="17"/>
    <x v="14"/>
    <x v="12"/>
    <x v="54"/>
    <x v="30"/>
    <n v="3.25"/>
    <x v="0"/>
    <n v="17.2"/>
    <x v="2"/>
    <n v="2.78"/>
    <x v="0"/>
    <n v="0.44"/>
  </r>
  <r>
    <n v="564"/>
    <x v="15"/>
    <x v="6"/>
    <x v="30"/>
    <x v="0"/>
    <x v="51"/>
    <n v="3.47"/>
    <x v="2"/>
    <n v="14.399999999999999"/>
    <x v="2"/>
    <n v="3.4"/>
    <x v="0"/>
    <n v="0.6"/>
  </r>
  <r>
    <n v="565"/>
    <x v="15"/>
    <x v="23"/>
    <x v="33"/>
    <x v="9"/>
    <x v="25"/>
    <n v="3.18"/>
    <x v="2"/>
    <n v="17.600000000000001"/>
    <x v="2"/>
    <n v="3.14"/>
    <x v="0"/>
    <n v="0.49"/>
  </r>
  <r>
    <n v="566"/>
    <x v="14"/>
    <x v="2"/>
    <x v="41"/>
    <x v="58"/>
    <x v="51"/>
    <n v="2.78"/>
    <x v="0"/>
    <n v="14.7"/>
    <x v="0"/>
    <n v="2.2999999999999998"/>
    <x v="0"/>
    <n v="0.46"/>
  </r>
  <r>
    <n v="567"/>
    <x v="15"/>
    <x v="9"/>
    <x v="39"/>
    <x v="3"/>
    <x v="0"/>
    <n v="3.07"/>
    <x v="2"/>
    <n v="14.3"/>
    <x v="2"/>
    <n v="3.36"/>
    <x v="0"/>
    <n v="0.6"/>
  </r>
  <r>
    <n v="568"/>
    <x v="13"/>
    <x v="20"/>
    <x v="32"/>
    <x v="28"/>
    <x v="7"/>
    <n v="3.26"/>
    <x v="2"/>
    <n v="17.100000000000001"/>
    <x v="2"/>
    <n v="3.72"/>
    <x v="0"/>
    <n v="0.52"/>
  </r>
  <r>
    <n v="569"/>
    <x v="48"/>
    <x v="38"/>
    <x v="11"/>
    <x v="34"/>
    <x v="31"/>
    <n v="3.08"/>
    <x v="2"/>
    <n v="15.5"/>
    <x v="2"/>
    <n v="4.41"/>
    <x v="0"/>
    <n v="0.59"/>
  </r>
  <r>
    <n v="570"/>
    <x v="40"/>
    <x v="10"/>
    <x v="25"/>
    <x v="13"/>
    <x v="62"/>
    <n v="3.2"/>
    <x v="2"/>
    <n v="16.300000000000004"/>
    <x v="2"/>
    <n v="3.47"/>
    <x v="0"/>
    <n v="0.52"/>
  </r>
  <r>
    <n v="571"/>
    <x v="1"/>
    <x v="14"/>
    <x v="26"/>
    <x v="21"/>
    <x v="47"/>
    <n v="2.89"/>
    <x v="1"/>
    <n v="15.4"/>
    <x v="0"/>
    <n v="1.66"/>
    <x v="0"/>
    <n v="0.34"/>
  </r>
  <r>
    <n v="572"/>
    <x v="44"/>
    <x v="37"/>
    <x v="10"/>
    <x v="21"/>
    <x v="98"/>
    <n v="3.06"/>
    <x v="2"/>
    <n v="18.3"/>
    <x v="2"/>
    <n v="2.61"/>
    <x v="0"/>
    <n v="0.43"/>
  </r>
  <r>
    <n v="573"/>
    <x v="35"/>
    <x v="28"/>
    <x v="4"/>
    <x v="21"/>
    <x v="71"/>
    <n v="3.08"/>
    <x v="1"/>
    <n v="17.5"/>
    <x v="2"/>
    <n v="2.13"/>
    <x v="0"/>
    <n v="0.33"/>
  </r>
  <r>
    <n v="574"/>
    <x v="45"/>
    <x v="25"/>
    <x v="31"/>
    <x v="55"/>
    <x v="36"/>
    <n v="3.07"/>
    <x v="0"/>
    <n v="16.100000000000001"/>
    <x v="2"/>
    <n v="1.95"/>
    <x v="0"/>
    <n v="0.39"/>
  </r>
  <r>
    <n v="575"/>
    <x v="30"/>
    <x v="38"/>
    <x v="22"/>
    <x v="5"/>
    <x v="82"/>
    <n v="3.07"/>
    <x v="2"/>
    <n v="15.600000000000001"/>
    <x v="2"/>
    <n v="4.59"/>
    <x v="0"/>
    <n v="0.61"/>
  </r>
  <r>
    <n v="576"/>
    <x v="3"/>
    <x v="29"/>
    <x v="34"/>
    <x v="15"/>
    <x v="90"/>
    <n v="3.06"/>
    <x v="0"/>
    <n v="15.9"/>
    <x v="2"/>
    <n v="2.65"/>
    <x v="0"/>
    <n v="0.41"/>
  </r>
  <r>
    <n v="577"/>
    <x v="39"/>
    <x v="37"/>
    <x v="5"/>
    <x v="59"/>
    <x v="98"/>
    <n v="3.2"/>
    <x v="2"/>
    <n v="18.7"/>
    <x v="2"/>
    <n v="2.98"/>
    <x v="0"/>
    <n v="0.47"/>
  </r>
  <r>
    <n v="578"/>
    <x v="7"/>
    <x v="17"/>
    <x v="5"/>
    <x v="4"/>
    <x v="53"/>
    <n v="2.92"/>
    <x v="2"/>
    <n v="18.700000000000003"/>
    <x v="0"/>
    <n v="3.46"/>
    <x v="0"/>
    <n v="0.45"/>
  </r>
  <r>
    <n v="579"/>
    <x v="10"/>
    <x v="12"/>
    <x v="22"/>
    <x v="11"/>
    <x v="51"/>
    <n v="3.38"/>
    <x v="2"/>
    <n v="15.599999999999998"/>
    <x v="2"/>
    <n v="3.91"/>
    <x v="0"/>
    <n v="0.62"/>
  </r>
  <r>
    <n v="580"/>
    <x v="16"/>
    <x v="31"/>
    <x v="33"/>
    <x v="3"/>
    <x v="24"/>
    <n v="3.05"/>
    <x v="2"/>
    <n v="17.600000000000001"/>
    <x v="2"/>
    <n v="4"/>
    <x v="0"/>
    <n v="0.5"/>
  </r>
  <r>
    <n v="581"/>
    <x v="46"/>
    <x v="2"/>
    <x v="5"/>
    <x v="37"/>
    <x v="57"/>
    <n v="3.03"/>
    <x v="2"/>
    <n v="18.7"/>
    <x v="2"/>
    <n v="1.78"/>
    <x v="0"/>
    <n v="0.39"/>
  </r>
  <r>
    <n v="582"/>
    <x v="39"/>
    <x v="27"/>
    <x v="20"/>
    <x v="31"/>
    <x v="61"/>
    <n v="3.12"/>
    <x v="2"/>
    <n v="16.899999999999999"/>
    <x v="2"/>
    <n v="3.05"/>
    <x v="0"/>
    <n v="0.51"/>
  </r>
  <r>
    <n v="583"/>
    <x v="49"/>
    <x v="8"/>
    <x v="29"/>
    <x v="58"/>
    <x v="87"/>
    <n v="2.87"/>
    <x v="0"/>
    <n v="18"/>
    <x v="0"/>
    <n v="2.98"/>
    <x v="0"/>
    <n v="0.39"/>
  </r>
  <r>
    <n v="584"/>
    <x v="29"/>
    <x v="2"/>
    <x v="1"/>
    <x v="5"/>
    <x v="61"/>
    <n v="3.04"/>
    <x v="2"/>
    <n v="16"/>
    <x v="2"/>
    <n v="3.29"/>
    <x v="0"/>
    <n v="0.52"/>
  </r>
  <r>
    <n v="585"/>
    <x v="38"/>
    <x v="0"/>
    <x v="4"/>
    <x v="17"/>
    <x v="69"/>
    <n v="3.14"/>
    <x v="1"/>
    <n v="17.5"/>
    <x v="2"/>
    <n v="2.98"/>
    <x v="0"/>
    <n v="0.31"/>
  </r>
  <r>
    <n v="586"/>
    <x v="27"/>
    <x v="8"/>
    <x v="16"/>
    <x v="34"/>
    <x v="34"/>
    <n v="3.5"/>
    <x v="2"/>
    <n v="18.899999999999999"/>
    <x v="1"/>
    <n v="3.01"/>
    <x v="0"/>
    <n v="0.43"/>
  </r>
  <r>
    <n v="587"/>
    <x v="45"/>
    <x v="33"/>
    <x v="11"/>
    <x v="40"/>
    <x v="12"/>
    <n v="2.72"/>
    <x v="0"/>
    <n v="15.5"/>
    <x v="0"/>
    <n v="1.68"/>
    <x v="0"/>
    <n v="0.41"/>
  </r>
  <r>
    <n v="588"/>
    <x v="6"/>
    <x v="1"/>
    <x v="39"/>
    <x v="5"/>
    <x v="52"/>
    <n v="3.02"/>
    <x v="0"/>
    <n v="14.3"/>
    <x v="2"/>
    <n v="3.24"/>
    <x v="0"/>
    <n v="0.56000000000000005"/>
  </r>
  <r>
    <n v="589"/>
    <x v="35"/>
    <x v="0"/>
    <x v="0"/>
    <x v="55"/>
    <x v="86"/>
    <n v="2.95"/>
    <x v="1"/>
    <n v="15.299999999999999"/>
    <x v="0"/>
    <n v="2.2400000000000002"/>
    <x v="0"/>
    <n v="0.38"/>
  </r>
  <r>
    <n v="590"/>
    <x v="40"/>
    <x v="33"/>
    <x v="37"/>
    <x v="28"/>
    <x v="42"/>
    <n v="3.01"/>
    <x v="2"/>
    <n v="17"/>
    <x v="2"/>
    <n v="3.64"/>
    <x v="0"/>
    <n v="0.5"/>
  </r>
  <r>
    <n v="591"/>
    <x v="31"/>
    <x v="19"/>
    <x v="44"/>
    <x v="6"/>
    <x v="15"/>
    <n v="3.41"/>
    <x v="0"/>
    <n v="16.700000000000003"/>
    <x v="2"/>
    <n v="3.19"/>
    <x v="0"/>
    <n v="0.47"/>
  </r>
  <r>
    <n v="592"/>
    <x v="37"/>
    <x v="33"/>
    <x v="43"/>
    <x v="17"/>
    <x v="8"/>
    <n v="2.82"/>
    <x v="1"/>
    <n v="14.100000000000001"/>
    <x v="0"/>
    <n v="2.36"/>
    <x v="0"/>
    <n v="0.42"/>
  </r>
  <r>
    <n v="593"/>
    <x v="12"/>
    <x v="13"/>
    <x v="42"/>
    <x v="9"/>
    <x v="13"/>
    <n v="2.72"/>
    <x v="2"/>
    <n v="18.5"/>
    <x v="0"/>
    <n v="2.2999999999999998"/>
    <x v="0"/>
    <n v="0.27"/>
  </r>
  <r>
    <n v="594"/>
    <x v="45"/>
    <x v="13"/>
    <x v="26"/>
    <x v="28"/>
    <x v="13"/>
    <n v="3.11"/>
    <x v="0"/>
    <n v="15.399999999999999"/>
    <x v="2"/>
    <n v="3.49"/>
    <x v="0"/>
    <n v="0.41"/>
  </r>
  <r>
    <n v="595"/>
    <x v="31"/>
    <x v="25"/>
    <x v="19"/>
    <x v="22"/>
    <x v="80"/>
    <n v="3.08"/>
    <x v="0"/>
    <n v="15.8"/>
    <x v="2"/>
    <n v="2.87"/>
    <x v="0"/>
    <n v="0.5"/>
  </r>
  <r>
    <n v="596"/>
    <x v="5"/>
    <x v="1"/>
    <x v="0"/>
    <x v="28"/>
    <x v="42"/>
    <n v="2.95"/>
    <x v="0"/>
    <n v="15.3"/>
    <x v="0"/>
    <n v="2.72"/>
    <x v="0"/>
    <n v="0.39"/>
  </r>
  <r>
    <n v="597"/>
    <x v="25"/>
    <x v="22"/>
    <x v="33"/>
    <x v="18"/>
    <x v="16"/>
    <n v="2.92"/>
    <x v="0"/>
    <n v="17.600000000000001"/>
    <x v="0"/>
    <n v="3.88"/>
    <x v="0"/>
    <n v="0.35"/>
  </r>
  <r>
    <n v="598"/>
    <x v="39"/>
    <x v="21"/>
    <x v="22"/>
    <x v="53"/>
    <x v="80"/>
    <n v="3.16"/>
    <x v="2"/>
    <n v="15.6"/>
    <x v="2"/>
    <n v="3.54"/>
    <x v="0"/>
    <n v="0.56000000000000005"/>
  </r>
  <r>
    <n v="599"/>
    <x v="42"/>
    <x v="23"/>
    <x v="28"/>
    <x v="18"/>
    <x v="56"/>
    <n v="3.49"/>
    <x v="2"/>
    <n v="15.000000000000002"/>
    <x v="2"/>
    <n v="4.2300000000000004"/>
    <x v="0"/>
    <n v="0.65"/>
  </r>
  <r>
    <n v="600"/>
    <x v="5"/>
    <x v="25"/>
    <x v="0"/>
    <x v="13"/>
    <x v="75"/>
    <n v="3.05"/>
    <x v="0"/>
    <n v="15.3"/>
    <x v="2"/>
    <n v="1.72"/>
    <x v="0"/>
    <n v="0.39"/>
  </r>
  <r>
    <n v="601"/>
    <x v="17"/>
    <x v="11"/>
    <x v="32"/>
    <x v="57"/>
    <x v="98"/>
    <n v="3.35"/>
    <x v="0"/>
    <n v="17.099999999999998"/>
    <x v="2"/>
    <n v="3.09"/>
    <x v="0"/>
    <n v="0.44"/>
  </r>
  <r>
    <n v="602"/>
    <x v="45"/>
    <x v="24"/>
    <x v="17"/>
    <x v="8"/>
    <x v="65"/>
    <n v="3.42"/>
    <x v="0"/>
    <n v="14.5"/>
    <x v="2"/>
    <n v="2.0499999999999998"/>
    <x v="0"/>
    <n v="0.43"/>
  </r>
  <r>
    <n v="603"/>
    <x v="13"/>
    <x v="6"/>
    <x v="19"/>
    <x v="22"/>
    <x v="34"/>
    <n v="3.21"/>
    <x v="2"/>
    <n v="15.8"/>
    <x v="2"/>
    <n v="3.47"/>
    <x v="0"/>
    <n v="0.56000000000000005"/>
  </r>
  <r>
    <n v="604"/>
    <x v="46"/>
    <x v="12"/>
    <x v="39"/>
    <x v="5"/>
    <x v="76"/>
    <n v="3.42"/>
    <x v="0"/>
    <n v="14.3"/>
    <x v="2"/>
    <n v="2.9"/>
    <x v="0"/>
    <n v="0.5"/>
  </r>
  <r>
    <n v="605"/>
    <x v="28"/>
    <x v="28"/>
    <x v="3"/>
    <x v="28"/>
    <x v="55"/>
    <n v="3.37"/>
    <x v="2"/>
    <n v="16.799999999999997"/>
    <x v="2"/>
    <n v="4.2699999999999996"/>
    <x v="0"/>
    <n v="0.54"/>
  </r>
  <r>
    <n v="606"/>
    <x v="1"/>
    <x v="14"/>
    <x v="30"/>
    <x v="17"/>
    <x v="3"/>
    <n v="2.41"/>
    <x v="1"/>
    <n v="14.399999999999999"/>
    <x v="3"/>
    <n v="2.76"/>
    <x v="0"/>
    <n v="0.37"/>
  </r>
  <r>
    <n v="607"/>
    <x v="16"/>
    <x v="37"/>
    <x v="27"/>
    <x v="25"/>
    <x v="29"/>
    <n v="3.26"/>
    <x v="2"/>
    <n v="15.700000000000001"/>
    <x v="2"/>
    <n v="3.44"/>
    <x v="0"/>
    <n v="0.56000000000000005"/>
  </r>
  <r>
    <n v="608"/>
    <x v="38"/>
    <x v="5"/>
    <x v="27"/>
    <x v="46"/>
    <x v="6"/>
    <n v="2.75"/>
    <x v="1"/>
    <n v="15.7"/>
    <x v="0"/>
    <n v="2.21"/>
    <x v="0"/>
    <n v="0.34"/>
  </r>
  <r>
    <n v="609"/>
    <x v="28"/>
    <x v="33"/>
    <x v="6"/>
    <x v="3"/>
    <x v="8"/>
    <n v="3.15"/>
    <x v="2"/>
    <n v="18.399999999999999"/>
    <x v="2"/>
    <n v="3.28"/>
    <x v="0"/>
    <n v="0.49"/>
  </r>
  <r>
    <n v="610"/>
    <x v="17"/>
    <x v="3"/>
    <x v="12"/>
    <x v="11"/>
    <x v="91"/>
    <n v="2.97"/>
    <x v="0"/>
    <n v="17.2"/>
    <x v="0"/>
    <n v="2.69"/>
    <x v="0"/>
    <n v="0.44"/>
  </r>
  <r>
    <n v="611"/>
    <x v="28"/>
    <x v="16"/>
    <x v="4"/>
    <x v="12"/>
    <x v="18"/>
    <n v="3.34"/>
    <x v="2"/>
    <n v="17.5"/>
    <x v="2"/>
    <n v="3.64"/>
    <x v="0"/>
    <n v="0.52"/>
  </r>
  <r>
    <n v="612"/>
    <x v="23"/>
    <x v="14"/>
    <x v="39"/>
    <x v="12"/>
    <x v="86"/>
    <n v="3.09"/>
    <x v="0"/>
    <n v="14.3"/>
    <x v="2"/>
    <n v="2.75"/>
    <x v="0"/>
    <n v="0.48"/>
  </r>
  <r>
    <n v="613"/>
    <x v="26"/>
    <x v="37"/>
    <x v="48"/>
    <x v="7"/>
    <x v="72"/>
    <n v="2.9"/>
    <x v="1"/>
    <n v="16.2"/>
    <x v="0"/>
    <n v="2.11"/>
    <x v="0"/>
    <n v="0.34"/>
  </r>
  <r>
    <n v="614"/>
    <x v="7"/>
    <x v="23"/>
    <x v="41"/>
    <x v="4"/>
    <x v="86"/>
    <n v="3.2"/>
    <x v="2"/>
    <n v="14.7"/>
    <x v="2"/>
    <n v="3.34"/>
    <x v="0"/>
    <n v="0.56999999999999995"/>
  </r>
  <r>
    <n v="615"/>
    <x v="46"/>
    <x v="21"/>
    <x v="24"/>
    <x v="8"/>
    <x v="2"/>
    <n v="3.19"/>
    <x v="2"/>
    <n v="18.2"/>
    <x v="2"/>
    <n v="2"/>
    <x v="0"/>
    <n v="0.4"/>
  </r>
  <r>
    <n v="616"/>
    <x v="22"/>
    <x v="30"/>
    <x v="24"/>
    <x v="60"/>
    <x v="107"/>
    <n v="2.73"/>
    <x v="2"/>
    <n v="18.2"/>
    <x v="0"/>
    <n v="5.45"/>
    <x v="0"/>
    <n v="0.34"/>
  </r>
  <r>
    <n v="617"/>
    <x v="15"/>
    <x v="20"/>
    <x v="21"/>
    <x v="44"/>
    <x v="80"/>
    <n v="3.15"/>
    <x v="2"/>
    <n v="16.399999999999999"/>
    <x v="2"/>
    <n v="3.3"/>
    <x v="0"/>
    <n v="0.52"/>
  </r>
  <r>
    <n v="618"/>
    <x v="26"/>
    <x v="22"/>
    <x v="21"/>
    <x v="26"/>
    <x v="55"/>
    <n v="2.57"/>
    <x v="1"/>
    <n v="16.399999999999999"/>
    <x v="0"/>
    <n v="2.4300000000000002"/>
    <x v="0"/>
    <n v="0.34"/>
  </r>
  <r>
    <n v="619"/>
    <x v="25"/>
    <x v="39"/>
    <x v="37"/>
    <x v="25"/>
    <x v="32"/>
    <n v="3.13"/>
    <x v="0"/>
    <n v="17"/>
    <x v="2"/>
    <n v="4.2"/>
    <x v="0"/>
    <n v="0.36"/>
  </r>
  <r>
    <n v="620"/>
    <x v="19"/>
    <x v="13"/>
    <x v="25"/>
    <x v="1"/>
    <x v="37"/>
    <n v="3.48"/>
    <x v="0"/>
    <n v="16.3"/>
    <x v="2"/>
    <n v="2.27"/>
    <x v="0"/>
    <n v="0.44"/>
  </r>
  <r>
    <n v="621"/>
    <x v="40"/>
    <x v="5"/>
    <x v="36"/>
    <x v="10"/>
    <x v="11"/>
    <n v="3.34"/>
    <x v="2"/>
    <n v="16.5"/>
    <x v="2"/>
    <n v="3.36"/>
    <x v="0"/>
    <n v="0.52"/>
  </r>
  <r>
    <n v="622"/>
    <x v="9"/>
    <x v="30"/>
    <x v="1"/>
    <x v="14"/>
    <x v="77"/>
    <n v="3.34"/>
    <x v="0"/>
    <n v="15.999999999999998"/>
    <x v="2"/>
    <n v="3.93"/>
    <x v="0"/>
    <n v="0.48"/>
  </r>
  <r>
    <n v="623"/>
    <x v="14"/>
    <x v="4"/>
    <x v="11"/>
    <x v="2"/>
    <x v="87"/>
    <n v="3.18"/>
    <x v="0"/>
    <n v="15.5"/>
    <x v="2"/>
    <n v="3.45"/>
    <x v="0"/>
    <n v="0.43"/>
  </r>
  <r>
    <n v="624"/>
    <x v="5"/>
    <x v="14"/>
    <x v="20"/>
    <x v="28"/>
    <x v="66"/>
    <n v="2.85"/>
    <x v="0"/>
    <n v="16.899999999999999"/>
    <x v="0"/>
    <n v="3.92"/>
    <x v="0"/>
    <n v="0.36"/>
  </r>
  <r>
    <n v="625"/>
    <x v="21"/>
    <x v="11"/>
    <x v="49"/>
    <x v="30"/>
    <x v="29"/>
    <n v="3.64"/>
    <x v="2"/>
    <n v="16.600000000000001"/>
    <x v="1"/>
    <n v="3.6"/>
    <x v="0"/>
    <n v="0.54"/>
  </r>
  <r>
    <n v="626"/>
    <x v="45"/>
    <x v="38"/>
    <x v="26"/>
    <x v="51"/>
    <x v="46"/>
    <n v="3.14"/>
    <x v="0"/>
    <n v="15.4"/>
    <x v="2"/>
    <n v="2.91"/>
    <x v="0"/>
    <n v="0.41"/>
  </r>
  <r>
    <n v="627"/>
    <x v="48"/>
    <x v="10"/>
    <x v="2"/>
    <x v="27"/>
    <x v="51"/>
    <n v="3.6"/>
    <x v="2"/>
    <n v="14.799999999999999"/>
    <x v="1"/>
    <n v="3.8"/>
    <x v="0"/>
    <n v="0.62"/>
  </r>
  <r>
    <n v="628"/>
    <x v="34"/>
    <x v="5"/>
    <x v="41"/>
    <x v="46"/>
    <x v="89"/>
    <n v="2.97"/>
    <x v="0"/>
    <n v="14.700000000000001"/>
    <x v="0"/>
    <n v="3.15"/>
    <x v="0"/>
    <n v="0.5"/>
  </r>
  <r>
    <n v="629"/>
    <x v="34"/>
    <x v="11"/>
    <x v="32"/>
    <x v="12"/>
    <x v="50"/>
    <n v="3.09"/>
    <x v="0"/>
    <n v="17.099999999999998"/>
    <x v="2"/>
    <n v="2.91"/>
    <x v="0"/>
    <n v="0.43"/>
  </r>
  <r>
    <n v="630"/>
    <x v="1"/>
    <x v="1"/>
    <x v="32"/>
    <x v="35"/>
    <x v="64"/>
    <n v="2.81"/>
    <x v="1"/>
    <n v="17.100000000000001"/>
    <x v="0"/>
    <n v="1.02"/>
    <x v="1"/>
    <n v="0.31"/>
  </r>
  <r>
    <n v="631"/>
    <x v="42"/>
    <x v="11"/>
    <x v="19"/>
    <x v="53"/>
    <x v="71"/>
    <n v="3.71"/>
    <x v="2"/>
    <n v="15.8"/>
    <x v="1"/>
    <n v="4.54"/>
    <x v="0"/>
    <n v="0.62"/>
  </r>
  <r>
    <n v="632"/>
    <x v="46"/>
    <x v="36"/>
    <x v="48"/>
    <x v="16"/>
    <x v="63"/>
    <n v="2.98"/>
    <x v="0"/>
    <n v="16.2"/>
    <x v="0"/>
    <n v="2.33"/>
    <x v="0"/>
    <n v="0.44"/>
  </r>
  <r>
    <n v="633"/>
    <x v="22"/>
    <x v="29"/>
    <x v="32"/>
    <x v="53"/>
    <x v="32"/>
    <n v="2.79"/>
    <x v="0"/>
    <n v="17.100000000000001"/>
    <x v="0"/>
    <n v="4.12"/>
    <x v="0"/>
    <n v="0.36"/>
  </r>
  <r>
    <n v="634"/>
    <x v="15"/>
    <x v="12"/>
    <x v="11"/>
    <x v="60"/>
    <x v="6"/>
    <n v="2.85"/>
    <x v="2"/>
    <n v="15.5"/>
    <x v="0"/>
    <n v="3.61"/>
    <x v="0"/>
    <n v="0.55000000000000004"/>
  </r>
  <r>
    <n v="635"/>
    <x v="22"/>
    <x v="12"/>
    <x v="49"/>
    <x v="60"/>
    <x v="27"/>
    <n v="3.03"/>
    <x v="0"/>
    <n v="16.600000000000001"/>
    <x v="2"/>
    <n v="3.54"/>
    <x v="0"/>
    <n v="0.37"/>
  </r>
  <r>
    <n v="636"/>
    <x v="9"/>
    <x v="11"/>
    <x v="45"/>
    <x v="38"/>
    <x v="98"/>
    <n v="3.29"/>
    <x v="0"/>
    <n v="15.2"/>
    <x v="2"/>
    <n v="3.03"/>
    <x v="0"/>
    <n v="0.51"/>
  </r>
  <r>
    <n v="637"/>
    <x v="13"/>
    <x v="15"/>
    <x v="28"/>
    <x v="16"/>
    <x v="33"/>
    <n v="3.42"/>
    <x v="2"/>
    <n v="15"/>
    <x v="2"/>
    <n v="3.5"/>
    <x v="0"/>
    <n v="0.59"/>
  </r>
  <r>
    <n v="638"/>
    <x v="4"/>
    <x v="15"/>
    <x v="24"/>
    <x v="2"/>
    <x v="46"/>
    <n v="3.04"/>
    <x v="2"/>
    <n v="18.2"/>
    <x v="2"/>
    <n v="3.06"/>
    <x v="0"/>
    <n v="0.45"/>
  </r>
  <r>
    <n v="639"/>
    <x v="30"/>
    <x v="15"/>
    <x v="17"/>
    <x v="18"/>
    <x v="31"/>
    <n v="3.76"/>
    <x v="2"/>
    <n v="14.5"/>
    <x v="1"/>
    <n v="4.05"/>
    <x v="0"/>
    <n v="0.66"/>
  </r>
  <r>
    <n v="640"/>
    <x v="33"/>
    <x v="32"/>
    <x v="19"/>
    <x v="17"/>
    <x v="61"/>
    <n v="3.62"/>
    <x v="2"/>
    <n v="15.799999999999999"/>
    <x v="1"/>
    <n v="3.82"/>
    <x v="0"/>
    <n v="0.59"/>
  </r>
  <r>
    <n v="641"/>
    <x v="36"/>
    <x v="20"/>
    <x v="33"/>
    <x v="2"/>
    <x v="72"/>
    <n v="2.89"/>
    <x v="0"/>
    <n v="17.600000000000001"/>
    <x v="0"/>
    <n v="2.85"/>
    <x v="0"/>
    <n v="0.42"/>
  </r>
  <r>
    <n v="642"/>
    <x v="22"/>
    <x v="13"/>
    <x v="17"/>
    <x v="7"/>
    <x v="98"/>
    <n v="2.76"/>
    <x v="0"/>
    <n v="14.5"/>
    <x v="0"/>
    <n v="1.85"/>
    <x v="0"/>
    <n v="0.42"/>
  </r>
  <r>
    <n v="643"/>
    <x v="37"/>
    <x v="11"/>
    <x v="11"/>
    <x v="29"/>
    <x v="87"/>
    <n v="2.99"/>
    <x v="1"/>
    <n v="15.5"/>
    <x v="0"/>
    <n v="3.12"/>
    <x v="0"/>
    <n v="0.38"/>
  </r>
  <r>
    <n v="644"/>
    <x v="21"/>
    <x v="8"/>
    <x v="11"/>
    <x v="25"/>
    <x v="49"/>
    <n v="3.56"/>
    <x v="2"/>
    <n v="15.5"/>
    <x v="1"/>
    <n v="3.66"/>
    <x v="0"/>
    <n v="0.57999999999999996"/>
  </r>
  <r>
    <n v="645"/>
    <x v="10"/>
    <x v="25"/>
    <x v="13"/>
    <x v="25"/>
    <x v="34"/>
    <n v="3.57"/>
    <x v="2"/>
    <n v="17.399999999999999"/>
    <x v="1"/>
    <n v="3.7"/>
    <x v="0"/>
    <n v="0.56000000000000005"/>
  </r>
  <r>
    <n v="646"/>
    <x v="22"/>
    <x v="21"/>
    <x v="7"/>
    <x v="8"/>
    <x v="7"/>
    <n v="2.73"/>
    <x v="0"/>
    <n v="17.7"/>
    <x v="0"/>
    <n v="1.6"/>
    <x v="0"/>
    <n v="0.34"/>
  </r>
  <r>
    <n v="647"/>
    <x v="28"/>
    <x v="34"/>
    <x v="45"/>
    <x v="17"/>
    <x v="75"/>
    <n v="3.42"/>
    <x v="2"/>
    <n v="15.2"/>
    <x v="2"/>
    <n v="3.69"/>
    <x v="0"/>
    <n v="0.6"/>
  </r>
  <r>
    <n v="648"/>
    <x v="23"/>
    <x v="13"/>
    <x v="35"/>
    <x v="16"/>
    <x v="59"/>
    <n v="2.91"/>
    <x v="2"/>
    <n v="18.799999999999997"/>
    <x v="0"/>
    <n v="3.61"/>
    <x v="0"/>
    <n v="0.36"/>
  </r>
  <r>
    <n v="649"/>
    <x v="8"/>
    <x v="1"/>
    <x v="47"/>
    <x v="35"/>
    <x v="82"/>
    <n v="2.8"/>
    <x v="1"/>
    <n v="17.8"/>
    <x v="0"/>
    <n v="1.24"/>
    <x v="1"/>
    <n v="0.28999999999999998"/>
  </r>
  <r>
    <n v="650"/>
    <x v="18"/>
    <x v="7"/>
    <x v="14"/>
    <x v="25"/>
    <x v="1"/>
    <n v="2.94"/>
    <x v="0"/>
    <n v="14.6"/>
    <x v="0"/>
    <n v="2.17"/>
    <x v="0"/>
    <n v="0.45"/>
  </r>
  <r>
    <n v="651"/>
    <x v="30"/>
    <x v="36"/>
    <x v="9"/>
    <x v="2"/>
    <x v="10"/>
    <n v="3.52"/>
    <x v="2"/>
    <n v="14.899999999999999"/>
    <x v="1"/>
    <n v="4.17"/>
    <x v="0"/>
    <n v="0.64"/>
  </r>
  <r>
    <n v="652"/>
    <x v="1"/>
    <x v="31"/>
    <x v="40"/>
    <x v="15"/>
    <x v="28"/>
    <n v="2.4900000000000002"/>
    <x v="1"/>
    <n v="14"/>
    <x v="3"/>
    <n v="2.77"/>
    <x v="0"/>
    <n v="0.38"/>
  </r>
  <r>
    <n v="653"/>
    <x v="39"/>
    <x v="16"/>
    <x v="41"/>
    <x v="0"/>
    <x v="105"/>
    <n v="3.1"/>
    <x v="2"/>
    <n v="14.7"/>
    <x v="2"/>
    <n v="3.64"/>
    <x v="0"/>
    <n v="0.59"/>
  </r>
  <r>
    <n v="654"/>
    <x v="2"/>
    <x v="29"/>
    <x v="15"/>
    <x v="30"/>
    <x v="7"/>
    <n v="2.72"/>
    <x v="1"/>
    <n v="15.100000000000001"/>
    <x v="0"/>
    <n v="1.79"/>
    <x v="0"/>
    <n v="0.34"/>
  </r>
  <r>
    <n v="655"/>
    <x v="18"/>
    <x v="12"/>
    <x v="47"/>
    <x v="28"/>
    <x v="58"/>
    <n v="3.11"/>
    <x v="0"/>
    <n v="17.799999999999997"/>
    <x v="2"/>
    <n v="3.8"/>
    <x v="0"/>
    <n v="0.37"/>
  </r>
  <r>
    <n v="656"/>
    <x v="16"/>
    <x v="39"/>
    <x v="2"/>
    <x v="26"/>
    <x v="19"/>
    <n v="3.59"/>
    <x v="2"/>
    <n v="14.8"/>
    <x v="1"/>
    <n v="3.68"/>
    <x v="0"/>
    <n v="0.59"/>
  </r>
  <r>
    <n v="657"/>
    <x v="44"/>
    <x v="25"/>
    <x v="41"/>
    <x v="20"/>
    <x v="0"/>
    <n v="3.2"/>
    <x v="0"/>
    <n v="14.700000000000001"/>
    <x v="2"/>
    <n v="2.77"/>
    <x v="0"/>
    <n v="0.53"/>
  </r>
  <r>
    <n v="658"/>
    <x v="16"/>
    <x v="6"/>
    <x v="11"/>
    <x v="31"/>
    <x v="1"/>
    <n v="3.32"/>
    <x v="2"/>
    <n v="15.500000000000002"/>
    <x v="2"/>
    <n v="3.33"/>
    <x v="0"/>
    <n v="0.56999999999999995"/>
  </r>
  <r>
    <n v="659"/>
    <x v="22"/>
    <x v="21"/>
    <x v="30"/>
    <x v="57"/>
    <x v="18"/>
    <n v="2.99"/>
    <x v="0"/>
    <n v="14.4"/>
    <x v="0"/>
    <n v="2.68"/>
    <x v="0"/>
    <n v="0.42"/>
  </r>
  <r>
    <n v="660"/>
    <x v="22"/>
    <x v="36"/>
    <x v="43"/>
    <x v="20"/>
    <x v="89"/>
    <n v="2.4900000000000002"/>
    <x v="0"/>
    <n v="14.1"/>
    <x v="3"/>
    <n v="2.02"/>
    <x v="0"/>
    <n v="0.43"/>
  </r>
  <r>
    <n v="661"/>
    <x v="21"/>
    <x v="20"/>
    <x v="1"/>
    <x v="39"/>
    <x v="29"/>
    <n v="3.74"/>
    <x v="2"/>
    <n v="16"/>
    <x v="1"/>
    <n v="3.68"/>
    <x v="0"/>
    <n v="0.56000000000000005"/>
  </r>
  <r>
    <n v="662"/>
    <x v="7"/>
    <x v="24"/>
    <x v="39"/>
    <x v="14"/>
    <x v="98"/>
    <n v="3.16"/>
    <x v="2"/>
    <n v="14.3"/>
    <x v="2"/>
    <n v="3.46"/>
    <x v="0"/>
    <n v="0.59"/>
  </r>
  <r>
    <n v="663"/>
    <x v="50"/>
    <x v="27"/>
    <x v="11"/>
    <x v="30"/>
    <x v="0"/>
    <n v="2.98"/>
    <x v="0"/>
    <n v="15.500000000000002"/>
    <x v="0"/>
    <n v="2.5099999999999998"/>
    <x v="0"/>
    <n v="0.48"/>
  </r>
  <r>
    <n v="664"/>
    <x v="27"/>
    <x v="21"/>
    <x v="46"/>
    <x v="1"/>
    <x v="37"/>
    <n v="3.13"/>
    <x v="2"/>
    <n v="18.100000000000001"/>
    <x v="2"/>
    <n v="2.56"/>
    <x v="0"/>
    <n v="0.45"/>
  </r>
  <r>
    <n v="665"/>
    <x v="34"/>
    <x v="33"/>
    <x v="2"/>
    <x v="44"/>
    <x v="49"/>
    <n v="3.41"/>
    <x v="0"/>
    <n v="14.8"/>
    <x v="2"/>
    <n v="2.74"/>
    <x v="0"/>
    <n v="0.49"/>
  </r>
  <r>
    <n v="666"/>
    <x v="48"/>
    <x v="16"/>
    <x v="8"/>
    <x v="43"/>
    <x v="39"/>
    <n v="3.55"/>
    <x v="2"/>
    <n v="14.2"/>
    <x v="1"/>
    <n v="3.92"/>
    <x v="0"/>
    <n v="0.65"/>
  </r>
  <r>
    <n v="667"/>
    <x v="36"/>
    <x v="37"/>
    <x v="24"/>
    <x v="30"/>
    <x v="82"/>
    <n v="3.19"/>
    <x v="2"/>
    <n v="18.2"/>
    <x v="2"/>
    <n v="2.56"/>
    <x v="0"/>
    <n v="0.41"/>
  </r>
  <r>
    <n v="668"/>
    <x v="31"/>
    <x v="21"/>
    <x v="12"/>
    <x v="5"/>
    <x v="4"/>
    <n v="3.14"/>
    <x v="0"/>
    <n v="17.200000000000003"/>
    <x v="2"/>
    <n v="3.55"/>
    <x v="0"/>
    <n v="0.46"/>
  </r>
  <r>
    <n v="669"/>
    <x v="8"/>
    <x v="13"/>
    <x v="38"/>
    <x v="26"/>
    <x v="101"/>
    <n v="2.5499999999999998"/>
    <x v="2"/>
    <n v="18.600000000000001"/>
    <x v="0"/>
    <n v="2.71"/>
    <x v="0"/>
    <n v="0.28000000000000003"/>
  </r>
  <r>
    <n v="670"/>
    <x v="32"/>
    <x v="1"/>
    <x v="29"/>
    <x v="23"/>
    <x v="89"/>
    <n v="3.52"/>
    <x v="2"/>
    <n v="18"/>
    <x v="1"/>
    <n v="3.37"/>
    <x v="0"/>
    <n v="0.52"/>
  </r>
  <r>
    <n v="671"/>
    <x v="11"/>
    <x v="16"/>
    <x v="40"/>
    <x v="28"/>
    <x v="6"/>
    <n v="3.01"/>
    <x v="0"/>
    <n v="14"/>
    <x v="2"/>
    <n v="2.63"/>
    <x v="0"/>
    <n v="0.46"/>
  </r>
  <r>
    <n v="672"/>
    <x v="24"/>
    <x v="35"/>
    <x v="2"/>
    <x v="39"/>
    <x v="12"/>
    <n v="3.65"/>
    <x v="2"/>
    <n v="14.8"/>
    <x v="1"/>
    <n v="4.2699999999999996"/>
    <x v="0"/>
    <n v="0.67"/>
  </r>
  <r>
    <n v="673"/>
    <x v="14"/>
    <x v="11"/>
    <x v="43"/>
    <x v="36"/>
    <x v="19"/>
    <n v="2.96"/>
    <x v="0"/>
    <n v="14.100000000000001"/>
    <x v="0"/>
    <n v="2.84"/>
    <x v="0"/>
    <n v="0.48"/>
  </r>
  <r>
    <n v="674"/>
    <x v="38"/>
    <x v="40"/>
    <x v="18"/>
    <x v="0"/>
    <x v="97"/>
    <n v="2.66"/>
    <x v="1"/>
    <n v="17.899999999999999"/>
    <x v="0"/>
    <n v="3.5"/>
    <x v="0"/>
    <n v="0.3"/>
  </r>
  <r>
    <n v="675"/>
    <x v="45"/>
    <x v="31"/>
    <x v="24"/>
    <x v="24"/>
    <x v="108"/>
    <n v="2.93"/>
    <x v="2"/>
    <n v="18.2"/>
    <x v="0"/>
    <n v="4.84"/>
    <x v="0"/>
    <n v="0.35"/>
  </r>
  <r>
    <n v="676"/>
    <x v="11"/>
    <x v="16"/>
    <x v="13"/>
    <x v="45"/>
    <x v="90"/>
    <n v="3.06"/>
    <x v="0"/>
    <n v="17.400000000000002"/>
    <x v="2"/>
    <n v="2.2200000000000002"/>
    <x v="0"/>
    <n v="0.37"/>
  </r>
  <r>
    <n v="677"/>
    <x v="25"/>
    <x v="30"/>
    <x v="7"/>
    <x v="11"/>
    <x v="97"/>
    <n v="2.84"/>
    <x v="0"/>
    <n v="17.700000000000003"/>
    <x v="0"/>
    <n v="3.83"/>
    <x v="0"/>
    <n v="0.35"/>
  </r>
  <r>
    <n v="678"/>
    <x v="22"/>
    <x v="16"/>
    <x v="10"/>
    <x v="11"/>
    <x v="81"/>
    <n v="2.95"/>
    <x v="2"/>
    <n v="18.3"/>
    <x v="0"/>
    <n v="2.29"/>
    <x v="0"/>
    <n v="0.33"/>
  </r>
  <r>
    <n v="679"/>
    <x v="32"/>
    <x v="4"/>
    <x v="38"/>
    <x v="58"/>
    <x v="82"/>
    <n v="3.51"/>
    <x v="2"/>
    <n v="18.600000000000001"/>
    <x v="1"/>
    <n v="3.76"/>
    <x v="0"/>
    <n v="0.5"/>
  </r>
  <r>
    <n v="680"/>
    <x v="21"/>
    <x v="30"/>
    <x v="31"/>
    <x v="7"/>
    <x v="67"/>
    <n v="2.99"/>
    <x v="2"/>
    <n v="16.100000000000001"/>
    <x v="0"/>
    <n v="3.58"/>
    <x v="0"/>
    <n v="0.56000000000000005"/>
  </r>
  <r>
    <n v="681"/>
    <x v="47"/>
    <x v="25"/>
    <x v="33"/>
    <x v="58"/>
    <x v="3"/>
    <n v="2.84"/>
    <x v="1"/>
    <n v="17.600000000000001"/>
    <x v="0"/>
    <n v="2"/>
    <x v="0"/>
    <n v="0.32"/>
  </r>
  <r>
    <n v="682"/>
    <x v="3"/>
    <x v="10"/>
    <x v="5"/>
    <x v="10"/>
    <x v="55"/>
    <n v="2.81"/>
    <x v="2"/>
    <n v="18.700000000000003"/>
    <x v="0"/>
    <n v="2.08"/>
    <x v="0"/>
    <n v="0.35"/>
  </r>
  <r>
    <n v="683"/>
    <x v="34"/>
    <x v="20"/>
    <x v="31"/>
    <x v="42"/>
    <x v="30"/>
    <n v="3.19"/>
    <x v="0"/>
    <n v="16.100000000000001"/>
    <x v="2"/>
    <n v="2.3199999999999998"/>
    <x v="0"/>
    <n v="0.45"/>
  </r>
  <r>
    <n v="684"/>
    <x v="18"/>
    <x v="9"/>
    <x v="2"/>
    <x v="48"/>
    <x v="62"/>
    <n v="3.06"/>
    <x v="0"/>
    <n v="14.8"/>
    <x v="2"/>
    <n v="3.08"/>
    <x v="0"/>
    <n v="0.45"/>
  </r>
  <r>
    <n v="685"/>
    <x v="33"/>
    <x v="24"/>
    <x v="29"/>
    <x v="58"/>
    <x v="76"/>
    <n v="3.4"/>
    <x v="2"/>
    <n v="18"/>
    <x v="2"/>
    <n v="3.45"/>
    <x v="0"/>
    <n v="0.52"/>
  </r>
  <r>
    <n v="686"/>
    <x v="36"/>
    <x v="23"/>
    <x v="12"/>
    <x v="21"/>
    <x v="51"/>
    <n v="3.45"/>
    <x v="0"/>
    <n v="17.2"/>
    <x v="2"/>
    <n v="2.64"/>
    <x v="0"/>
    <n v="0.43"/>
  </r>
  <r>
    <n v="687"/>
    <x v="49"/>
    <x v="17"/>
    <x v="44"/>
    <x v="47"/>
    <x v="34"/>
    <n v="3"/>
    <x v="0"/>
    <n v="16.7"/>
    <x v="2"/>
    <n v="2.35"/>
    <x v="0"/>
    <n v="0.42"/>
  </r>
  <r>
    <n v="688"/>
    <x v="42"/>
    <x v="5"/>
    <x v="48"/>
    <x v="35"/>
    <x v="75"/>
    <n v="3.41"/>
    <x v="2"/>
    <n v="16.2"/>
    <x v="2"/>
    <n v="3.98"/>
    <x v="0"/>
    <n v="0.6"/>
  </r>
  <r>
    <n v="689"/>
    <x v="36"/>
    <x v="12"/>
    <x v="18"/>
    <x v="35"/>
    <x v="2"/>
    <n v="3.41"/>
    <x v="0"/>
    <n v="17.899999999999999"/>
    <x v="2"/>
    <n v="2.12"/>
    <x v="0"/>
    <n v="0.41"/>
  </r>
  <r>
    <n v="690"/>
    <x v="47"/>
    <x v="32"/>
    <x v="46"/>
    <x v="3"/>
    <x v="14"/>
    <n v="2.62"/>
    <x v="2"/>
    <n v="18.100000000000001"/>
    <x v="0"/>
    <n v="3.13"/>
    <x v="0"/>
    <n v="0.31"/>
  </r>
  <r>
    <n v="691"/>
    <x v="22"/>
    <x v="5"/>
    <x v="9"/>
    <x v="3"/>
    <x v="55"/>
    <n v="2.69"/>
    <x v="0"/>
    <n v="14.9"/>
    <x v="0"/>
    <n v="2.95"/>
    <x v="0"/>
    <n v="0.41"/>
  </r>
  <r>
    <n v="692"/>
    <x v="0"/>
    <x v="16"/>
    <x v="12"/>
    <x v="19"/>
    <x v="4"/>
    <n v="3.08"/>
    <x v="0"/>
    <n v="17.200000000000003"/>
    <x v="2"/>
    <n v="3.04"/>
    <x v="0"/>
    <n v="0.4"/>
  </r>
  <r>
    <n v="693"/>
    <x v="44"/>
    <x v="23"/>
    <x v="28"/>
    <x v="14"/>
    <x v="60"/>
    <n v="2.95"/>
    <x v="0"/>
    <n v="14.999999999999998"/>
    <x v="0"/>
    <n v="2.96"/>
    <x v="0"/>
    <n v="0.52"/>
  </r>
  <r>
    <n v="694"/>
    <x v="22"/>
    <x v="1"/>
    <x v="47"/>
    <x v="16"/>
    <x v="4"/>
    <n v="3.05"/>
    <x v="0"/>
    <n v="17.799999999999997"/>
    <x v="2"/>
    <n v="2.34"/>
    <x v="0"/>
    <n v="0.34"/>
  </r>
  <r>
    <n v="695"/>
    <x v="12"/>
    <x v="1"/>
    <x v="28"/>
    <x v="23"/>
    <x v="65"/>
    <n v="2.62"/>
    <x v="1"/>
    <n v="15"/>
    <x v="0"/>
    <n v="0.95"/>
    <x v="1"/>
    <n v="0.33"/>
  </r>
  <r>
    <n v="696"/>
    <x v="34"/>
    <x v="29"/>
    <x v="42"/>
    <x v="58"/>
    <x v="81"/>
    <n v="3.19"/>
    <x v="2"/>
    <n v="18.5"/>
    <x v="2"/>
    <n v="2.93"/>
    <x v="0"/>
    <n v="0.39"/>
  </r>
  <r>
    <n v="697"/>
    <x v="20"/>
    <x v="39"/>
    <x v="4"/>
    <x v="2"/>
    <x v="3"/>
    <n v="3.5"/>
    <x v="2"/>
    <n v="17.5"/>
    <x v="1"/>
    <n v="4.45"/>
    <x v="0"/>
    <n v="0.55000000000000004"/>
  </r>
  <r>
    <n v="698"/>
    <x v="34"/>
    <x v="35"/>
    <x v="45"/>
    <x v="24"/>
    <x v="43"/>
    <n v="3.06"/>
    <x v="0"/>
    <n v="15.2"/>
    <x v="2"/>
    <n v="2.94"/>
    <x v="0"/>
    <n v="0.48"/>
  </r>
  <r>
    <n v="699"/>
    <x v="36"/>
    <x v="13"/>
    <x v="1"/>
    <x v="49"/>
    <x v="38"/>
    <n v="3"/>
    <x v="0"/>
    <n v="16"/>
    <x v="2"/>
    <n v="3.19"/>
    <x v="0"/>
    <n v="0.46"/>
  </r>
  <r>
    <n v="700"/>
    <x v="28"/>
    <x v="5"/>
    <x v="35"/>
    <x v="2"/>
    <x v="78"/>
    <n v="3.64"/>
    <x v="2"/>
    <n v="18.799999999999997"/>
    <x v="1"/>
    <n v="4.37"/>
    <x v="0"/>
    <n v="0.48"/>
  </r>
  <r>
    <n v="701"/>
    <x v="14"/>
    <x v="14"/>
    <x v="34"/>
    <x v="57"/>
    <x v="93"/>
    <n v="3.11"/>
    <x v="0"/>
    <n v="15.899999999999999"/>
    <x v="2"/>
    <n v="2.5099999999999998"/>
    <x v="0"/>
    <n v="0.42"/>
  </r>
  <r>
    <n v="702"/>
    <x v="1"/>
    <x v="18"/>
    <x v="48"/>
    <x v="20"/>
    <x v="84"/>
    <n v="3.58"/>
    <x v="1"/>
    <n v="16.2"/>
    <x v="1"/>
    <n v="3.49"/>
    <x v="0"/>
    <n v="0.33"/>
  </r>
  <r>
    <n v="703"/>
    <x v="48"/>
    <x v="4"/>
    <x v="16"/>
    <x v="56"/>
    <x v="55"/>
    <n v="3.27"/>
    <x v="2"/>
    <n v="18.899999999999999"/>
    <x v="2"/>
    <n v="3.83"/>
    <x v="0"/>
    <n v="0.49"/>
  </r>
  <r>
    <n v="704"/>
    <x v="6"/>
    <x v="8"/>
    <x v="46"/>
    <x v="29"/>
    <x v="24"/>
    <n v="3.27"/>
    <x v="2"/>
    <n v="18.099999999999998"/>
    <x v="2"/>
    <n v="3.34"/>
    <x v="0"/>
    <n v="0.44"/>
  </r>
  <r>
    <n v="705"/>
    <x v="21"/>
    <x v="37"/>
    <x v="45"/>
    <x v="17"/>
    <x v="49"/>
    <n v="3.2"/>
    <x v="2"/>
    <n v="15.2"/>
    <x v="2"/>
    <n v="3.75"/>
    <x v="0"/>
    <n v="0.59"/>
  </r>
  <r>
    <n v="706"/>
    <x v="7"/>
    <x v="32"/>
    <x v="30"/>
    <x v="25"/>
    <x v="36"/>
    <n v="3.41"/>
    <x v="2"/>
    <n v="14.399999999999999"/>
    <x v="2"/>
    <n v="3.23"/>
    <x v="0"/>
    <n v="0.57999999999999996"/>
  </r>
  <r>
    <n v="707"/>
    <x v="1"/>
    <x v="18"/>
    <x v="9"/>
    <x v="37"/>
    <x v="55"/>
    <n v="2.65"/>
    <x v="1"/>
    <n v="14.9"/>
    <x v="0"/>
    <n v="2.78"/>
    <x v="0"/>
    <n v="0.36"/>
  </r>
  <r>
    <n v="708"/>
    <x v="14"/>
    <x v="18"/>
    <x v="8"/>
    <x v="8"/>
    <x v="63"/>
    <n v="3.15"/>
    <x v="0"/>
    <n v="14.200000000000001"/>
    <x v="2"/>
    <n v="2.71"/>
    <x v="0"/>
    <n v="0.47"/>
  </r>
  <r>
    <n v="709"/>
    <x v="10"/>
    <x v="8"/>
    <x v="34"/>
    <x v="38"/>
    <x v="22"/>
    <n v="3.63"/>
    <x v="2"/>
    <n v="15.899999999999999"/>
    <x v="1"/>
    <n v="3.95"/>
    <x v="0"/>
    <n v="0.61"/>
  </r>
  <r>
    <n v="710"/>
    <x v="10"/>
    <x v="1"/>
    <x v="0"/>
    <x v="17"/>
    <x v="33"/>
    <n v="3.36"/>
    <x v="2"/>
    <n v="15.299999999999999"/>
    <x v="2"/>
    <n v="4.0999999999999996"/>
    <x v="0"/>
    <n v="0.63"/>
  </r>
  <r>
    <n v="711"/>
    <x v="11"/>
    <x v="2"/>
    <x v="16"/>
    <x v="33"/>
    <x v="6"/>
    <n v="3.14"/>
    <x v="2"/>
    <n v="18.900000000000002"/>
    <x v="2"/>
    <n v="1.1299999999999999"/>
    <x v="1"/>
    <n v="0.34"/>
  </r>
  <r>
    <n v="712"/>
    <x v="43"/>
    <x v="28"/>
    <x v="23"/>
    <x v="19"/>
    <x v="40"/>
    <n v="3.79"/>
    <x v="2"/>
    <n v="17.299999999999997"/>
    <x v="1"/>
    <n v="4.41"/>
    <x v="0"/>
    <n v="0.57999999999999996"/>
  </r>
  <r>
    <n v="713"/>
    <x v="46"/>
    <x v="19"/>
    <x v="23"/>
    <x v="55"/>
    <x v="80"/>
    <n v="3.21"/>
    <x v="0"/>
    <n v="17.299999999999997"/>
    <x v="2"/>
    <n v="2.57"/>
    <x v="0"/>
    <n v="0.42"/>
  </r>
  <r>
    <n v="714"/>
    <x v="1"/>
    <x v="31"/>
    <x v="24"/>
    <x v="26"/>
    <x v="97"/>
    <n v="2.76"/>
    <x v="2"/>
    <n v="18.200000000000003"/>
    <x v="0"/>
    <n v="3.54"/>
    <x v="0"/>
    <n v="0.28999999999999998"/>
  </r>
  <r>
    <n v="715"/>
    <x v="35"/>
    <x v="2"/>
    <x v="3"/>
    <x v="7"/>
    <x v="80"/>
    <n v="2.83"/>
    <x v="1"/>
    <n v="16.799999999999997"/>
    <x v="0"/>
    <n v="1.17"/>
    <x v="1"/>
    <n v="0.35"/>
  </r>
  <r>
    <n v="716"/>
    <x v="29"/>
    <x v="15"/>
    <x v="45"/>
    <x v="29"/>
    <x v="22"/>
    <n v="2.92"/>
    <x v="2"/>
    <n v="15.200000000000001"/>
    <x v="0"/>
    <n v="3.05"/>
    <x v="0"/>
    <n v="0.55000000000000004"/>
  </r>
  <r>
    <n v="717"/>
    <x v="30"/>
    <x v="10"/>
    <x v="45"/>
    <x v="28"/>
    <x v="36"/>
    <n v="3.24"/>
    <x v="2"/>
    <n v="15.2"/>
    <x v="2"/>
    <n v="4.03"/>
    <x v="0"/>
    <n v="0.62"/>
  </r>
  <r>
    <n v="718"/>
    <x v="49"/>
    <x v="1"/>
    <x v="17"/>
    <x v="26"/>
    <x v="18"/>
    <n v="3.4"/>
    <x v="0"/>
    <n v="14.5"/>
    <x v="2"/>
    <n v="2.7"/>
    <x v="0"/>
    <n v="0.48"/>
  </r>
  <r>
    <n v="719"/>
    <x v="18"/>
    <x v="27"/>
    <x v="33"/>
    <x v="27"/>
    <x v="77"/>
    <n v="2.88"/>
    <x v="0"/>
    <n v="17.599999999999998"/>
    <x v="0"/>
    <n v="2.92"/>
    <x v="0"/>
    <n v="0.38"/>
  </r>
  <r>
    <n v="720"/>
    <x v="19"/>
    <x v="10"/>
    <x v="6"/>
    <x v="13"/>
    <x v="67"/>
    <n v="2.85"/>
    <x v="2"/>
    <n v="18.399999999999999"/>
    <x v="0"/>
    <n v="1.73"/>
    <x v="0"/>
    <n v="0.39"/>
  </r>
  <r>
    <n v="721"/>
    <x v="9"/>
    <x v="28"/>
    <x v="36"/>
    <x v="45"/>
    <x v="82"/>
    <n v="2.88"/>
    <x v="0"/>
    <n v="16.5"/>
    <x v="0"/>
    <n v="3.14"/>
    <x v="0"/>
    <n v="0.47"/>
  </r>
  <r>
    <n v="722"/>
    <x v="35"/>
    <x v="30"/>
    <x v="25"/>
    <x v="32"/>
    <x v="2"/>
    <n v="3.27"/>
    <x v="1"/>
    <n v="16.299999999999997"/>
    <x v="2"/>
    <n v="2.4300000000000002"/>
    <x v="0"/>
    <n v="0.36"/>
  </r>
  <r>
    <n v="723"/>
    <x v="14"/>
    <x v="20"/>
    <x v="27"/>
    <x v="54"/>
    <x v="31"/>
    <n v="3.06"/>
    <x v="0"/>
    <n v="15.7"/>
    <x v="2"/>
    <n v="2.79"/>
    <x v="0"/>
    <n v="0.43"/>
  </r>
  <r>
    <n v="724"/>
    <x v="29"/>
    <x v="7"/>
    <x v="37"/>
    <x v="3"/>
    <x v="63"/>
    <n v="3.5"/>
    <x v="2"/>
    <n v="17"/>
    <x v="1"/>
    <n v="2.83"/>
    <x v="0"/>
    <n v="0.49"/>
  </r>
  <r>
    <n v="725"/>
    <x v="2"/>
    <x v="10"/>
    <x v="28"/>
    <x v="17"/>
    <x v="90"/>
    <n v="2.54"/>
    <x v="1"/>
    <n v="14.999999999999998"/>
    <x v="0"/>
    <n v="2.38"/>
    <x v="0"/>
    <n v="0.34"/>
  </r>
  <r>
    <n v="726"/>
    <x v="41"/>
    <x v="2"/>
    <x v="18"/>
    <x v="53"/>
    <x v="48"/>
    <n v="3.32"/>
    <x v="1"/>
    <n v="17.899999999999999"/>
    <x v="2"/>
    <n v="3.2"/>
    <x v="0"/>
    <n v="0.31"/>
  </r>
  <r>
    <n v="727"/>
    <x v="6"/>
    <x v="15"/>
    <x v="35"/>
    <x v="8"/>
    <x v="34"/>
    <n v="3.01"/>
    <x v="2"/>
    <n v="18.8"/>
    <x v="2"/>
    <n v="2.2400000000000002"/>
    <x v="0"/>
    <n v="0.43"/>
  </r>
  <r>
    <n v="728"/>
    <x v="37"/>
    <x v="32"/>
    <x v="4"/>
    <x v="54"/>
    <x v="98"/>
    <n v="2.9"/>
    <x v="1"/>
    <n v="17.5"/>
    <x v="0"/>
    <n v="1.69"/>
    <x v="0"/>
    <n v="0.34"/>
  </r>
  <r>
    <n v="729"/>
    <x v="28"/>
    <x v="2"/>
    <x v="7"/>
    <x v="47"/>
    <x v="62"/>
    <n v="2.98"/>
    <x v="2"/>
    <n v="17.700000000000003"/>
    <x v="0"/>
    <n v="3.69"/>
    <x v="0"/>
    <n v="0.51"/>
  </r>
  <r>
    <n v="730"/>
    <x v="1"/>
    <x v="39"/>
    <x v="11"/>
    <x v="56"/>
    <x v="13"/>
    <n v="2.62"/>
    <x v="1"/>
    <n v="15.5"/>
    <x v="0"/>
    <n v="3.09"/>
    <x v="0"/>
    <n v="0.34"/>
  </r>
  <r>
    <n v="731"/>
    <x v="22"/>
    <x v="25"/>
    <x v="7"/>
    <x v="38"/>
    <x v="40"/>
    <n v="3.13"/>
    <x v="0"/>
    <n v="17.7"/>
    <x v="2"/>
    <n v="1.71"/>
    <x v="0"/>
    <n v="0.34"/>
  </r>
  <r>
    <n v="732"/>
    <x v="28"/>
    <x v="35"/>
    <x v="12"/>
    <x v="4"/>
    <x v="49"/>
    <n v="3.27"/>
    <x v="2"/>
    <n v="17.2"/>
    <x v="2"/>
    <n v="3.33"/>
    <x v="0"/>
    <n v="0.53"/>
  </r>
  <r>
    <n v="733"/>
    <x v="21"/>
    <x v="17"/>
    <x v="29"/>
    <x v="19"/>
    <x v="85"/>
    <n v="3.05"/>
    <x v="2"/>
    <n v="18"/>
    <x v="2"/>
    <n v="4.2300000000000004"/>
    <x v="0"/>
    <n v="0.5"/>
  </r>
  <r>
    <n v="734"/>
    <x v="48"/>
    <x v="22"/>
    <x v="32"/>
    <x v="36"/>
    <x v="15"/>
    <n v="2.81"/>
    <x v="2"/>
    <n v="17.100000000000001"/>
    <x v="0"/>
    <n v="3.69"/>
    <x v="0"/>
    <n v="0.54"/>
  </r>
  <r>
    <n v="735"/>
    <x v="28"/>
    <x v="24"/>
    <x v="44"/>
    <x v="45"/>
    <x v="6"/>
    <n v="3.4"/>
    <x v="2"/>
    <n v="16.7"/>
    <x v="2"/>
    <n v="3.52"/>
    <x v="0"/>
    <n v="0.54"/>
  </r>
  <r>
    <n v="736"/>
    <x v="9"/>
    <x v="18"/>
    <x v="49"/>
    <x v="52"/>
    <x v="55"/>
    <n v="3.24"/>
    <x v="0"/>
    <n v="16.600000000000001"/>
    <x v="2"/>
    <n v="3.52"/>
    <x v="0"/>
    <n v="0.46"/>
  </r>
  <r>
    <n v="737"/>
    <x v="35"/>
    <x v="12"/>
    <x v="43"/>
    <x v="51"/>
    <x v="52"/>
    <n v="2.8"/>
    <x v="1"/>
    <n v="14.100000000000001"/>
    <x v="0"/>
    <n v="1.55"/>
    <x v="0"/>
    <n v="0.41"/>
  </r>
  <r>
    <n v="738"/>
    <x v="19"/>
    <x v="30"/>
    <x v="34"/>
    <x v="54"/>
    <x v="65"/>
    <n v="3.1"/>
    <x v="0"/>
    <n v="15.899999999999999"/>
    <x v="2"/>
    <n v="2.95"/>
    <x v="0"/>
    <n v="0.45"/>
  </r>
  <r>
    <n v="739"/>
    <x v="29"/>
    <x v="11"/>
    <x v="12"/>
    <x v="35"/>
    <x v="71"/>
    <n v="3.48"/>
    <x v="2"/>
    <n v="17.200000000000003"/>
    <x v="2"/>
    <n v="3.37"/>
    <x v="0"/>
    <n v="0.48"/>
  </r>
  <r>
    <n v="740"/>
    <x v="28"/>
    <x v="21"/>
    <x v="32"/>
    <x v="25"/>
    <x v="76"/>
    <n v="3.3"/>
    <x v="2"/>
    <n v="17.100000000000001"/>
    <x v="2"/>
    <n v="3.42"/>
    <x v="0"/>
    <n v="0.53"/>
  </r>
  <r>
    <n v="741"/>
    <x v="26"/>
    <x v="29"/>
    <x v="20"/>
    <x v="50"/>
    <x v="46"/>
    <n v="2.71"/>
    <x v="1"/>
    <n v="16.899999999999999"/>
    <x v="0"/>
    <n v="2.04"/>
    <x v="0"/>
    <n v="0.33"/>
  </r>
  <r>
    <n v="742"/>
    <x v="49"/>
    <x v="5"/>
    <x v="24"/>
    <x v="55"/>
    <x v="54"/>
    <n v="3.09"/>
    <x v="2"/>
    <n v="18.2"/>
    <x v="2"/>
    <n v="2.7"/>
    <x v="0"/>
    <n v="0.38"/>
  </r>
  <r>
    <n v="743"/>
    <x v="8"/>
    <x v="13"/>
    <x v="24"/>
    <x v="46"/>
    <x v="90"/>
    <n v="2.48"/>
    <x v="2"/>
    <n v="18.2"/>
    <x v="3"/>
    <n v="1.93"/>
    <x v="0"/>
    <n v="0.28999999999999998"/>
  </r>
  <r>
    <n v="744"/>
    <x v="50"/>
    <x v="20"/>
    <x v="8"/>
    <x v="44"/>
    <x v="1"/>
    <n v="3.19"/>
    <x v="0"/>
    <n v="14.200000000000001"/>
    <x v="2"/>
    <n v="2.82"/>
    <x v="0"/>
    <n v="0.53"/>
  </r>
  <r>
    <n v="745"/>
    <x v="33"/>
    <x v="26"/>
    <x v="30"/>
    <x v="44"/>
    <x v="31"/>
    <n v="3.16"/>
    <x v="2"/>
    <n v="14.400000000000002"/>
    <x v="2"/>
    <n v="4.13"/>
    <x v="0"/>
    <n v="0.65"/>
  </r>
  <r>
    <n v="746"/>
    <x v="16"/>
    <x v="3"/>
    <x v="22"/>
    <x v="15"/>
    <x v="65"/>
    <n v="3.66"/>
    <x v="2"/>
    <n v="15.600000000000001"/>
    <x v="1"/>
    <n v="3.28"/>
    <x v="0"/>
    <n v="0.56000000000000005"/>
  </r>
  <r>
    <n v="747"/>
    <x v="39"/>
    <x v="10"/>
    <x v="10"/>
    <x v="55"/>
    <x v="9"/>
    <n v="3.55"/>
    <x v="2"/>
    <n v="18.3"/>
    <x v="1"/>
    <n v="3.14"/>
    <x v="0"/>
    <n v="0.48"/>
  </r>
  <r>
    <n v="748"/>
    <x v="46"/>
    <x v="24"/>
    <x v="30"/>
    <x v="25"/>
    <x v="6"/>
    <n v="3.11"/>
    <x v="0"/>
    <n v="14.399999999999999"/>
    <x v="2"/>
    <n v="2.75"/>
    <x v="0"/>
    <n v="0.5"/>
  </r>
  <r>
    <n v="749"/>
    <x v="48"/>
    <x v="35"/>
    <x v="21"/>
    <x v="16"/>
    <x v="98"/>
    <n v="3.02"/>
    <x v="2"/>
    <n v="16.399999999999999"/>
    <x v="2"/>
    <n v="3.52"/>
    <x v="0"/>
    <n v="0.56000000000000005"/>
  </r>
  <r>
    <n v="750"/>
    <x v="8"/>
    <x v="8"/>
    <x v="50"/>
    <x v="48"/>
    <x v="53"/>
    <n v="2.93"/>
    <x v="2"/>
    <n v="19"/>
    <x v="0"/>
    <n v="2.52"/>
    <x v="0"/>
    <n v="0.27"/>
  </r>
  <r>
    <n v="751"/>
    <x v="42"/>
    <x v="37"/>
    <x v="26"/>
    <x v="25"/>
    <x v="23"/>
    <n v="3.68"/>
    <x v="2"/>
    <n v="15.4"/>
    <x v="1"/>
    <n v="4"/>
    <x v="0"/>
    <n v="0.64"/>
  </r>
  <r>
    <n v="752"/>
    <x v="10"/>
    <x v="37"/>
    <x v="15"/>
    <x v="43"/>
    <x v="12"/>
    <n v="3.57"/>
    <x v="2"/>
    <n v="15.099999999999998"/>
    <x v="1"/>
    <n v="4.0199999999999996"/>
    <x v="0"/>
    <n v="0.64"/>
  </r>
  <r>
    <n v="753"/>
    <x v="43"/>
    <x v="18"/>
    <x v="1"/>
    <x v="42"/>
    <x v="30"/>
    <n v="3.35"/>
    <x v="2"/>
    <n v="16"/>
    <x v="2"/>
    <n v="4.29"/>
    <x v="0"/>
    <n v="0.62"/>
  </r>
  <r>
    <n v="754"/>
    <x v="10"/>
    <x v="5"/>
    <x v="34"/>
    <x v="2"/>
    <x v="6"/>
    <n v="3.53"/>
    <x v="2"/>
    <n v="15.899999999999999"/>
    <x v="1"/>
    <n v="4.1399999999999997"/>
    <x v="0"/>
    <n v="0.61"/>
  </r>
  <r>
    <n v="755"/>
    <x v="3"/>
    <x v="9"/>
    <x v="20"/>
    <x v="43"/>
    <x v="85"/>
    <n v="2.91"/>
    <x v="0"/>
    <n v="16.899999999999999"/>
    <x v="0"/>
    <n v="3.08"/>
    <x v="0"/>
    <n v="0.38"/>
  </r>
  <r>
    <n v="756"/>
    <x v="16"/>
    <x v="7"/>
    <x v="38"/>
    <x v="52"/>
    <x v="34"/>
    <n v="3.08"/>
    <x v="2"/>
    <n v="18.600000000000001"/>
    <x v="2"/>
    <n v="2.83"/>
    <x v="0"/>
    <n v="0.47"/>
  </r>
  <r>
    <n v="757"/>
    <x v="26"/>
    <x v="18"/>
    <x v="27"/>
    <x v="26"/>
    <x v="3"/>
    <n v="2.73"/>
    <x v="1"/>
    <n v="15.7"/>
    <x v="0"/>
    <n v="2.82"/>
    <x v="0"/>
    <n v="0.35"/>
  </r>
  <r>
    <n v="758"/>
    <x v="2"/>
    <x v="10"/>
    <x v="43"/>
    <x v="44"/>
    <x v="8"/>
    <n v="2.64"/>
    <x v="1"/>
    <n v="14.1"/>
    <x v="0"/>
    <n v="1.99"/>
    <x v="0"/>
    <n v="0.36"/>
  </r>
  <r>
    <n v="759"/>
    <x v="25"/>
    <x v="1"/>
    <x v="30"/>
    <x v="15"/>
    <x v="65"/>
    <n v="2.5499999999999998"/>
    <x v="0"/>
    <n v="14.399999999999999"/>
    <x v="0"/>
    <n v="1.84"/>
    <x v="0"/>
    <n v="0.43"/>
  </r>
  <r>
    <n v="760"/>
    <x v="2"/>
    <x v="32"/>
    <x v="16"/>
    <x v="59"/>
    <x v="53"/>
    <n v="3.03"/>
    <x v="2"/>
    <n v="18.899999999999999"/>
    <x v="2"/>
    <n v="1.86"/>
    <x v="0"/>
    <n v="0.27"/>
  </r>
  <r>
    <n v="761"/>
    <x v="3"/>
    <x v="39"/>
    <x v="31"/>
    <x v="52"/>
    <x v="87"/>
    <n v="2.98"/>
    <x v="0"/>
    <n v="16.100000000000001"/>
    <x v="0"/>
    <n v="3.28"/>
    <x v="0"/>
    <n v="0.4"/>
  </r>
  <r>
    <n v="762"/>
    <x v="11"/>
    <x v="27"/>
    <x v="33"/>
    <x v="32"/>
    <x v="1"/>
    <n v="3.05"/>
    <x v="0"/>
    <n v="17.600000000000001"/>
    <x v="2"/>
    <n v="1.78"/>
    <x v="0"/>
    <n v="0.36"/>
  </r>
  <r>
    <n v="763"/>
    <x v="0"/>
    <x v="9"/>
    <x v="5"/>
    <x v="20"/>
    <x v="87"/>
    <n v="3.12"/>
    <x v="2"/>
    <n v="18.700000000000003"/>
    <x v="2"/>
    <n v="2.63"/>
    <x v="0"/>
    <n v="0.37"/>
  </r>
  <r>
    <n v="764"/>
    <x v="22"/>
    <x v="22"/>
    <x v="9"/>
    <x v="54"/>
    <x v="36"/>
    <n v="3.01"/>
    <x v="0"/>
    <n v="14.899999999999999"/>
    <x v="2"/>
    <n v="2.5299999999999998"/>
    <x v="0"/>
    <n v="0.41"/>
  </r>
  <r>
    <n v="765"/>
    <x v="26"/>
    <x v="6"/>
    <x v="23"/>
    <x v="21"/>
    <x v="11"/>
    <n v="2.2400000000000002"/>
    <x v="1"/>
    <n v="17.3"/>
    <x v="3"/>
    <n v="1.71"/>
    <x v="0"/>
    <n v="0.32"/>
  </r>
  <r>
    <n v="766"/>
    <x v="14"/>
    <x v="37"/>
    <x v="21"/>
    <x v="43"/>
    <x v="77"/>
    <n v="2.93"/>
    <x v="0"/>
    <n v="16.399999999999999"/>
    <x v="0"/>
    <n v="3.25"/>
    <x v="0"/>
    <n v="0.41"/>
  </r>
  <r>
    <n v="767"/>
    <x v="31"/>
    <x v="16"/>
    <x v="45"/>
    <x v="17"/>
    <x v="61"/>
    <n v="3.09"/>
    <x v="0"/>
    <n v="15.200000000000001"/>
    <x v="2"/>
    <n v="3.03"/>
    <x v="0"/>
    <n v="0.52"/>
  </r>
  <r>
    <n v="768"/>
    <x v="23"/>
    <x v="37"/>
    <x v="22"/>
    <x v="5"/>
    <x v="81"/>
    <n v="2.88"/>
    <x v="0"/>
    <n v="15.600000000000001"/>
    <x v="0"/>
    <n v="3.45"/>
    <x v="0"/>
    <n v="0.44"/>
  </r>
  <r>
    <n v="769"/>
    <x v="8"/>
    <x v="37"/>
    <x v="11"/>
    <x v="2"/>
    <x v="26"/>
    <n v="2.52"/>
    <x v="1"/>
    <n v="15.5"/>
    <x v="0"/>
    <n v="3.01"/>
    <x v="0"/>
    <n v="0.34"/>
  </r>
  <r>
    <n v="770"/>
    <x v="33"/>
    <x v="7"/>
    <x v="4"/>
    <x v="43"/>
    <x v="61"/>
    <n v="3.57"/>
    <x v="2"/>
    <n v="17.5"/>
    <x v="1"/>
    <n v="3.56"/>
    <x v="0"/>
    <n v="0.54"/>
  </r>
  <r>
    <n v="771"/>
    <x v="19"/>
    <x v="19"/>
    <x v="22"/>
    <x v="55"/>
    <x v="52"/>
    <n v="3.26"/>
    <x v="0"/>
    <n v="15.6"/>
    <x v="2"/>
    <n v="2.7"/>
    <x v="0"/>
    <n v="0.46"/>
  </r>
  <r>
    <n v="772"/>
    <x v="49"/>
    <x v="4"/>
    <x v="0"/>
    <x v="4"/>
    <x v="54"/>
    <n v="3.15"/>
    <x v="0"/>
    <n v="15.3"/>
    <x v="2"/>
    <n v="2.94"/>
    <x v="0"/>
    <n v="0.46"/>
  </r>
  <r>
    <n v="773"/>
    <x v="7"/>
    <x v="8"/>
    <x v="38"/>
    <x v="49"/>
    <x v="60"/>
    <n v="3.44"/>
    <x v="2"/>
    <n v="18.600000000000001"/>
    <x v="2"/>
    <n v="3.21"/>
    <x v="0"/>
    <n v="0.45"/>
  </r>
  <r>
    <n v="774"/>
    <x v="32"/>
    <x v="28"/>
    <x v="44"/>
    <x v="40"/>
    <x v="52"/>
    <n v="3.76"/>
    <x v="2"/>
    <n v="16.7"/>
    <x v="1"/>
    <n v="3.57"/>
    <x v="0"/>
    <n v="0.56000000000000005"/>
  </r>
  <r>
    <n v="775"/>
    <x v="19"/>
    <x v="13"/>
    <x v="23"/>
    <x v="30"/>
    <x v="43"/>
    <n v="2.99"/>
    <x v="0"/>
    <n v="17.299999999999997"/>
    <x v="0"/>
    <n v="2.31"/>
    <x v="0"/>
    <n v="0.41"/>
  </r>
  <r>
    <n v="776"/>
    <x v="10"/>
    <x v="27"/>
    <x v="9"/>
    <x v="22"/>
    <x v="25"/>
    <n v="3.54"/>
    <x v="2"/>
    <n v="14.9"/>
    <x v="1"/>
    <n v="4.05"/>
    <x v="0"/>
    <n v="0.65"/>
  </r>
  <r>
    <n v="777"/>
    <x v="13"/>
    <x v="18"/>
    <x v="9"/>
    <x v="39"/>
    <x v="42"/>
    <n v="3.14"/>
    <x v="2"/>
    <n v="14.899999999999999"/>
    <x v="2"/>
    <n v="4.33"/>
    <x v="0"/>
    <n v="0.6"/>
  </r>
  <r>
    <n v="778"/>
    <x v="16"/>
    <x v="19"/>
    <x v="41"/>
    <x v="19"/>
    <x v="17"/>
    <n v="3.18"/>
    <x v="2"/>
    <n v="14.700000000000001"/>
    <x v="2"/>
    <n v="3.83"/>
    <x v="0"/>
    <n v="0.6"/>
  </r>
  <r>
    <n v="779"/>
    <x v="41"/>
    <x v="2"/>
    <x v="22"/>
    <x v="41"/>
    <x v="88"/>
    <n v="3.08"/>
    <x v="1"/>
    <n v="15.6"/>
    <x v="2"/>
    <n v="2.06"/>
    <x v="0"/>
    <n v="0.36"/>
  </r>
  <r>
    <n v="780"/>
    <x v="6"/>
    <x v="21"/>
    <x v="22"/>
    <x v="7"/>
    <x v="19"/>
    <n v="2.96"/>
    <x v="0"/>
    <n v="15.600000000000001"/>
    <x v="0"/>
    <n v="2.75"/>
    <x v="0"/>
    <n v="0.51"/>
  </r>
  <r>
    <n v="781"/>
    <x v="19"/>
    <x v="8"/>
    <x v="45"/>
    <x v="25"/>
    <x v="40"/>
    <n v="2.85"/>
    <x v="0"/>
    <n v="15.2"/>
    <x v="0"/>
    <n v="3.01"/>
    <x v="0"/>
    <n v="0.47"/>
  </r>
  <r>
    <n v="782"/>
    <x v="4"/>
    <x v="15"/>
    <x v="18"/>
    <x v="53"/>
    <x v="55"/>
    <n v="3.37"/>
    <x v="2"/>
    <n v="17.899999999999999"/>
    <x v="2"/>
    <n v="3.45"/>
    <x v="0"/>
    <n v="0.45"/>
  </r>
  <r>
    <n v="783"/>
    <x v="47"/>
    <x v="21"/>
    <x v="2"/>
    <x v="5"/>
    <x v="55"/>
    <n v="2.69"/>
    <x v="1"/>
    <n v="14.8"/>
    <x v="0"/>
    <n v="2.86"/>
    <x v="0"/>
    <n v="0.39"/>
  </r>
  <r>
    <n v="784"/>
    <x v="36"/>
    <x v="26"/>
    <x v="23"/>
    <x v="0"/>
    <x v="63"/>
    <n v="3.36"/>
    <x v="0"/>
    <n v="17.3"/>
    <x v="2"/>
    <n v="2.08"/>
    <x v="0"/>
    <n v="0.43"/>
  </r>
  <r>
    <n v="785"/>
    <x v="2"/>
    <x v="11"/>
    <x v="7"/>
    <x v="39"/>
    <x v="109"/>
    <n v="2.5499999999999998"/>
    <x v="1"/>
    <n v="17.7"/>
    <x v="0"/>
    <n v="5.6"/>
    <x v="0"/>
    <n v="0.28999999999999998"/>
  </r>
  <r>
    <n v="786"/>
    <x v="9"/>
    <x v="5"/>
    <x v="4"/>
    <x v="8"/>
    <x v="43"/>
    <n v="3.54"/>
    <x v="0"/>
    <n v="17.5"/>
    <x v="1"/>
    <n v="2.9"/>
    <x v="0"/>
    <n v="0.44"/>
  </r>
  <r>
    <n v="787"/>
    <x v="42"/>
    <x v="39"/>
    <x v="17"/>
    <x v="20"/>
    <x v="20"/>
    <n v="3.47"/>
    <x v="2"/>
    <n v="14.5"/>
    <x v="2"/>
    <n v="4.24"/>
    <x v="0"/>
    <n v="0.68"/>
  </r>
  <r>
    <n v="788"/>
    <x v="1"/>
    <x v="31"/>
    <x v="1"/>
    <x v="15"/>
    <x v="73"/>
    <n v="3.37"/>
    <x v="1"/>
    <n v="16"/>
    <x v="2"/>
    <n v="3.52"/>
    <x v="0"/>
    <n v="0.33"/>
  </r>
  <r>
    <n v="789"/>
    <x v="20"/>
    <x v="37"/>
    <x v="10"/>
    <x v="33"/>
    <x v="12"/>
    <n v="3.49"/>
    <x v="2"/>
    <n v="18.3"/>
    <x v="2"/>
    <n v="3.53"/>
    <x v="0"/>
    <n v="0.52"/>
  </r>
  <r>
    <n v="790"/>
    <x v="40"/>
    <x v="7"/>
    <x v="28"/>
    <x v="15"/>
    <x v="38"/>
    <n v="2.9"/>
    <x v="2"/>
    <n v="15"/>
    <x v="0"/>
    <n v="3.36"/>
    <x v="0"/>
    <n v="0.56999999999999995"/>
  </r>
  <r>
    <n v="791"/>
    <x v="7"/>
    <x v="0"/>
    <x v="4"/>
    <x v="60"/>
    <x v="71"/>
    <n v="3.08"/>
    <x v="2"/>
    <n v="17.5"/>
    <x v="2"/>
    <n v="3.49"/>
    <x v="0"/>
    <n v="0.48"/>
  </r>
  <r>
    <n v="792"/>
    <x v="29"/>
    <x v="25"/>
    <x v="1"/>
    <x v="28"/>
    <x v="43"/>
    <n v="3.1"/>
    <x v="2"/>
    <n v="16"/>
    <x v="2"/>
    <n v="3.52"/>
    <x v="0"/>
    <n v="0.52"/>
  </r>
  <r>
    <n v="793"/>
    <x v="15"/>
    <x v="17"/>
    <x v="27"/>
    <x v="51"/>
    <x v="23"/>
    <n v="3.11"/>
    <x v="2"/>
    <n v="15.700000000000001"/>
    <x v="2"/>
    <n v="3.22"/>
    <x v="0"/>
    <n v="0.55000000000000004"/>
  </r>
  <r>
    <n v="794"/>
    <x v="26"/>
    <x v="10"/>
    <x v="30"/>
    <x v="26"/>
    <x v="30"/>
    <n v="2.75"/>
    <x v="1"/>
    <n v="14.4"/>
    <x v="0"/>
    <n v="1.44"/>
    <x v="1"/>
    <n v="0.38"/>
  </r>
  <r>
    <n v="795"/>
    <x v="26"/>
    <x v="37"/>
    <x v="26"/>
    <x v="59"/>
    <x v="67"/>
    <n v="2.64"/>
    <x v="1"/>
    <n v="15.4"/>
    <x v="0"/>
    <n v="1.69"/>
    <x v="0"/>
    <n v="0.36"/>
  </r>
  <r>
    <n v="796"/>
    <x v="45"/>
    <x v="18"/>
    <x v="25"/>
    <x v="41"/>
    <x v="11"/>
    <n v="3.22"/>
    <x v="0"/>
    <n v="16.3"/>
    <x v="2"/>
    <n v="2.73"/>
    <x v="0"/>
    <n v="0.39"/>
  </r>
  <r>
    <n v="797"/>
    <x v="42"/>
    <x v="32"/>
    <x v="21"/>
    <x v="53"/>
    <x v="29"/>
    <n v="3.04"/>
    <x v="2"/>
    <n v="16.400000000000002"/>
    <x v="2"/>
    <n v="4.0599999999999996"/>
    <x v="0"/>
    <n v="0.6"/>
  </r>
  <r>
    <n v="798"/>
    <x v="6"/>
    <x v="37"/>
    <x v="47"/>
    <x v="17"/>
    <x v="5"/>
    <n v="3.38"/>
    <x v="0"/>
    <n v="17.799999999999997"/>
    <x v="2"/>
    <n v="3.89"/>
    <x v="0"/>
    <n v="0.45"/>
  </r>
  <r>
    <n v="799"/>
    <x v="18"/>
    <x v="31"/>
    <x v="46"/>
    <x v="48"/>
    <x v="7"/>
    <n v="3.27"/>
    <x v="2"/>
    <n v="18.100000000000001"/>
    <x v="2"/>
    <n v="2.81"/>
    <x v="0"/>
    <n v="0.36"/>
  </r>
  <r>
    <n v="800"/>
    <x v="33"/>
    <x v="36"/>
    <x v="31"/>
    <x v="4"/>
    <x v="31"/>
    <n v="2.91"/>
    <x v="2"/>
    <n v="16.100000000000001"/>
    <x v="0"/>
    <n v="3.86"/>
    <x v="0"/>
    <n v="0.57999999999999996"/>
  </r>
  <r>
    <n v="801"/>
    <x v="18"/>
    <x v="28"/>
    <x v="37"/>
    <x v="8"/>
    <x v="7"/>
    <n v="2.76"/>
    <x v="0"/>
    <n v="17"/>
    <x v="0"/>
    <n v="2.29"/>
    <x v="0"/>
    <n v="0.39"/>
  </r>
  <r>
    <n v="802"/>
    <x v="47"/>
    <x v="25"/>
    <x v="6"/>
    <x v="38"/>
    <x v="24"/>
    <n v="3.08"/>
    <x v="2"/>
    <n v="18.399999999999999"/>
    <x v="2"/>
    <n v="1.94"/>
    <x v="0"/>
    <n v="0.31"/>
  </r>
  <r>
    <n v="803"/>
    <x v="40"/>
    <x v="27"/>
    <x v="45"/>
    <x v="30"/>
    <x v="31"/>
    <n v="3.63"/>
    <x v="2"/>
    <n v="15.200000000000001"/>
    <x v="1"/>
    <n v="3.37"/>
    <x v="0"/>
    <n v="0.56000000000000005"/>
  </r>
  <r>
    <n v="804"/>
    <x v="4"/>
    <x v="5"/>
    <x v="16"/>
    <x v="3"/>
    <x v="14"/>
    <n v="3.21"/>
    <x v="2"/>
    <n v="18.899999999999999"/>
    <x v="2"/>
    <n v="4.09"/>
    <x v="0"/>
    <n v="0.43"/>
  </r>
  <r>
    <n v="805"/>
    <x v="46"/>
    <x v="25"/>
    <x v="2"/>
    <x v="43"/>
    <x v="80"/>
    <n v="3.07"/>
    <x v="0"/>
    <n v="14.799999999999999"/>
    <x v="2"/>
    <n v="2.65"/>
    <x v="0"/>
    <n v="0.49"/>
  </r>
  <r>
    <n v="806"/>
    <x v="31"/>
    <x v="9"/>
    <x v="38"/>
    <x v="5"/>
    <x v="84"/>
    <n v="2.99"/>
    <x v="2"/>
    <n v="18.600000000000001"/>
    <x v="0"/>
    <n v="4"/>
    <x v="0"/>
    <n v="0.42"/>
  </r>
  <r>
    <n v="807"/>
    <x v="26"/>
    <x v="32"/>
    <x v="25"/>
    <x v="25"/>
    <x v="77"/>
    <n v="3.05"/>
    <x v="1"/>
    <n v="16.299999999999997"/>
    <x v="2"/>
    <n v="2.68"/>
    <x v="0"/>
    <n v="0.34"/>
  </r>
  <r>
    <n v="808"/>
    <x v="8"/>
    <x v="14"/>
    <x v="22"/>
    <x v="18"/>
    <x v="81"/>
    <n v="2.88"/>
    <x v="1"/>
    <n v="15.6"/>
    <x v="0"/>
    <n v="2.59"/>
    <x v="0"/>
    <n v="0.33"/>
  </r>
  <r>
    <n v="809"/>
    <x v="3"/>
    <x v="25"/>
    <x v="17"/>
    <x v="9"/>
    <x v="88"/>
    <n v="3.29"/>
    <x v="0"/>
    <n v="14.5"/>
    <x v="2"/>
    <n v="2.39"/>
    <x v="0"/>
    <n v="0.45"/>
  </r>
  <r>
    <n v="810"/>
    <x v="23"/>
    <x v="12"/>
    <x v="44"/>
    <x v="27"/>
    <x v="44"/>
    <n v="3.13"/>
    <x v="0"/>
    <n v="16.7"/>
    <x v="2"/>
    <n v="2.76"/>
    <x v="0"/>
    <n v="0.41"/>
  </r>
  <r>
    <n v="811"/>
    <x v="40"/>
    <x v="9"/>
    <x v="12"/>
    <x v="57"/>
    <x v="88"/>
    <n v="3.07"/>
    <x v="2"/>
    <n v="17.2"/>
    <x v="2"/>
    <n v="3.39"/>
    <x v="0"/>
    <n v="0.49"/>
  </r>
  <r>
    <n v="812"/>
    <x v="7"/>
    <x v="37"/>
    <x v="45"/>
    <x v="52"/>
    <x v="12"/>
    <n v="3.51"/>
    <x v="2"/>
    <n v="15.2"/>
    <x v="1"/>
    <n v="3.11"/>
    <x v="0"/>
    <n v="0.55000000000000004"/>
  </r>
  <r>
    <n v="813"/>
    <x v="19"/>
    <x v="26"/>
    <x v="7"/>
    <x v="14"/>
    <x v="44"/>
    <n v="3.15"/>
    <x v="0"/>
    <n v="17.7"/>
    <x v="2"/>
    <n v="2.87"/>
    <x v="0"/>
    <n v="0.4"/>
  </r>
  <r>
    <n v="814"/>
    <x v="0"/>
    <x v="39"/>
    <x v="23"/>
    <x v="7"/>
    <x v="85"/>
    <n v="3.05"/>
    <x v="0"/>
    <n v="17.3"/>
    <x v="2"/>
    <n v="3.35"/>
    <x v="0"/>
    <n v="0.4"/>
  </r>
  <r>
    <n v="815"/>
    <x v="35"/>
    <x v="12"/>
    <x v="40"/>
    <x v="10"/>
    <x v="60"/>
    <n v="2.64"/>
    <x v="1"/>
    <n v="14"/>
    <x v="0"/>
    <n v="1.56"/>
    <x v="0"/>
    <n v="0.41"/>
  </r>
  <r>
    <n v="816"/>
    <x v="41"/>
    <x v="1"/>
    <x v="20"/>
    <x v="29"/>
    <x v="54"/>
    <n v="2.5"/>
    <x v="1"/>
    <n v="16.899999999999999"/>
    <x v="0"/>
    <n v="1.61"/>
    <x v="0"/>
    <n v="0.33"/>
  </r>
  <r>
    <n v="817"/>
    <x v="29"/>
    <x v="6"/>
    <x v="19"/>
    <x v="53"/>
    <x v="71"/>
    <n v="3.33"/>
    <x v="2"/>
    <n v="15.8"/>
    <x v="2"/>
    <n v="3.56"/>
    <x v="0"/>
    <n v="0.53"/>
  </r>
  <r>
    <n v="818"/>
    <x v="35"/>
    <x v="35"/>
    <x v="1"/>
    <x v="38"/>
    <x v="11"/>
    <n v="2.9"/>
    <x v="1"/>
    <n v="16"/>
    <x v="0"/>
    <n v="1.69"/>
    <x v="0"/>
    <n v="0.36"/>
  </r>
  <r>
    <n v="819"/>
    <x v="49"/>
    <x v="29"/>
    <x v="6"/>
    <x v="52"/>
    <x v="5"/>
    <n v="3.15"/>
    <x v="2"/>
    <n v="18.399999999999999"/>
    <x v="2"/>
    <n v="3.15"/>
    <x v="0"/>
    <n v="0.38"/>
  </r>
  <r>
    <n v="820"/>
    <x v="5"/>
    <x v="39"/>
    <x v="48"/>
    <x v="26"/>
    <x v="55"/>
    <n v="2.75"/>
    <x v="0"/>
    <n v="16.200000000000003"/>
    <x v="0"/>
    <n v="2.85"/>
    <x v="0"/>
    <n v="0.37"/>
  </r>
  <r>
    <n v="821"/>
    <x v="33"/>
    <x v="32"/>
    <x v="23"/>
    <x v="9"/>
    <x v="25"/>
    <n v="3.25"/>
    <x v="2"/>
    <n v="17.3"/>
    <x v="2"/>
    <n v="3.66"/>
    <x v="0"/>
    <n v="0.54"/>
  </r>
  <r>
    <n v="822"/>
    <x v="44"/>
    <x v="7"/>
    <x v="37"/>
    <x v="3"/>
    <x v="29"/>
    <n v="3.19"/>
    <x v="0"/>
    <n v="17"/>
    <x v="2"/>
    <n v="2.56"/>
    <x v="0"/>
    <n v="0.46"/>
  </r>
  <r>
    <n v="823"/>
    <x v="47"/>
    <x v="4"/>
    <x v="3"/>
    <x v="26"/>
    <x v="81"/>
    <n v="2.96"/>
    <x v="1"/>
    <n v="16.8"/>
    <x v="0"/>
    <n v="2.76"/>
    <x v="0"/>
    <n v="0.34"/>
  </r>
  <r>
    <n v="824"/>
    <x v="28"/>
    <x v="11"/>
    <x v="49"/>
    <x v="23"/>
    <x v="63"/>
    <n v="3.66"/>
    <x v="2"/>
    <n v="16.599999999999998"/>
    <x v="1"/>
    <n v="3.65"/>
    <x v="0"/>
    <n v="0.55000000000000004"/>
  </r>
  <r>
    <n v="825"/>
    <x v="28"/>
    <x v="34"/>
    <x v="33"/>
    <x v="41"/>
    <x v="56"/>
    <n v="3.45"/>
    <x v="2"/>
    <n v="17.599999999999998"/>
    <x v="2"/>
    <n v="3.7"/>
    <x v="0"/>
    <n v="0.52"/>
  </r>
  <r>
    <n v="826"/>
    <x v="31"/>
    <x v="26"/>
    <x v="22"/>
    <x v="31"/>
    <x v="15"/>
    <n v="2.68"/>
    <x v="0"/>
    <n v="15.600000000000001"/>
    <x v="0"/>
    <n v="2.79"/>
    <x v="0"/>
    <n v="0.51"/>
  </r>
  <r>
    <n v="827"/>
    <x v="21"/>
    <x v="0"/>
    <x v="16"/>
    <x v="48"/>
    <x v="10"/>
    <n v="3.22"/>
    <x v="2"/>
    <n v="18.900000000000002"/>
    <x v="2"/>
    <n v="3.7"/>
    <x v="0"/>
    <n v="0.48"/>
  </r>
  <r>
    <n v="828"/>
    <x v="46"/>
    <x v="12"/>
    <x v="32"/>
    <x v="5"/>
    <x v="87"/>
    <n v="3"/>
    <x v="0"/>
    <n v="17.100000000000001"/>
    <x v="2"/>
    <n v="3.4"/>
    <x v="0"/>
    <n v="0.42"/>
  </r>
  <r>
    <n v="829"/>
    <x v="6"/>
    <x v="7"/>
    <x v="32"/>
    <x v="2"/>
    <x v="6"/>
    <n v="3.08"/>
    <x v="0"/>
    <n v="17.099999999999998"/>
    <x v="2"/>
    <n v="2.82"/>
    <x v="0"/>
    <n v="0.47"/>
  </r>
  <r>
    <n v="830"/>
    <x v="28"/>
    <x v="10"/>
    <x v="31"/>
    <x v="22"/>
    <x v="75"/>
    <n v="3.35"/>
    <x v="2"/>
    <n v="16.099999999999998"/>
    <x v="2"/>
    <n v="3.48"/>
    <x v="0"/>
    <n v="0.56999999999999995"/>
  </r>
  <r>
    <n v="831"/>
    <x v="21"/>
    <x v="9"/>
    <x v="9"/>
    <x v="29"/>
    <x v="89"/>
    <n v="3.44"/>
    <x v="2"/>
    <n v="14.9"/>
    <x v="2"/>
    <n v="3.54"/>
    <x v="0"/>
    <n v="0.6"/>
  </r>
  <r>
    <n v="832"/>
    <x v="19"/>
    <x v="0"/>
    <x v="25"/>
    <x v="35"/>
    <x v="15"/>
    <n v="3.33"/>
    <x v="0"/>
    <n v="16.3"/>
    <x v="2"/>
    <n v="2.14"/>
    <x v="0"/>
    <n v="0.44"/>
  </r>
  <r>
    <n v="833"/>
    <x v="22"/>
    <x v="25"/>
    <x v="31"/>
    <x v="27"/>
    <x v="55"/>
    <n v="2.94"/>
    <x v="0"/>
    <n v="16.100000000000001"/>
    <x v="0"/>
    <n v="2.63"/>
    <x v="0"/>
    <n v="0.38"/>
  </r>
  <r>
    <n v="834"/>
    <x v="16"/>
    <x v="3"/>
    <x v="18"/>
    <x v="8"/>
    <x v="1"/>
    <n v="3.2"/>
    <x v="2"/>
    <n v="17.899999999999999"/>
    <x v="2"/>
    <n v="2.99"/>
    <x v="0"/>
    <n v="0.49"/>
  </r>
  <r>
    <n v="835"/>
    <x v="38"/>
    <x v="6"/>
    <x v="24"/>
    <x v="27"/>
    <x v="110"/>
    <n v="2.71"/>
    <x v="2"/>
    <n v="18.200000000000003"/>
    <x v="0"/>
    <n v="4.03"/>
    <x v="0"/>
    <n v="0.3"/>
  </r>
  <r>
    <n v="836"/>
    <x v="1"/>
    <x v="37"/>
    <x v="21"/>
    <x v="58"/>
    <x v="4"/>
    <n v="2.54"/>
    <x v="1"/>
    <n v="16.399999999999999"/>
    <x v="0"/>
    <n v="2.2599999999999998"/>
    <x v="0"/>
    <n v="0.32"/>
  </r>
  <r>
    <n v="837"/>
    <x v="0"/>
    <x v="23"/>
    <x v="10"/>
    <x v="7"/>
    <x v="64"/>
    <n v="3.37"/>
    <x v="2"/>
    <n v="18.3"/>
    <x v="2"/>
    <n v="1.77"/>
    <x v="0"/>
    <n v="0.38"/>
  </r>
  <r>
    <n v="838"/>
    <x v="33"/>
    <x v="9"/>
    <x v="8"/>
    <x v="28"/>
    <x v="52"/>
    <n v="3.79"/>
    <x v="2"/>
    <n v="14.200000000000001"/>
    <x v="1"/>
    <n v="4.04"/>
    <x v="0"/>
    <n v="0.66"/>
  </r>
  <r>
    <n v="839"/>
    <x v="26"/>
    <x v="39"/>
    <x v="46"/>
    <x v="51"/>
    <x v="32"/>
    <n v="2.74"/>
    <x v="2"/>
    <n v="18.100000000000001"/>
    <x v="0"/>
    <n v="3.8"/>
    <x v="0"/>
    <n v="0.3"/>
  </r>
  <r>
    <n v="840"/>
    <x v="10"/>
    <x v="23"/>
    <x v="4"/>
    <x v="5"/>
    <x v="80"/>
    <n v="3.48"/>
    <x v="2"/>
    <n v="17.5"/>
    <x v="2"/>
    <n v="3.92"/>
    <x v="0"/>
    <n v="0.55000000000000004"/>
  </r>
  <r>
    <n v="841"/>
    <x v="35"/>
    <x v="30"/>
    <x v="6"/>
    <x v="37"/>
    <x v="16"/>
    <n v="2.73"/>
    <x v="2"/>
    <n v="18.399999999999999"/>
    <x v="0"/>
    <n v="3.65"/>
    <x v="0"/>
    <n v="0.32"/>
  </r>
  <r>
    <n v="842"/>
    <x v="24"/>
    <x v="33"/>
    <x v="39"/>
    <x v="39"/>
    <x v="33"/>
    <n v="3.23"/>
    <x v="2"/>
    <n v="14.3"/>
    <x v="2"/>
    <n v="4.34"/>
    <x v="0"/>
    <n v="0.69"/>
  </r>
  <r>
    <n v="843"/>
    <x v="0"/>
    <x v="9"/>
    <x v="38"/>
    <x v="60"/>
    <x v="83"/>
    <n v="3.27"/>
    <x v="2"/>
    <n v="18.600000000000001"/>
    <x v="2"/>
    <n v="4.33"/>
    <x v="0"/>
    <n v="0.37"/>
  </r>
  <r>
    <n v="844"/>
    <x v="19"/>
    <x v="14"/>
    <x v="20"/>
    <x v="28"/>
    <x v="69"/>
    <n v="3.34"/>
    <x v="0"/>
    <n v="16.899999999999999"/>
    <x v="2"/>
    <n v="3.76"/>
    <x v="0"/>
    <n v="0.42"/>
  </r>
  <r>
    <n v="845"/>
    <x v="14"/>
    <x v="5"/>
    <x v="42"/>
    <x v="6"/>
    <x v="91"/>
    <n v="3.31"/>
    <x v="2"/>
    <n v="18.5"/>
    <x v="2"/>
    <n v="2.68"/>
    <x v="0"/>
    <n v="0.36"/>
  </r>
  <r>
    <n v="846"/>
    <x v="18"/>
    <x v="37"/>
    <x v="47"/>
    <x v="17"/>
    <x v="16"/>
    <n v="3.12"/>
    <x v="0"/>
    <n v="17.799999999999997"/>
    <x v="2"/>
    <n v="4.01"/>
    <x v="0"/>
    <n v="0.37"/>
  </r>
  <r>
    <n v="847"/>
    <x v="37"/>
    <x v="16"/>
    <x v="22"/>
    <x v="35"/>
    <x v="74"/>
    <n v="3.05"/>
    <x v="1"/>
    <n v="15.600000000000001"/>
    <x v="2"/>
    <n v="1.33"/>
    <x v="1"/>
    <n v="0.38"/>
  </r>
  <r>
    <n v="848"/>
    <x v="38"/>
    <x v="8"/>
    <x v="23"/>
    <x v="59"/>
    <x v="72"/>
    <n v="2.8"/>
    <x v="1"/>
    <n v="17.299999999999997"/>
    <x v="0"/>
    <n v="2.2200000000000002"/>
    <x v="0"/>
    <n v="0.31"/>
  </r>
  <r>
    <n v="849"/>
    <x v="43"/>
    <x v="19"/>
    <x v="14"/>
    <x v="7"/>
    <x v="35"/>
    <n v="3.4"/>
    <x v="2"/>
    <n v="14.6"/>
    <x v="2"/>
    <n v="4.3600000000000003"/>
    <x v="0"/>
    <n v="0.68"/>
  </r>
  <r>
    <n v="850"/>
    <x v="49"/>
    <x v="2"/>
    <x v="46"/>
    <x v="12"/>
    <x v="75"/>
    <n v="2.78"/>
    <x v="2"/>
    <n v="18.099999999999998"/>
    <x v="0"/>
    <n v="1.92"/>
    <x v="0"/>
    <n v="0.39"/>
  </r>
  <r>
    <n v="851"/>
    <x v="14"/>
    <x v="20"/>
    <x v="20"/>
    <x v="38"/>
    <x v="34"/>
    <n v="3.09"/>
    <x v="0"/>
    <n v="16.899999999999999"/>
    <x v="2"/>
    <n v="1.69"/>
    <x v="0"/>
    <n v="0.4"/>
  </r>
  <r>
    <n v="852"/>
    <x v="32"/>
    <x v="39"/>
    <x v="11"/>
    <x v="44"/>
    <x v="7"/>
    <n v="3.49"/>
    <x v="2"/>
    <n v="15.5"/>
    <x v="2"/>
    <n v="4.25"/>
    <x v="0"/>
    <n v="0.6"/>
  </r>
  <r>
    <n v="853"/>
    <x v="19"/>
    <x v="9"/>
    <x v="37"/>
    <x v="37"/>
    <x v="2"/>
    <n v="2.87"/>
    <x v="0"/>
    <n v="17"/>
    <x v="0"/>
    <n v="2.14"/>
    <x v="0"/>
    <n v="0.42"/>
  </r>
  <r>
    <n v="854"/>
    <x v="47"/>
    <x v="4"/>
    <x v="39"/>
    <x v="46"/>
    <x v="65"/>
    <n v="3.18"/>
    <x v="1"/>
    <n v="14.3"/>
    <x v="2"/>
    <n v="2.39"/>
    <x v="0"/>
    <n v="0.4"/>
  </r>
  <r>
    <n v="855"/>
    <x v="30"/>
    <x v="36"/>
    <x v="29"/>
    <x v="16"/>
    <x v="47"/>
    <n v="3.39"/>
    <x v="2"/>
    <n v="18"/>
    <x v="2"/>
    <n v="3.47"/>
    <x v="0"/>
    <n v="0.53"/>
  </r>
  <r>
    <n v="856"/>
    <x v="19"/>
    <x v="29"/>
    <x v="1"/>
    <x v="38"/>
    <x v="49"/>
    <n v="3.48"/>
    <x v="0"/>
    <n v="16"/>
    <x v="2"/>
    <n v="2.35"/>
    <x v="0"/>
    <n v="0.44"/>
  </r>
  <r>
    <n v="857"/>
    <x v="35"/>
    <x v="35"/>
    <x v="48"/>
    <x v="30"/>
    <x v="43"/>
    <n v="3.01"/>
    <x v="1"/>
    <n v="16.2"/>
    <x v="2"/>
    <n v="1.75"/>
    <x v="0"/>
    <n v="0.36"/>
  </r>
  <r>
    <n v="858"/>
    <x v="2"/>
    <x v="29"/>
    <x v="15"/>
    <x v="30"/>
    <x v="7"/>
    <n v="2.6"/>
    <x v="1"/>
    <n v="15.100000000000001"/>
    <x v="0"/>
    <n v="1.79"/>
    <x v="0"/>
    <n v="0.34"/>
  </r>
  <r>
    <n v="859"/>
    <x v="45"/>
    <x v="27"/>
    <x v="48"/>
    <x v="12"/>
    <x v="36"/>
    <n v="3.08"/>
    <x v="0"/>
    <n v="16.2"/>
    <x v="2"/>
    <n v="1.85"/>
    <x v="0"/>
    <n v="0.39"/>
  </r>
  <r>
    <n v="860"/>
    <x v="36"/>
    <x v="30"/>
    <x v="7"/>
    <x v="10"/>
    <x v="13"/>
    <n v="3.4"/>
    <x v="0"/>
    <n v="17.7"/>
    <x v="2"/>
    <n v="3.48"/>
    <x v="0"/>
    <n v="0.42"/>
  </r>
  <r>
    <n v="861"/>
    <x v="6"/>
    <x v="3"/>
    <x v="33"/>
    <x v="60"/>
    <x v="26"/>
    <n v="2.83"/>
    <x v="0"/>
    <n v="17.600000000000001"/>
    <x v="0"/>
    <n v="3.97"/>
    <x v="0"/>
    <n v="0.45"/>
  </r>
  <r>
    <n v="862"/>
    <x v="39"/>
    <x v="18"/>
    <x v="31"/>
    <x v="54"/>
    <x v="93"/>
    <n v="3.3"/>
    <x v="2"/>
    <n v="16.099999999999998"/>
    <x v="2"/>
    <n v="3.88"/>
    <x v="0"/>
    <n v="0.54"/>
  </r>
  <r>
    <n v="863"/>
    <x v="37"/>
    <x v="35"/>
    <x v="42"/>
    <x v="23"/>
    <x v="81"/>
    <n v="2.4500000000000002"/>
    <x v="2"/>
    <n v="18.5"/>
    <x v="3"/>
    <n v="2.23"/>
    <x v="0"/>
    <n v="0.32"/>
  </r>
  <r>
    <n v="864"/>
    <x v="17"/>
    <x v="7"/>
    <x v="29"/>
    <x v="28"/>
    <x v="24"/>
    <n v="3.38"/>
    <x v="0"/>
    <n v="18"/>
    <x v="2"/>
    <n v="3.4"/>
    <x v="0"/>
    <n v="0.42"/>
  </r>
  <r>
    <n v="865"/>
    <x v="32"/>
    <x v="32"/>
    <x v="17"/>
    <x v="3"/>
    <x v="51"/>
    <n v="3.34"/>
    <x v="2"/>
    <n v="14.5"/>
    <x v="2"/>
    <n v="3.81"/>
    <x v="0"/>
    <n v="0.64"/>
  </r>
  <r>
    <n v="866"/>
    <x v="39"/>
    <x v="26"/>
    <x v="31"/>
    <x v="14"/>
    <x v="1"/>
    <n v="3.57"/>
    <x v="2"/>
    <n v="16.099999999999998"/>
    <x v="1"/>
    <n v="3.37"/>
    <x v="0"/>
    <n v="0.54"/>
  </r>
  <r>
    <n v="867"/>
    <x v="45"/>
    <x v="40"/>
    <x v="47"/>
    <x v="45"/>
    <x v="97"/>
    <n v="3.37"/>
    <x v="0"/>
    <n v="17.8"/>
    <x v="2"/>
    <n v="3.81"/>
    <x v="0"/>
    <n v="0.35"/>
  </r>
  <r>
    <n v="868"/>
    <x v="19"/>
    <x v="25"/>
    <x v="38"/>
    <x v="19"/>
    <x v="58"/>
    <n v="3.33"/>
    <x v="2"/>
    <n v="18.600000000000001"/>
    <x v="2"/>
    <n v="3.77"/>
    <x v="0"/>
    <n v="0.38"/>
  </r>
  <r>
    <n v="869"/>
    <x v="37"/>
    <x v="3"/>
    <x v="18"/>
    <x v="3"/>
    <x v="84"/>
    <n v="3.13"/>
    <x v="1"/>
    <n v="17.899999999999999"/>
    <x v="2"/>
    <n v="3.12"/>
    <x v="0"/>
    <n v="0.33"/>
  </r>
  <r>
    <n v="870"/>
    <x v="2"/>
    <x v="12"/>
    <x v="27"/>
    <x v="12"/>
    <x v="74"/>
    <n v="2.69"/>
    <x v="1"/>
    <n v="15.7"/>
    <x v="0"/>
    <n v="1.21"/>
    <x v="1"/>
    <n v="0.32"/>
  </r>
  <r>
    <n v="871"/>
    <x v="10"/>
    <x v="18"/>
    <x v="24"/>
    <x v="46"/>
    <x v="60"/>
    <n v="3.92"/>
    <x v="2"/>
    <n v="18.2"/>
    <x v="1"/>
    <n v="4.04"/>
    <x v="0"/>
    <n v="0.53"/>
  </r>
  <r>
    <n v="872"/>
    <x v="29"/>
    <x v="33"/>
    <x v="39"/>
    <x v="35"/>
    <x v="105"/>
    <n v="2.95"/>
    <x v="2"/>
    <n v="14.3"/>
    <x v="0"/>
    <n v="3.46"/>
    <x v="0"/>
    <n v="0.57999999999999996"/>
  </r>
  <r>
    <n v="873"/>
    <x v="15"/>
    <x v="8"/>
    <x v="14"/>
    <x v="39"/>
    <x v="50"/>
    <n v="3.36"/>
    <x v="2"/>
    <n v="14.599999999999998"/>
    <x v="2"/>
    <n v="3.83"/>
    <x v="0"/>
    <n v="0.59"/>
  </r>
  <r>
    <n v="874"/>
    <x v="45"/>
    <x v="22"/>
    <x v="10"/>
    <x v="21"/>
    <x v="46"/>
    <n v="2.9"/>
    <x v="2"/>
    <n v="18.3"/>
    <x v="0"/>
    <n v="2.4900000000000002"/>
    <x v="0"/>
    <n v="0.34"/>
  </r>
  <r>
    <n v="875"/>
    <x v="50"/>
    <x v="33"/>
    <x v="47"/>
    <x v="9"/>
    <x v="60"/>
    <n v="2.97"/>
    <x v="0"/>
    <n v="17.8"/>
    <x v="0"/>
    <n v="2.17"/>
    <x v="0"/>
    <n v="0.42"/>
  </r>
  <r>
    <n v="876"/>
    <x v="19"/>
    <x v="40"/>
    <x v="43"/>
    <x v="42"/>
    <x v="36"/>
    <n v="3.28"/>
    <x v="0"/>
    <n v="14.099999999999998"/>
    <x v="2"/>
    <n v="2.7"/>
    <x v="0"/>
    <n v="0.5"/>
  </r>
  <r>
    <n v="877"/>
    <x v="10"/>
    <x v="28"/>
    <x v="15"/>
    <x v="51"/>
    <x v="88"/>
    <n v="3.26"/>
    <x v="2"/>
    <n v="15.099999999999998"/>
    <x v="2"/>
    <n v="4.07"/>
    <x v="0"/>
    <n v="0.64"/>
  </r>
  <r>
    <n v="878"/>
    <x v="7"/>
    <x v="20"/>
    <x v="31"/>
    <x v="43"/>
    <x v="34"/>
    <n v="3.2"/>
    <x v="2"/>
    <n v="16.100000000000001"/>
    <x v="2"/>
    <n v="3.14"/>
    <x v="0"/>
    <n v="0.52"/>
  </r>
  <r>
    <n v="879"/>
    <x v="50"/>
    <x v="28"/>
    <x v="20"/>
    <x v="42"/>
    <x v="6"/>
    <n v="2.96"/>
    <x v="0"/>
    <n v="16.899999999999999"/>
    <x v="0"/>
    <n v="2.58"/>
    <x v="0"/>
    <n v="0.44"/>
  </r>
  <r>
    <n v="880"/>
    <x v="49"/>
    <x v="8"/>
    <x v="29"/>
    <x v="59"/>
    <x v="7"/>
    <n v="3.2"/>
    <x v="0"/>
    <n v="18"/>
    <x v="2"/>
    <n v="2.4700000000000002"/>
    <x v="0"/>
    <n v="0.39"/>
  </r>
  <r>
    <n v="881"/>
    <x v="30"/>
    <x v="24"/>
    <x v="45"/>
    <x v="23"/>
    <x v="18"/>
    <n v="3.36"/>
    <x v="2"/>
    <n v="15.200000000000001"/>
    <x v="2"/>
    <n v="4.0599999999999996"/>
    <x v="0"/>
    <n v="0.62"/>
  </r>
  <r>
    <n v="882"/>
    <x v="42"/>
    <x v="24"/>
    <x v="23"/>
    <x v="53"/>
    <x v="40"/>
    <n v="3.54"/>
    <x v="2"/>
    <n v="17.3"/>
    <x v="1"/>
    <n v="4.28"/>
    <x v="0"/>
    <n v="0.56999999999999995"/>
  </r>
  <r>
    <n v="883"/>
    <x v="36"/>
    <x v="31"/>
    <x v="47"/>
    <x v="31"/>
    <x v="101"/>
    <n v="3.16"/>
    <x v="0"/>
    <n v="17.8"/>
    <x v="2"/>
    <n v="3.87"/>
    <x v="0"/>
    <n v="0.42"/>
  </r>
  <r>
    <n v="884"/>
    <x v="3"/>
    <x v="23"/>
    <x v="41"/>
    <x v="40"/>
    <x v="25"/>
    <n v="3.02"/>
    <x v="0"/>
    <n v="14.700000000000001"/>
    <x v="2"/>
    <n v="2.21"/>
    <x v="0"/>
    <n v="0.44"/>
  </r>
  <r>
    <n v="885"/>
    <x v="47"/>
    <x v="27"/>
    <x v="39"/>
    <x v="8"/>
    <x v="0"/>
    <n v="2.86"/>
    <x v="1"/>
    <n v="14.3"/>
    <x v="0"/>
    <n v="1.68"/>
    <x v="0"/>
    <n v="0.4"/>
  </r>
  <r>
    <n v="886"/>
    <x v="27"/>
    <x v="14"/>
    <x v="6"/>
    <x v="31"/>
    <x v="28"/>
    <n v="2.81"/>
    <x v="2"/>
    <n v="18.399999999999999"/>
    <x v="0"/>
    <n v="3.16"/>
    <x v="0"/>
    <n v="0.45"/>
  </r>
  <r>
    <n v="887"/>
    <x v="21"/>
    <x v="23"/>
    <x v="10"/>
    <x v="54"/>
    <x v="56"/>
    <n v="3.59"/>
    <x v="2"/>
    <n v="18.3"/>
    <x v="1"/>
    <n v="3.66"/>
    <x v="0"/>
    <n v="0.49"/>
  </r>
  <r>
    <n v="888"/>
    <x v="16"/>
    <x v="16"/>
    <x v="39"/>
    <x v="14"/>
    <x v="22"/>
    <n v="3.07"/>
    <x v="2"/>
    <n v="14.299999999999999"/>
    <x v="2"/>
    <n v="3.63"/>
    <x v="0"/>
    <n v="0.62"/>
  </r>
  <r>
    <n v="889"/>
    <x v="32"/>
    <x v="30"/>
    <x v="11"/>
    <x v="1"/>
    <x v="33"/>
    <n v="3.17"/>
    <x v="2"/>
    <n v="15.5"/>
    <x v="2"/>
    <n v="3.94"/>
    <x v="0"/>
    <n v="0.6"/>
  </r>
  <r>
    <n v="890"/>
    <x v="33"/>
    <x v="5"/>
    <x v="5"/>
    <x v="33"/>
    <x v="6"/>
    <n v="3.57"/>
    <x v="2"/>
    <n v="18.7"/>
    <x v="1"/>
    <n v="3.58"/>
    <x v="0"/>
    <n v="0.5"/>
  </r>
  <r>
    <n v="891"/>
    <x v="36"/>
    <x v="23"/>
    <x v="32"/>
    <x v="43"/>
    <x v="71"/>
    <n v="3.15"/>
    <x v="0"/>
    <n v="17.100000000000001"/>
    <x v="2"/>
    <n v="2.73"/>
    <x v="0"/>
    <n v="0.43"/>
  </r>
  <r>
    <n v="892"/>
    <x v="37"/>
    <x v="20"/>
    <x v="21"/>
    <x v="26"/>
    <x v="49"/>
    <n v="3.13"/>
    <x v="1"/>
    <n v="16.399999999999999"/>
    <x v="2"/>
    <n v="1.28"/>
    <x v="1"/>
    <n v="0.36"/>
  </r>
  <r>
    <n v="893"/>
    <x v="34"/>
    <x v="10"/>
    <x v="9"/>
    <x v="37"/>
    <x v="51"/>
    <n v="3.34"/>
    <x v="0"/>
    <n v="14.899999999999999"/>
    <x v="2"/>
    <n v="2.56"/>
    <x v="0"/>
    <n v="0.49"/>
  </r>
  <r>
    <n v="894"/>
    <x v="23"/>
    <x v="1"/>
    <x v="26"/>
    <x v="17"/>
    <x v="57"/>
    <n v="3.23"/>
    <x v="0"/>
    <n v="15.4"/>
    <x v="2"/>
    <n v="2.57"/>
    <x v="0"/>
    <n v="0.44"/>
  </r>
  <r>
    <n v="895"/>
    <x v="49"/>
    <x v="1"/>
    <x v="35"/>
    <x v="34"/>
    <x v="52"/>
    <n v="3.26"/>
    <x v="2"/>
    <n v="18.8"/>
    <x v="2"/>
    <n v="2.06"/>
    <x v="0"/>
    <n v="0.37"/>
  </r>
  <r>
    <n v="896"/>
    <x v="11"/>
    <x v="19"/>
    <x v="39"/>
    <x v="45"/>
    <x v="43"/>
    <n v="3.25"/>
    <x v="0"/>
    <n v="14.3"/>
    <x v="2"/>
    <n v="2.59"/>
    <x v="0"/>
    <n v="0.45"/>
  </r>
  <r>
    <n v="897"/>
    <x v="13"/>
    <x v="37"/>
    <x v="10"/>
    <x v="28"/>
    <x v="69"/>
    <n v="3.42"/>
    <x v="2"/>
    <n v="18.3"/>
    <x v="2"/>
    <n v="4.37"/>
    <x v="0"/>
    <n v="0.49"/>
  </r>
  <r>
    <n v="898"/>
    <x v="23"/>
    <x v="29"/>
    <x v="23"/>
    <x v="37"/>
    <x v="90"/>
    <n v="3.03"/>
    <x v="0"/>
    <n v="17.299999999999997"/>
    <x v="2"/>
    <n v="2.52"/>
    <x v="0"/>
    <n v="0.39"/>
  </r>
  <r>
    <n v="899"/>
    <x v="46"/>
    <x v="1"/>
    <x v="36"/>
    <x v="58"/>
    <x v="47"/>
    <n v="3.04"/>
    <x v="0"/>
    <n v="16.5"/>
    <x v="2"/>
    <n v="2.0699999999999998"/>
    <x v="0"/>
    <n v="0.44"/>
  </r>
  <r>
    <n v="900"/>
    <x v="29"/>
    <x v="21"/>
    <x v="20"/>
    <x v="10"/>
    <x v="98"/>
    <n v="3.22"/>
    <x v="2"/>
    <n v="16.900000000000002"/>
    <x v="2"/>
    <n v="2.78"/>
    <x v="0"/>
    <n v="0.49"/>
  </r>
  <r>
    <n v="901"/>
    <x v="13"/>
    <x v="40"/>
    <x v="9"/>
    <x v="30"/>
    <x v="0"/>
    <n v="3.1"/>
    <x v="2"/>
    <n v="14.900000000000002"/>
    <x v="2"/>
    <n v="3.61"/>
    <x v="0"/>
    <n v="0.6"/>
  </r>
  <r>
    <n v="902"/>
    <x v="45"/>
    <x v="15"/>
    <x v="21"/>
    <x v="31"/>
    <x v="7"/>
    <n v="2.48"/>
    <x v="0"/>
    <n v="16.400000000000002"/>
    <x v="3"/>
    <n v="2.0099999999999998"/>
    <x v="0"/>
    <n v="0.38"/>
  </r>
  <r>
    <n v="903"/>
    <x v="6"/>
    <x v="36"/>
    <x v="3"/>
    <x v="13"/>
    <x v="18"/>
    <n v="3.11"/>
    <x v="0"/>
    <n v="16.799999999999997"/>
    <x v="2"/>
    <n v="3.11"/>
    <x v="0"/>
    <n v="0.48"/>
  </r>
  <r>
    <n v="904"/>
    <x v="5"/>
    <x v="13"/>
    <x v="18"/>
    <x v="60"/>
    <x v="100"/>
    <n v="2.87"/>
    <x v="0"/>
    <n v="17.899999999999999"/>
    <x v="0"/>
    <n v="4.58"/>
    <x v="0"/>
    <n v="0.34"/>
  </r>
  <r>
    <n v="905"/>
    <x v="20"/>
    <x v="23"/>
    <x v="0"/>
    <x v="53"/>
    <x v="20"/>
    <n v="3.5"/>
    <x v="2"/>
    <n v="15.3"/>
    <x v="1"/>
    <n v="4.04"/>
    <x v="0"/>
    <n v="0.63"/>
  </r>
  <r>
    <n v="906"/>
    <x v="46"/>
    <x v="30"/>
    <x v="21"/>
    <x v="11"/>
    <x v="4"/>
    <n v="3.11"/>
    <x v="0"/>
    <n v="16.399999999999999"/>
    <x v="2"/>
    <n v="3.31"/>
    <x v="0"/>
    <n v="0.44"/>
  </r>
  <r>
    <n v="907"/>
    <x v="0"/>
    <x v="25"/>
    <x v="26"/>
    <x v="14"/>
    <x v="71"/>
    <n v="3.29"/>
    <x v="0"/>
    <n v="15.399999999999999"/>
    <x v="2"/>
    <n v="2.78"/>
    <x v="0"/>
    <n v="0.45"/>
  </r>
  <r>
    <n v="908"/>
    <x v="14"/>
    <x v="6"/>
    <x v="22"/>
    <x v="37"/>
    <x v="49"/>
    <n v="2.92"/>
    <x v="0"/>
    <n v="15.6"/>
    <x v="0"/>
    <n v="2.0699999999999998"/>
    <x v="0"/>
    <n v="0.43"/>
  </r>
  <r>
    <n v="909"/>
    <x v="32"/>
    <x v="1"/>
    <x v="50"/>
    <x v="59"/>
    <x v="33"/>
    <n v="3.45"/>
    <x v="2"/>
    <n v="19"/>
    <x v="2"/>
    <n v="3.31"/>
    <x v="0"/>
    <n v="0.49"/>
  </r>
  <r>
    <n v="910"/>
    <x v="36"/>
    <x v="2"/>
    <x v="45"/>
    <x v="43"/>
    <x v="47"/>
    <n v="3.11"/>
    <x v="0"/>
    <n v="15.200000000000001"/>
    <x v="2"/>
    <n v="2.68"/>
    <x v="0"/>
    <n v="0.49"/>
  </r>
  <r>
    <n v="911"/>
    <x v="9"/>
    <x v="36"/>
    <x v="41"/>
    <x v="5"/>
    <x v="65"/>
    <n v="2.96"/>
    <x v="0"/>
    <n v="14.7"/>
    <x v="0"/>
    <n v="3.09"/>
    <x v="0"/>
    <n v="0.52"/>
  </r>
  <r>
    <n v="912"/>
    <x v="12"/>
    <x v="37"/>
    <x v="47"/>
    <x v="36"/>
    <x v="28"/>
    <n v="3.01"/>
    <x v="1"/>
    <n v="17.8"/>
    <x v="2"/>
    <n v="2"/>
    <x v="0"/>
    <n v="0.28000000000000003"/>
  </r>
  <r>
    <n v="913"/>
    <x v="14"/>
    <x v="10"/>
    <x v="50"/>
    <x v="45"/>
    <x v="85"/>
    <n v="2.85"/>
    <x v="2"/>
    <n v="19"/>
    <x v="0"/>
    <n v="2.62"/>
    <x v="0"/>
    <n v="0.35"/>
  </r>
  <r>
    <n v="914"/>
    <x v="1"/>
    <x v="5"/>
    <x v="48"/>
    <x v="3"/>
    <x v="58"/>
    <n v="2.64"/>
    <x v="1"/>
    <n v="16.2"/>
    <x v="0"/>
    <n v="3.56"/>
    <x v="0"/>
    <n v="0.33"/>
  </r>
  <r>
    <n v="915"/>
    <x v="19"/>
    <x v="24"/>
    <x v="14"/>
    <x v="32"/>
    <x v="35"/>
    <n v="2.65"/>
    <x v="0"/>
    <n v="14.6"/>
    <x v="0"/>
    <n v="3.1"/>
    <x v="0"/>
    <n v="0.49"/>
  </r>
  <r>
    <n v="916"/>
    <x v="26"/>
    <x v="0"/>
    <x v="5"/>
    <x v="45"/>
    <x v="5"/>
    <n v="2.81"/>
    <x v="2"/>
    <n v="18.700000000000003"/>
    <x v="0"/>
    <n v="2.4700000000000002"/>
    <x v="0"/>
    <n v="0.28999999999999998"/>
  </r>
  <r>
    <n v="917"/>
    <x v="3"/>
    <x v="17"/>
    <x v="24"/>
    <x v="59"/>
    <x v="42"/>
    <n v="3.04"/>
    <x v="2"/>
    <n v="18.2"/>
    <x v="2"/>
    <n v="2.29"/>
    <x v="0"/>
    <n v="0.36"/>
  </r>
  <r>
    <n v="918"/>
    <x v="41"/>
    <x v="11"/>
    <x v="17"/>
    <x v="27"/>
    <x v="26"/>
    <n v="2.66"/>
    <x v="1"/>
    <n v="14.5"/>
    <x v="0"/>
    <n v="3.48"/>
    <x v="0"/>
    <n v="0.39"/>
  </r>
  <r>
    <n v="919"/>
    <x v="28"/>
    <x v="9"/>
    <x v="38"/>
    <x v="6"/>
    <x v="22"/>
    <n v="3.48"/>
    <x v="2"/>
    <n v="18.600000000000001"/>
    <x v="2"/>
    <n v="3.47"/>
    <x v="0"/>
    <n v="0.49"/>
  </r>
  <r>
    <n v="920"/>
    <x v="35"/>
    <x v="23"/>
    <x v="16"/>
    <x v="37"/>
    <x v="4"/>
    <n v="2.79"/>
    <x v="2"/>
    <n v="18.899999999999999"/>
    <x v="0"/>
    <n v="1.74"/>
    <x v="0"/>
    <n v="0.31"/>
  </r>
  <r>
    <n v="921"/>
    <x v="16"/>
    <x v="26"/>
    <x v="17"/>
    <x v="16"/>
    <x v="18"/>
    <n v="3.29"/>
    <x v="2"/>
    <n v="14.5"/>
    <x v="2"/>
    <n v="3.71"/>
    <x v="0"/>
    <n v="0.61"/>
  </r>
  <r>
    <n v="922"/>
    <x v="11"/>
    <x v="28"/>
    <x v="32"/>
    <x v="52"/>
    <x v="77"/>
    <n v="3"/>
    <x v="0"/>
    <n v="17.100000000000001"/>
    <x v="2"/>
    <n v="2.91"/>
    <x v="0"/>
    <n v="0.37"/>
  </r>
  <r>
    <n v="923"/>
    <x v="9"/>
    <x v="4"/>
    <x v="11"/>
    <x v="43"/>
    <x v="44"/>
    <n v="3.16"/>
    <x v="0"/>
    <n v="15.5"/>
    <x v="2"/>
    <n v="3.61"/>
    <x v="0"/>
    <n v="0.5"/>
  </r>
  <r>
    <n v="924"/>
    <x v="21"/>
    <x v="15"/>
    <x v="19"/>
    <x v="17"/>
    <x v="74"/>
    <n v="2.96"/>
    <x v="2"/>
    <n v="15.8"/>
    <x v="0"/>
    <n v="3.57"/>
    <x v="0"/>
    <n v="0.56999999999999995"/>
  </r>
  <r>
    <n v="925"/>
    <x v="9"/>
    <x v="11"/>
    <x v="32"/>
    <x v="10"/>
    <x v="4"/>
    <n v="3.08"/>
    <x v="0"/>
    <n v="17.100000000000001"/>
    <x v="2"/>
    <n v="3.47"/>
    <x v="0"/>
    <n v="0.45"/>
  </r>
  <r>
    <n v="926"/>
    <x v="37"/>
    <x v="37"/>
    <x v="39"/>
    <x v="44"/>
    <x v="90"/>
    <n v="2.86"/>
    <x v="1"/>
    <n v="14.3"/>
    <x v="0"/>
    <n v="2.76"/>
    <x v="0"/>
    <n v="0.41"/>
  </r>
  <r>
    <n v="927"/>
    <x v="16"/>
    <x v="31"/>
    <x v="43"/>
    <x v="31"/>
    <x v="1"/>
    <n v="3.19"/>
    <x v="2"/>
    <n v="14.100000000000001"/>
    <x v="2"/>
    <n v="3.67"/>
    <x v="0"/>
    <n v="0.62"/>
  </r>
  <r>
    <n v="928"/>
    <x v="4"/>
    <x v="40"/>
    <x v="10"/>
    <x v="54"/>
    <x v="34"/>
    <n v="3.45"/>
    <x v="2"/>
    <n v="18.3"/>
    <x v="2"/>
    <n v="3.07"/>
    <x v="0"/>
    <n v="0.44"/>
  </r>
  <r>
    <n v="929"/>
    <x v="20"/>
    <x v="1"/>
    <x v="34"/>
    <x v="29"/>
    <x v="31"/>
    <n v="3.4"/>
    <x v="2"/>
    <n v="15.899999999999999"/>
    <x v="2"/>
    <n v="3.95"/>
    <x v="0"/>
    <n v="0.6"/>
  </r>
  <r>
    <n v="930"/>
    <x v="18"/>
    <x v="25"/>
    <x v="12"/>
    <x v="24"/>
    <x v="85"/>
    <n v="2.88"/>
    <x v="0"/>
    <n v="17.2"/>
    <x v="0"/>
    <n v="3.08"/>
    <x v="0"/>
    <n v="0.38"/>
  </r>
  <r>
    <n v="931"/>
    <x v="6"/>
    <x v="10"/>
    <x v="32"/>
    <x v="44"/>
    <x v="64"/>
    <n v="3.08"/>
    <x v="0"/>
    <n v="17.100000000000001"/>
    <x v="2"/>
    <n v="3.02"/>
    <x v="0"/>
    <n v="0.47"/>
  </r>
  <r>
    <n v="932"/>
    <x v="3"/>
    <x v="12"/>
    <x v="1"/>
    <x v="1"/>
    <x v="65"/>
    <n v="2.83"/>
    <x v="0"/>
    <n v="16"/>
    <x v="0"/>
    <n v="1.82"/>
    <x v="0"/>
    <n v="0.41"/>
  </r>
  <r>
    <n v="933"/>
    <x v="23"/>
    <x v="10"/>
    <x v="29"/>
    <x v="0"/>
    <x v="43"/>
    <n v="2.92"/>
    <x v="0"/>
    <n v="18"/>
    <x v="0"/>
    <n v="1.82"/>
    <x v="0"/>
    <n v="0.38"/>
  </r>
  <r>
    <n v="934"/>
    <x v="26"/>
    <x v="1"/>
    <x v="23"/>
    <x v="50"/>
    <x v="76"/>
    <n v="2.92"/>
    <x v="1"/>
    <n v="17.3"/>
    <x v="0"/>
    <n v="0.84"/>
    <x v="1"/>
    <n v="0.32"/>
  </r>
  <r>
    <n v="935"/>
    <x v="2"/>
    <x v="27"/>
    <x v="13"/>
    <x v="5"/>
    <x v="32"/>
    <n v="2.4900000000000002"/>
    <x v="1"/>
    <n v="17.399999999999999"/>
    <x v="3"/>
    <n v="3.78"/>
    <x v="0"/>
    <n v="0.28999999999999998"/>
  </r>
  <r>
    <n v="936"/>
    <x v="0"/>
    <x v="11"/>
    <x v="10"/>
    <x v="45"/>
    <x v="68"/>
    <n v="3.15"/>
    <x v="2"/>
    <n v="18.3"/>
    <x v="2"/>
    <n v="4.2300000000000004"/>
    <x v="0"/>
    <n v="0.38"/>
  </r>
  <r>
    <n v="937"/>
    <x v="38"/>
    <x v="7"/>
    <x v="50"/>
    <x v="58"/>
    <x v="77"/>
    <n v="2.74"/>
    <x v="2"/>
    <n v="19"/>
    <x v="0"/>
    <n v="1.89"/>
    <x v="0"/>
    <n v="0.28000000000000003"/>
  </r>
  <r>
    <n v="938"/>
    <x v="20"/>
    <x v="4"/>
    <x v="8"/>
    <x v="44"/>
    <x v="74"/>
    <n v="3.29"/>
    <x v="2"/>
    <n v="14.2"/>
    <x v="2"/>
    <n v="4.2"/>
    <x v="0"/>
    <n v="0.68"/>
  </r>
  <r>
    <n v="939"/>
    <x v="39"/>
    <x v="9"/>
    <x v="14"/>
    <x v="15"/>
    <x v="93"/>
    <n v="3.03"/>
    <x v="2"/>
    <n v="14.599999999999998"/>
    <x v="2"/>
    <n v="3.37"/>
    <x v="0"/>
    <n v="0.6"/>
  </r>
  <r>
    <n v="940"/>
    <x v="35"/>
    <x v="26"/>
    <x v="13"/>
    <x v="4"/>
    <x v="42"/>
    <n v="2.9"/>
    <x v="1"/>
    <n v="17.399999999999999"/>
    <x v="0"/>
    <n v="1.73"/>
    <x v="0"/>
    <n v="0.33"/>
  </r>
  <r>
    <n v="941"/>
    <x v="16"/>
    <x v="29"/>
    <x v="8"/>
    <x v="7"/>
    <x v="88"/>
    <n v="3.51"/>
    <x v="2"/>
    <n v="14.200000000000001"/>
    <x v="1"/>
    <n v="3.61"/>
    <x v="0"/>
    <n v="0.62"/>
  </r>
  <r>
    <n v="942"/>
    <x v="8"/>
    <x v="19"/>
    <x v="44"/>
    <x v="25"/>
    <x v="104"/>
    <n v="2.83"/>
    <x v="1"/>
    <n v="16.7"/>
    <x v="0"/>
    <n v="3.79"/>
    <x v="0"/>
    <n v="0.31"/>
  </r>
  <r>
    <n v="943"/>
    <x v="39"/>
    <x v="26"/>
    <x v="20"/>
    <x v="18"/>
    <x v="1"/>
    <n v="3.29"/>
    <x v="2"/>
    <n v="16.899999999999999"/>
    <x v="2"/>
    <n v="3.12"/>
    <x v="0"/>
    <n v="0.51"/>
  </r>
  <r>
    <n v="944"/>
    <x v="36"/>
    <x v="29"/>
    <x v="17"/>
    <x v="51"/>
    <x v="52"/>
    <n v="3.22"/>
    <x v="0"/>
    <n v="14.5"/>
    <x v="2"/>
    <n v="2.62"/>
    <x v="0"/>
    <n v="0.51"/>
  </r>
  <r>
    <n v="945"/>
    <x v="16"/>
    <x v="16"/>
    <x v="23"/>
    <x v="29"/>
    <x v="1"/>
    <n v="3.24"/>
    <x v="2"/>
    <n v="17.3"/>
    <x v="2"/>
    <n v="3.01"/>
    <x v="0"/>
    <n v="0.51"/>
  </r>
  <r>
    <n v="946"/>
    <x v="21"/>
    <x v="0"/>
    <x v="34"/>
    <x v="29"/>
    <x v="39"/>
    <n v="3.55"/>
    <x v="2"/>
    <n v="15.900000000000002"/>
    <x v="1"/>
    <n v="3.57"/>
    <x v="0"/>
    <n v="0.56999999999999995"/>
  </r>
  <r>
    <n v="947"/>
    <x v="21"/>
    <x v="23"/>
    <x v="37"/>
    <x v="39"/>
    <x v="17"/>
    <n v="3.68"/>
    <x v="2"/>
    <n v="17"/>
    <x v="1"/>
    <n v="3.64"/>
    <x v="0"/>
    <n v="0.53"/>
  </r>
  <r>
    <n v="948"/>
    <x v="34"/>
    <x v="15"/>
    <x v="12"/>
    <x v="23"/>
    <x v="60"/>
    <n v="2.91"/>
    <x v="0"/>
    <n v="17.200000000000003"/>
    <x v="0"/>
    <n v="2.0299999999999998"/>
    <x v="0"/>
    <n v="0.42"/>
  </r>
  <r>
    <n v="949"/>
    <x v="37"/>
    <x v="15"/>
    <x v="25"/>
    <x v="2"/>
    <x v="44"/>
    <n v="3.09"/>
    <x v="1"/>
    <n v="16.3"/>
    <x v="2"/>
    <n v="2.4"/>
    <x v="0"/>
    <n v="0.36"/>
  </r>
  <r>
    <n v="950"/>
    <x v="36"/>
    <x v="22"/>
    <x v="8"/>
    <x v="1"/>
    <x v="93"/>
    <n v="2.94"/>
    <x v="0"/>
    <n v="14.2"/>
    <x v="0"/>
    <n v="2.93"/>
    <x v="0"/>
    <n v="0.52"/>
  </r>
  <r>
    <n v="951"/>
    <x v="42"/>
    <x v="13"/>
    <x v="49"/>
    <x v="47"/>
    <x v="31"/>
    <n v="3.84"/>
    <x v="2"/>
    <n v="16.600000000000001"/>
    <x v="1"/>
    <n v="4.1399999999999997"/>
    <x v="0"/>
    <n v="0.59"/>
  </r>
  <r>
    <n v="952"/>
    <x v="45"/>
    <x v="6"/>
    <x v="6"/>
    <x v="2"/>
    <x v="104"/>
    <n v="2.99"/>
    <x v="2"/>
    <n v="18.399999999999999"/>
    <x v="0"/>
    <n v="3.77"/>
    <x v="0"/>
    <n v="0.34"/>
  </r>
  <r>
    <n v="953"/>
    <x v="12"/>
    <x v="39"/>
    <x v="43"/>
    <x v="18"/>
    <x v="41"/>
    <n v="2.94"/>
    <x v="1"/>
    <n v="14.100000000000001"/>
    <x v="0"/>
    <n v="3.28"/>
    <x v="0"/>
    <n v="0.35"/>
  </r>
  <r>
    <n v="954"/>
    <x v="44"/>
    <x v="4"/>
    <x v="26"/>
    <x v="26"/>
    <x v="63"/>
    <n v="3.26"/>
    <x v="0"/>
    <n v="15.4"/>
    <x v="2"/>
    <n v="2.97"/>
    <x v="0"/>
    <n v="0.51"/>
  </r>
  <r>
    <n v="955"/>
    <x v="39"/>
    <x v="34"/>
    <x v="43"/>
    <x v="22"/>
    <x v="88"/>
    <n v="3.55"/>
    <x v="2"/>
    <n v="14.1"/>
    <x v="1"/>
    <n v="3.57"/>
    <x v="0"/>
    <n v="0.62"/>
  </r>
  <r>
    <n v="956"/>
    <x v="1"/>
    <x v="7"/>
    <x v="6"/>
    <x v="15"/>
    <x v="26"/>
    <n v="2.5299999999999998"/>
    <x v="2"/>
    <n v="18.399999999999999"/>
    <x v="0"/>
    <n v="2.36"/>
    <x v="0"/>
    <n v="0.28999999999999998"/>
  </r>
  <r>
    <n v="957"/>
    <x v="28"/>
    <x v="21"/>
    <x v="37"/>
    <x v="20"/>
    <x v="47"/>
    <n v="3.28"/>
    <x v="2"/>
    <n v="17"/>
    <x v="2"/>
    <n v="3.24"/>
    <x v="0"/>
    <n v="0.54"/>
  </r>
  <r>
    <n v="958"/>
    <x v="32"/>
    <x v="31"/>
    <x v="15"/>
    <x v="47"/>
    <x v="39"/>
    <n v="3.58"/>
    <x v="2"/>
    <n v="15.100000000000001"/>
    <x v="1"/>
    <n v="4.1399999999999997"/>
    <x v="0"/>
    <n v="0.62"/>
  </r>
  <r>
    <n v="959"/>
    <x v="37"/>
    <x v="13"/>
    <x v="24"/>
    <x v="1"/>
    <x v="55"/>
    <n v="3.32"/>
    <x v="2"/>
    <n v="18.200000000000003"/>
    <x v="2"/>
    <n v="2.12"/>
    <x v="0"/>
    <n v="0.32"/>
  </r>
  <r>
    <n v="960"/>
    <x v="5"/>
    <x v="40"/>
    <x v="35"/>
    <x v="31"/>
    <x v="111"/>
    <n v="3.01"/>
    <x v="2"/>
    <n v="18.799999999999997"/>
    <x v="2"/>
    <n v="4.24"/>
    <x v="0"/>
    <n v="0.32"/>
  </r>
  <r>
    <n v="961"/>
    <x v="44"/>
    <x v="23"/>
    <x v="27"/>
    <x v="15"/>
    <x v="52"/>
    <n v="3.18"/>
    <x v="0"/>
    <n v="15.7"/>
    <x v="2"/>
    <n v="2.65"/>
    <x v="0"/>
    <n v="0.5"/>
  </r>
  <r>
    <n v="962"/>
    <x v="45"/>
    <x v="39"/>
    <x v="26"/>
    <x v="14"/>
    <x v="84"/>
    <n v="3.1"/>
    <x v="0"/>
    <n v="15.399999999999999"/>
    <x v="2"/>
    <n v="4.01"/>
    <x v="0"/>
    <n v="0.41"/>
  </r>
  <r>
    <n v="963"/>
    <x v="3"/>
    <x v="3"/>
    <x v="48"/>
    <x v="26"/>
    <x v="49"/>
    <n v="2.9"/>
    <x v="0"/>
    <n v="16.2"/>
    <x v="0"/>
    <n v="1.83"/>
    <x v="0"/>
    <n v="0.4"/>
  </r>
  <r>
    <n v="964"/>
    <x v="4"/>
    <x v="2"/>
    <x v="26"/>
    <x v="37"/>
    <x v="56"/>
    <n v="2.99"/>
    <x v="2"/>
    <n v="15.4"/>
    <x v="0"/>
    <n v="3.23"/>
    <x v="0"/>
    <n v="0.53"/>
  </r>
  <r>
    <n v="965"/>
    <x v="16"/>
    <x v="21"/>
    <x v="29"/>
    <x v="8"/>
    <x v="12"/>
    <n v="3.59"/>
    <x v="2"/>
    <n v="18"/>
    <x v="1"/>
    <n v="2.95"/>
    <x v="0"/>
    <n v="0.49"/>
  </r>
  <r>
    <n v="966"/>
    <x v="36"/>
    <x v="3"/>
    <x v="23"/>
    <x v="37"/>
    <x v="50"/>
    <n v="3.44"/>
    <x v="0"/>
    <n v="17.3"/>
    <x v="2"/>
    <n v="2.31"/>
    <x v="0"/>
    <n v="0.43"/>
  </r>
  <r>
    <n v="967"/>
    <x v="5"/>
    <x v="16"/>
    <x v="46"/>
    <x v="19"/>
    <x v="14"/>
    <n v="3.28"/>
    <x v="2"/>
    <n v="18.100000000000001"/>
    <x v="2"/>
    <n v="3.42"/>
    <x v="0"/>
    <n v="0.33"/>
  </r>
  <r>
    <n v="968"/>
    <x v="46"/>
    <x v="8"/>
    <x v="48"/>
    <x v="11"/>
    <x v="82"/>
    <n v="2.93"/>
    <x v="0"/>
    <n v="16.2"/>
    <x v="0"/>
    <n v="2.91"/>
    <x v="0"/>
    <n v="0.44"/>
  </r>
  <r>
    <n v="969"/>
    <x v="10"/>
    <x v="26"/>
    <x v="36"/>
    <x v="43"/>
    <x v="15"/>
    <n v="3.04"/>
    <x v="2"/>
    <n v="16.5"/>
    <x v="2"/>
    <n v="3.88"/>
    <x v="0"/>
    <n v="0.59"/>
  </r>
  <r>
    <n v="970"/>
    <x v="20"/>
    <x v="38"/>
    <x v="48"/>
    <x v="13"/>
    <x v="19"/>
    <n v="3.38"/>
    <x v="2"/>
    <n v="16.2"/>
    <x v="2"/>
    <n v="4.1100000000000003"/>
    <x v="0"/>
    <n v="0.59"/>
  </r>
  <r>
    <n v="971"/>
    <x v="36"/>
    <x v="11"/>
    <x v="43"/>
    <x v="37"/>
    <x v="37"/>
    <n v="2.84"/>
    <x v="0"/>
    <n v="14.100000000000001"/>
    <x v="0"/>
    <n v="2.92"/>
    <x v="0"/>
    <n v="0.52"/>
  </r>
  <r>
    <n v="972"/>
    <x v="36"/>
    <x v="13"/>
    <x v="38"/>
    <x v="17"/>
    <x v="97"/>
    <n v="3.23"/>
    <x v="2"/>
    <n v="18.600000000000001"/>
    <x v="2"/>
    <n v="4.1100000000000003"/>
    <x v="0"/>
    <n v="0.4"/>
  </r>
  <r>
    <n v="973"/>
    <x v="48"/>
    <x v="19"/>
    <x v="29"/>
    <x v="7"/>
    <x v="11"/>
    <n v="3.18"/>
    <x v="2"/>
    <n v="18"/>
    <x v="2"/>
    <n v="3.5"/>
    <x v="0"/>
    <n v="0.51"/>
  </r>
  <r>
    <n v="974"/>
    <x v="8"/>
    <x v="39"/>
    <x v="2"/>
    <x v="14"/>
    <x v="59"/>
    <n v="2.82"/>
    <x v="1"/>
    <n v="14.8"/>
    <x v="0"/>
    <n v="4.0199999999999996"/>
    <x v="0"/>
    <n v="0.35"/>
  </r>
  <r>
    <n v="975"/>
    <x v="8"/>
    <x v="6"/>
    <x v="2"/>
    <x v="16"/>
    <x v="44"/>
    <n v="2.68"/>
    <x v="1"/>
    <n v="14.8"/>
    <x v="0"/>
    <n v="2.35"/>
    <x v="0"/>
    <n v="0.35"/>
  </r>
  <r>
    <n v="976"/>
    <x v="46"/>
    <x v="32"/>
    <x v="31"/>
    <x v="15"/>
    <x v="2"/>
    <n v="3.06"/>
    <x v="0"/>
    <n v="16.100000000000001"/>
    <x v="2"/>
    <n v="2.41"/>
    <x v="0"/>
    <n v="0.45"/>
  </r>
  <r>
    <n v="977"/>
    <x v="18"/>
    <x v="31"/>
    <x v="12"/>
    <x v="17"/>
    <x v="102"/>
    <n v="3.31"/>
    <x v="0"/>
    <n v="17.2"/>
    <x v="2"/>
    <n v="4.5599999999999996"/>
    <x v="0"/>
    <n v="0.38"/>
  </r>
  <r>
    <n v="978"/>
    <x v="11"/>
    <x v="25"/>
    <x v="44"/>
    <x v="58"/>
    <x v="8"/>
    <n v="3.12"/>
    <x v="0"/>
    <n v="16.700000000000003"/>
    <x v="2"/>
    <n v="1.82"/>
    <x v="0"/>
    <n v="0.38"/>
  </r>
  <r>
    <n v="979"/>
    <x v="16"/>
    <x v="8"/>
    <x v="13"/>
    <x v="57"/>
    <x v="30"/>
    <n v="3.32"/>
    <x v="2"/>
    <n v="17.399999999999999"/>
    <x v="2"/>
    <n v="3.52"/>
    <x v="0"/>
    <n v="0.51"/>
  </r>
  <r>
    <n v="980"/>
    <x v="20"/>
    <x v="21"/>
    <x v="25"/>
    <x v="27"/>
    <x v="74"/>
    <n v="3.3"/>
    <x v="2"/>
    <n v="16.3"/>
    <x v="2"/>
    <n v="3.78"/>
    <x v="0"/>
    <n v="0.59"/>
  </r>
  <r>
    <n v="981"/>
    <x v="14"/>
    <x v="23"/>
    <x v="48"/>
    <x v="37"/>
    <x v="1"/>
    <n v="2.98"/>
    <x v="0"/>
    <n v="16.2"/>
    <x v="0"/>
    <n v="1.77"/>
    <x v="0"/>
    <n v="0.41"/>
  </r>
  <r>
    <n v="982"/>
    <x v="6"/>
    <x v="11"/>
    <x v="22"/>
    <x v="54"/>
    <x v="93"/>
    <n v="3.28"/>
    <x v="0"/>
    <n v="15.6"/>
    <x v="2"/>
    <n v="3.54"/>
    <x v="0"/>
    <n v="0.51"/>
  </r>
  <r>
    <n v="983"/>
    <x v="31"/>
    <x v="30"/>
    <x v="31"/>
    <x v="47"/>
    <x v="60"/>
    <n v="3.38"/>
    <x v="0"/>
    <n v="16.100000000000001"/>
    <x v="2"/>
    <n v="3.09"/>
    <x v="0"/>
    <n v="0.49"/>
  </r>
  <r>
    <n v="984"/>
    <x v="27"/>
    <x v="7"/>
    <x v="34"/>
    <x v="19"/>
    <x v="67"/>
    <n v="3.18"/>
    <x v="2"/>
    <n v="15.899999999999999"/>
    <x v="2"/>
    <n v="3.17"/>
    <x v="0"/>
    <n v="0.52"/>
  </r>
  <r>
    <n v="985"/>
    <x v="3"/>
    <x v="40"/>
    <x v="17"/>
    <x v="47"/>
    <x v="23"/>
    <n v="2.74"/>
    <x v="0"/>
    <n v="14.499999999999998"/>
    <x v="0"/>
    <n v="2.4700000000000002"/>
    <x v="0"/>
    <n v="0.45"/>
  </r>
  <r>
    <n v="986"/>
    <x v="37"/>
    <x v="15"/>
    <x v="49"/>
    <x v="25"/>
    <x v="28"/>
    <n v="3.1"/>
    <x v="1"/>
    <n v="16.600000000000001"/>
    <x v="2"/>
    <n v="2.35"/>
    <x v="0"/>
    <n v="0.36"/>
  </r>
  <r>
    <n v="987"/>
    <x v="4"/>
    <x v="39"/>
    <x v="13"/>
    <x v="0"/>
    <x v="28"/>
    <n v="3.14"/>
    <x v="2"/>
    <n v="17.399999999999999"/>
    <x v="2"/>
    <n v="3.54"/>
    <x v="0"/>
    <n v="0.47"/>
  </r>
  <r>
    <n v="988"/>
    <x v="5"/>
    <x v="34"/>
    <x v="20"/>
    <x v="30"/>
    <x v="17"/>
    <n v="2.84"/>
    <x v="0"/>
    <n v="16.899999999999999"/>
    <x v="0"/>
    <n v="1.31"/>
    <x v="1"/>
    <n v="0.36"/>
  </r>
  <r>
    <n v="989"/>
    <x v="2"/>
    <x v="18"/>
    <x v="3"/>
    <x v="36"/>
    <x v="24"/>
    <n v="2.94"/>
    <x v="1"/>
    <n v="16.8"/>
    <x v="0"/>
    <n v="2.85"/>
    <x v="0"/>
    <n v="0.3"/>
  </r>
  <r>
    <n v="990"/>
    <x v="0"/>
    <x v="10"/>
    <x v="10"/>
    <x v="54"/>
    <x v="52"/>
    <n v="3.05"/>
    <x v="2"/>
    <n v="18.299999999999997"/>
    <x v="2"/>
    <n v="2.0299999999999998"/>
    <x v="0"/>
    <n v="0.38"/>
  </r>
  <r>
    <n v="991"/>
    <x v="16"/>
    <x v="0"/>
    <x v="22"/>
    <x v="27"/>
    <x v="20"/>
    <n v="3.3"/>
    <x v="2"/>
    <n v="15.600000000000001"/>
    <x v="2"/>
    <n v="3.46"/>
    <x v="0"/>
    <n v="0.56000000000000005"/>
  </r>
  <r>
    <n v="992"/>
    <x v="14"/>
    <x v="27"/>
    <x v="45"/>
    <x v="46"/>
    <x v="18"/>
    <n v="3.05"/>
    <x v="0"/>
    <n v="15.200000000000001"/>
    <x v="2"/>
    <n v="2.78"/>
    <x v="0"/>
    <n v="0.44"/>
  </r>
  <r>
    <n v="993"/>
    <x v="5"/>
    <x v="16"/>
    <x v="0"/>
    <x v="53"/>
    <x v="42"/>
    <n v="2.6"/>
    <x v="0"/>
    <n v="15.3"/>
    <x v="0"/>
    <n v="2.61"/>
    <x v="0"/>
    <n v="0.39"/>
  </r>
  <r>
    <n v="994"/>
    <x v="3"/>
    <x v="2"/>
    <x v="19"/>
    <x v="42"/>
    <x v="33"/>
    <n v="2.82"/>
    <x v="0"/>
    <n v="15.8"/>
    <x v="0"/>
    <n v="2.04"/>
    <x v="0"/>
    <n v="0.41"/>
  </r>
  <r>
    <n v="995"/>
    <x v="24"/>
    <x v="24"/>
    <x v="28"/>
    <x v="16"/>
    <x v="30"/>
    <n v="3.44"/>
    <x v="2"/>
    <n v="15"/>
    <x v="2"/>
    <n v="4.1100000000000003"/>
    <x v="0"/>
    <n v="0.66"/>
  </r>
  <r>
    <n v="996"/>
    <x v="10"/>
    <x v="22"/>
    <x v="13"/>
    <x v="9"/>
    <x v="36"/>
    <n v="3.5"/>
    <x v="2"/>
    <n v="17.399999999999999"/>
    <x v="1"/>
    <n v="3.86"/>
    <x v="0"/>
    <n v="0.56000000000000005"/>
  </r>
  <r>
    <n v="997"/>
    <x v="49"/>
    <x v="21"/>
    <x v="3"/>
    <x v="9"/>
    <x v="47"/>
    <n v="3"/>
    <x v="0"/>
    <n v="16.8"/>
    <x v="2"/>
    <n v="2.0699999999999998"/>
    <x v="0"/>
    <n v="0.42"/>
  </r>
  <r>
    <n v="998"/>
    <x v="35"/>
    <x v="29"/>
    <x v="37"/>
    <x v="5"/>
    <x v="83"/>
    <n v="2.4900000000000002"/>
    <x v="1"/>
    <n v="17"/>
    <x v="3"/>
    <n v="4.2300000000000004"/>
    <x v="0"/>
    <n v="0.34"/>
  </r>
  <r>
    <n v="999"/>
    <x v="31"/>
    <x v="1"/>
    <x v="24"/>
    <x v="26"/>
    <x v="74"/>
    <n v="3.01"/>
    <x v="2"/>
    <n v="18.2"/>
    <x v="2"/>
    <n v="2.2400000000000002"/>
    <x v="0"/>
    <n v="0.43"/>
  </r>
  <r>
    <n v="1000"/>
    <x v="40"/>
    <x v="37"/>
    <x v="36"/>
    <x v="60"/>
    <x v="55"/>
    <n v="3.63"/>
    <x v="2"/>
    <n v="16.5"/>
    <x v="1"/>
    <n v="3.99"/>
    <x v="0"/>
    <n v="0.52"/>
  </r>
  <r>
    <n v="1001"/>
    <x v="40"/>
    <x v="12"/>
    <x v="35"/>
    <x v="4"/>
    <x v="54"/>
    <n v="3.26"/>
    <x v="2"/>
    <n v="18.8"/>
    <x v="2"/>
    <n v="2.93"/>
    <x v="0"/>
    <n v="0.45"/>
  </r>
  <r>
    <n v="1002"/>
    <x v="50"/>
    <x v="7"/>
    <x v="26"/>
    <x v="10"/>
    <x v="0"/>
    <n v="3.19"/>
    <x v="0"/>
    <n v="15.4"/>
    <x v="2"/>
    <n v="2.54"/>
    <x v="0"/>
    <n v="0.49"/>
  </r>
  <r>
    <n v="1003"/>
    <x v="21"/>
    <x v="1"/>
    <x v="44"/>
    <x v="15"/>
    <x v="19"/>
    <n v="3.43"/>
    <x v="2"/>
    <n v="16.7"/>
    <x v="2"/>
    <n v="3.28"/>
    <x v="0"/>
    <n v="0.54"/>
  </r>
  <r>
    <n v="1004"/>
    <x v="40"/>
    <x v="11"/>
    <x v="41"/>
    <x v="0"/>
    <x v="60"/>
    <n v="3.26"/>
    <x v="2"/>
    <n v="14.700000000000001"/>
    <x v="2"/>
    <n v="3.45"/>
    <x v="0"/>
    <n v="0.57999999999999996"/>
  </r>
  <r>
    <n v="1005"/>
    <x v="1"/>
    <x v="9"/>
    <x v="20"/>
    <x v="46"/>
    <x v="80"/>
    <n v="2.9"/>
    <x v="1"/>
    <n v="16.899999999999999"/>
    <x v="0"/>
    <n v="1.46"/>
    <x v="1"/>
    <n v="0.31"/>
  </r>
  <r>
    <n v="1006"/>
    <x v="44"/>
    <x v="39"/>
    <x v="43"/>
    <x v="37"/>
    <x v="1"/>
    <n v="3.07"/>
    <x v="0"/>
    <n v="14.1"/>
    <x v="2"/>
    <n v="3.15"/>
    <x v="0"/>
    <n v="0.55000000000000004"/>
  </r>
  <r>
    <n v="1007"/>
    <x v="3"/>
    <x v="35"/>
    <x v="41"/>
    <x v="45"/>
    <x v="57"/>
    <n v="2.92"/>
    <x v="0"/>
    <n v="14.700000000000001"/>
    <x v="0"/>
    <n v="2.2599999999999998"/>
    <x v="0"/>
    <n v="0.44"/>
  </r>
  <r>
    <n v="1008"/>
    <x v="3"/>
    <x v="34"/>
    <x v="49"/>
    <x v="25"/>
    <x v="40"/>
    <n v="2.93"/>
    <x v="0"/>
    <n v="16.600000000000001"/>
    <x v="0"/>
    <n v="2.33"/>
    <x v="0"/>
    <n v="0.39"/>
  </r>
  <r>
    <n v="1009"/>
    <x v="35"/>
    <x v="17"/>
    <x v="39"/>
    <x v="11"/>
    <x v="43"/>
    <n v="2.87"/>
    <x v="1"/>
    <n v="14.299999999999999"/>
    <x v="0"/>
    <n v="2.21"/>
    <x v="0"/>
    <n v="0.41"/>
  </r>
  <r>
    <n v="1010"/>
    <x v="37"/>
    <x v="7"/>
    <x v="44"/>
    <x v="33"/>
    <x v="47"/>
    <n v="2.95"/>
    <x v="1"/>
    <n v="16.7"/>
    <x v="0"/>
    <n v="1.28"/>
    <x v="1"/>
    <n v="0.35"/>
  </r>
  <r>
    <n v="1011"/>
    <x v="24"/>
    <x v="39"/>
    <x v="42"/>
    <x v="33"/>
    <x v="80"/>
    <n v="3.32"/>
    <x v="2"/>
    <n v="18.5"/>
    <x v="2"/>
    <n v="3.99"/>
    <x v="0"/>
    <n v="0.54"/>
  </r>
  <r>
    <n v="1012"/>
    <x v="8"/>
    <x v="18"/>
    <x v="15"/>
    <x v="44"/>
    <x v="16"/>
    <n v="2.66"/>
    <x v="1"/>
    <n v="15.1"/>
    <x v="0"/>
    <n v="4.1500000000000004"/>
    <x v="0"/>
    <n v="0.34"/>
  </r>
  <r>
    <n v="1013"/>
    <x v="34"/>
    <x v="21"/>
    <x v="20"/>
    <x v="39"/>
    <x v="87"/>
    <n v="3.17"/>
    <x v="0"/>
    <n v="16.899999999999999"/>
    <x v="2"/>
    <n v="3.5"/>
    <x v="0"/>
    <n v="0.43"/>
  </r>
  <r>
    <n v="1014"/>
    <x v="46"/>
    <x v="3"/>
    <x v="49"/>
    <x v="29"/>
    <x v="64"/>
    <n v="3.13"/>
    <x v="0"/>
    <n v="16.600000000000001"/>
    <x v="2"/>
    <n v="2.4300000000000002"/>
    <x v="0"/>
    <n v="0.43"/>
  </r>
  <r>
    <n v="1015"/>
    <x v="33"/>
    <x v="7"/>
    <x v="23"/>
    <x v="20"/>
    <x v="93"/>
    <n v="2.81"/>
    <x v="2"/>
    <n v="17.3"/>
    <x v="0"/>
    <n v="3.47"/>
    <x v="0"/>
    <n v="0.54"/>
  </r>
  <r>
    <n v="1016"/>
    <x v="11"/>
    <x v="0"/>
    <x v="10"/>
    <x v="38"/>
    <x v="2"/>
    <n v="3.07"/>
    <x v="2"/>
    <n v="18.299999999999997"/>
    <x v="2"/>
    <n v="1.3"/>
    <x v="1"/>
    <n v="0.35"/>
  </r>
  <r>
    <n v="1017"/>
    <x v="11"/>
    <x v="8"/>
    <x v="37"/>
    <x v="49"/>
    <x v="61"/>
    <n v="2.98"/>
    <x v="0"/>
    <n v="17"/>
    <x v="0"/>
    <n v="2.46"/>
    <x v="0"/>
    <n v="0.38"/>
  </r>
  <r>
    <n v="1018"/>
    <x v="38"/>
    <x v="4"/>
    <x v="3"/>
    <x v="37"/>
    <x v="69"/>
    <n v="2.68"/>
    <x v="1"/>
    <n v="16.8"/>
    <x v="0"/>
    <n v="3.05"/>
    <x v="0"/>
    <n v="0.32"/>
  </r>
  <r>
    <n v="1019"/>
    <x v="45"/>
    <x v="17"/>
    <x v="38"/>
    <x v="45"/>
    <x v="32"/>
    <n v="3.1"/>
    <x v="2"/>
    <n v="18.600000000000001"/>
    <x v="2"/>
    <n v="3.78"/>
    <x v="0"/>
    <n v="0.34"/>
  </r>
  <r>
    <n v="1020"/>
    <x v="30"/>
    <x v="38"/>
    <x v="9"/>
    <x v="41"/>
    <x v="56"/>
    <n v="3.05"/>
    <x v="2"/>
    <n v="14.9"/>
    <x v="2"/>
    <n v="4.5"/>
    <x v="0"/>
    <n v="0.64"/>
  </r>
  <r>
    <n v="1021"/>
    <x v="26"/>
    <x v="4"/>
    <x v="8"/>
    <x v="51"/>
    <x v="8"/>
    <n v="3.2"/>
    <x v="1"/>
    <n v="14.200000000000001"/>
    <x v="2"/>
    <n v="2.19"/>
    <x v="0"/>
    <n v="0.39"/>
  </r>
  <r>
    <n v="1022"/>
    <x v="39"/>
    <x v="36"/>
    <x v="33"/>
    <x v="20"/>
    <x v="36"/>
    <n v="3.21"/>
    <x v="2"/>
    <n v="17.599999999999998"/>
    <x v="2"/>
    <n v="2.96"/>
    <x v="0"/>
    <n v="0.49"/>
  </r>
  <r>
    <n v="1023"/>
    <x v="9"/>
    <x v="37"/>
    <x v="24"/>
    <x v="48"/>
    <x v="1"/>
    <n v="3.15"/>
    <x v="2"/>
    <n v="18.200000000000003"/>
    <x v="2"/>
    <n v="2.76"/>
    <x v="0"/>
    <n v="0.42"/>
  </r>
  <r>
    <n v="1024"/>
    <x v="6"/>
    <x v="22"/>
    <x v="25"/>
    <x v="1"/>
    <x v="74"/>
    <n v="3.44"/>
    <x v="0"/>
    <n v="16.3"/>
    <x v="2"/>
    <n v="2.96"/>
    <x v="0"/>
    <n v="0.49"/>
  </r>
  <r>
    <n v="1025"/>
    <x v="17"/>
    <x v="36"/>
    <x v="34"/>
    <x v="16"/>
    <x v="65"/>
    <n v="3.02"/>
    <x v="0"/>
    <n v="15.899999999999999"/>
    <x v="2"/>
    <n v="2.61"/>
    <x v="0"/>
    <n v="0.48"/>
  </r>
  <r>
    <n v="1026"/>
    <x v="0"/>
    <x v="29"/>
    <x v="3"/>
    <x v="59"/>
    <x v="34"/>
    <n v="3.14"/>
    <x v="0"/>
    <n v="16.8"/>
    <x v="2"/>
    <n v="2.2799999999999998"/>
    <x v="0"/>
    <n v="0.41"/>
  </r>
  <r>
    <n v="1027"/>
    <x v="36"/>
    <x v="16"/>
    <x v="31"/>
    <x v="31"/>
    <x v="67"/>
    <n v="2.99"/>
    <x v="0"/>
    <n v="16.100000000000001"/>
    <x v="0"/>
    <n v="2.36"/>
    <x v="0"/>
    <n v="0.46"/>
  </r>
  <r>
    <n v="1028"/>
    <x v="22"/>
    <x v="14"/>
    <x v="7"/>
    <x v="28"/>
    <x v="83"/>
    <n v="3.05"/>
    <x v="0"/>
    <n v="17.7"/>
    <x v="2"/>
    <n v="4.21"/>
    <x v="0"/>
    <n v="0.34"/>
  </r>
  <r>
    <n v="1029"/>
    <x v="27"/>
    <x v="14"/>
    <x v="3"/>
    <x v="34"/>
    <x v="39"/>
    <n v="3.45"/>
    <x v="2"/>
    <n v="16.8"/>
    <x v="2"/>
    <n v="3.41"/>
    <x v="0"/>
    <n v="0.49"/>
  </r>
  <r>
    <n v="1030"/>
    <x v="47"/>
    <x v="32"/>
    <x v="41"/>
    <x v="38"/>
    <x v="74"/>
    <n v="2.9"/>
    <x v="1"/>
    <n v="14.7"/>
    <x v="0"/>
    <n v="1.44"/>
    <x v="1"/>
    <n v="0.39"/>
  </r>
  <r>
    <n v="1031"/>
    <x v="15"/>
    <x v="24"/>
    <x v="42"/>
    <x v="56"/>
    <x v="42"/>
    <n v="3.49"/>
    <x v="2"/>
    <n v="18.5"/>
    <x v="2"/>
    <n v="3.18"/>
    <x v="0"/>
    <n v="0.46"/>
  </r>
  <r>
    <n v="1032"/>
    <x v="25"/>
    <x v="2"/>
    <x v="8"/>
    <x v="43"/>
    <x v="60"/>
    <n v="2.87"/>
    <x v="0"/>
    <n v="14.2"/>
    <x v="0"/>
    <n v="2.15"/>
    <x v="0"/>
    <n v="0.44"/>
  </r>
  <r>
    <n v="1033"/>
    <x v="14"/>
    <x v="7"/>
    <x v="8"/>
    <x v="3"/>
    <x v="19"/>
    <n v="3.06"/>
    <x v="0"/>
    <n v="14.2"/>
    <x v="2"/>
    <n v="2.25"/>
    <x v="0"/>
    <n v="0.47"/>
  </r>
  <r>
    <n v="1034"/>
    <x v="7"/>
    <x v="8"/>
    <x v="0"/>
    <x v="5"/>
    <x v="54"/>
    <n v="2.86"/>
    <x v="2"/>
    <n v="15.3"/>
    <x v="0"/>
    <n v="3.81"/>
    <x v="0"/>
    <n v="0.55000000000000004"/>
  </r>
  <r>
    <n v="1035"/>
    <x v="8"/>
    <x v="24"/>
    <x v="12"/>
    <x v="31"/>
    <x v="21"/>
    <n v="2.38"/>
    <x v="1"/>
    <n v="17.2"/>
    <x v="3"/>
    <n v="3.31"/>
    <x v="0"/>
    <n v="0.3"/>
  </r>
  <r>
    <n v="1036"/>
    <x v="5"/>
    <x v="28"/>
    <x v="43"/>
    <x v="10"/>
    <x v="17"/>
    <n v="2.88"/>
    <x v="0"/>
    <n v="14.1"/>
    <x v="0"/>
    <n v="2.11"/>
    <x v="0"/>
    <n v="0.43"/>
  </r>
  <r>
    <n v="1037"/>
    <x v="46"/>
    <x v="32"/>
    <x v="43"/>
    <x v="27"/>
    <x v="61"/>
    <n v="3.31"/>
    <x v="0"/>
    <n v="14.1"/>
    <x v="2"/>
    <n v="2.64"/>
    <x v="0"/>
    <n v="0.51"/>
  </r>
  <r>
    <n v="1038"/>
    <x v="6"/>
    <x v="31"/>
    <x v="22"/>
    <x v="53"/>
    <x v="53"/>
    <n v="3.39"/>
    <x v="0"/>
    <n v="15.600000000000001"/>
    <x v="2"/>
    <n v="4.07"/>
    <x v="0"/>
    <n v="0.51"/>
  </r>
  <r>
    <n v="1039"/>
    <x v="6"/>
    <x v="15"/>
    <x v="18"/>
    <x v="55"/>
    <x v="20"/>
    <n v="2.9"/>
    <x v="0"/>
    <n v="17.899999999999999"/>
    <x v="0"/>
    <n v="2.68"/>
    <x v="0"/>
    <n v="0.45"/>
  </r>
  <r>
    <n v="1040"/>
    <x v="47"/>
    <x v="0"/>
    <x v="38"/>
    <x v="2"/>
    <x v="27"/>
    <n v="2.81"/>
    <x v="2"/>
    <n v="18.600000000000001"/>
    <x v="0"/>
    <n v="2.85"/>
    <x v="0"/>
    <n v="0.31"/>
  </r>
  <r>
    <n v="1041"/>
    <x v="14"/>
    <x v="25"/>
    <x v="25"/>
    <x v="44"/>
    <x v="28"/>
    <n v="2.81"/>
    <x v="0"/>
    <n v="16.3"/>
    <x v="0"/>
    <n v="2.89"/>
    <x v="0"/>
    <n v="0.41"/>
  </r>
  <r>
    <n v="1042"/>
    <x v="22"/>
    <x v="37"/>
    <x v="11"/>
    <x v="22"/>
    <x v="3"/>
    <n v="2.76"/>
    <x v="0"/>
    <n v="15.5"/>
    <x v="0"/>
    <n v="2.81"/>
    <x v="0"/>
    <n v="0.39"/>
  </r>
  <r>
    <n v="1043"/>
    <x v="23"/>
    <x v="37"/>
    <x v="43"/>
    <x v="32"/>
    <x v="56"/>
    <n v="2.89"/>
    <x v="0"/>
    <n v="14.100000000000001"/>
    <x v="0"/>
    <n v="3.07"/>
    <x v="0"/>
    <n v="0.48"/>
  </r>
  <r>
    <n v="1044"/>
    <x v="1"/>
    <x v="17"/>
    <x v="7"/>
    <x v="7"/>
    <x v="101"/>
    <n v="2.94"/>
    <x v="1"/>
    <n v="17.7"/>
    <x v="0"/>
    <n v="2.95"/>
    <x v="0"/>
    <n v="0.3"/>
  </r>
  <r>
    <n v="1045"/>
    <x v="13"/>
    <x v="23"/>
    <x v="2"/>
    <x v="24"/>
    <x v="22"/>
    <n v="3.11"/>
    <x v="2"/>
    <n v="14.8"/>
    <x v="2"/>
    <n v="3.62"/>
    <x v="0"/>
    <n v="0.6"/>
  </r>
  <r>
    <n v="1046"/>
    <x v="1"/>
    <x v="27"/>
    <x v="50"/>
    <x v="10"/>
    <x v="14"/>
    <n v="3.02"/>
    <x v="2"/>
    <n v="19"/>
    <x v="2"/>
    <n v="2.74"/>
    <x v="0"/>
    <n v="0.28000000000000003"/>
  </r>
  <r>
    <n v="1047"/>
    <x v="18"/>
    <x v="27"/>
    <x v="45"/>
    <x v="45"/>
    <x v="49"/>
    <n v="2.87"/>
    <x v="0"/>
    <n v="15.2"/>
    <x v="0"/>
    <n v="2.0699999999999998"/>
    <x v="0"/>
    <n v="0.43"/>
  </r>
  <r>
    <n v="1048"/>
    <x v="46"/>
    <x v="20"/>
    <x v="11"/>
    <x v="46"/>
    <x v="62"/>
    <n v="3.26"/>
    <x v="0"/>
    <n v="15.499999999999998"/>
    <x v="2"/>
    <n v="3.07"/>
    <x v="0"/>
    <n v="0.46"/>
  </r>
  <r>
    <n v="1049"/>
    <x v="22"/>
    <x v="12"/>
    <x v="1"/>
    <x v="57"/>
    <x v="0"/>
    <n v="3.01"/>
    <x v="0"/>
    <n v="16"/>
    <x v="2"/>
    <n v="2.12"/>
    <x v="0"/>
    <n v="0.38"/>
  </r>
  <r>
    <n v="1050"/>
    <x v="44"/>
    <x v="8"/>
    <x v="49"/>
    <x v="15"/>
    <x v="42"/>
    <n v="3.04"/>
    <x v="0"/>
    <n v="16.600000000000001"/>
    <x v="2"/>
    <n v="3.14"/>
    <x v="0"/>
    <n v="0.47"/>
  </r>
  <r>
    <n v="1051"/>
    <x v="31"/>
    <x v="7"/>
    <x v="48"/>
    <x v="7"/>
    <x v="93"/>
    <n v="3.05"/>
    <x v="0"/>
    <n v="16.2"/>
    <x v="2"/>
    <n v="2.69"/>
    <x v="0"/>
    <n v="0.49"/>
  </r>
  <r>
    <n v="1052"/>
    <x v="25"/>
    <x v="14"/>
    <x v="13"/>
    <x v="27"/>
    <x v="101"/>
    <n v="2.94"/>
    <x v="0"/>
    <n v="17.399999999999999"/>
    <x v="0"/>
    <n v="3.35"/>
    <x v="0"/>
    <n v="0.36"/>
  </r>
  <r>
    <n v="1053"/>
    <x v="50"/>
    <x v="17"/>
    <x v="7"/>
    <x v="0"/>
    <x v="72"/>
    <n v="3.21"/>
    <x v="0"/>
    <n v="17.700000000000003"/>
    <x v="2"/>
    <n v="2.87"/>
    <x v="0"/>
    <n v="0.42"/>
  </r>
  <r>
    <n v="1054"/>
    <x v="26"/>
    <x v="34"/>
    <x v="28"/>
    <x v="47"/>
    <x v="0"/>
    <n v="2.97"/>
    <x v="1"/>
    <n v="15"/>
    <x v="0"/>
    <n v="1.63"/>
    <x v="0"/>
    <n v="0.37"/>
  </r>
  <r>
    <n v="1055"/>
    <x v="41"/>
    <x v="12"/>
    <x v="2"/>
    <x v="38"/>
    <x v="60"/>
    <n v="2.72"/>
    <x v="1"/>
    <n v="14.799999999999999"/>
    <x v="0"/>
    <n v="1.32"/>
    <x v="1"/>
    <n v="0.38"/>
  </r>
  <r>
    <n v="1056"/>
    <x v="17"/>
    <x v="18"/>
    <x v="19"/>
    <x v="19"/>
    <x v="5"/>
    <n v="3.56"/>
    <x v="0"/>
    <n v="15.799999999999999"/>
    <x v="1"/>
    <n v="4.22"/>
    <x v="0"/>
    <n v="0.48"/>
  </r>
  <r>
    <n v="1057"/>
    <x v="46"/>
    <x v="28"/>
    <x v="25"/>
    <x v="44"/>
    <x v="77"/>
    <n v="3.28"/>
    <x v="0"/>
    <n v="16.3"/>
    <x v="2"/>
    <n v="3.55"/>
    <x v="0"/>
    <n v="0.44"/>
  </r>
  <r>
    <n v="1058"/>
    <x v="35"/>
    <x v="31"/>
    <x v="10"/>
    <x v="46"/>
    <x v="53"/>
    <n v="3"/>
    <x v="2"/>
    <n v="18.3"/>
    <x v="2"/>
    <n v="2.85"/>
    <x v="0"/>
    <n v="0.32"/>
  </r>
  <r>
    <n v="1059"/>
    <x v="17"/>
    <x v="35"/>
    <x v="42"/>
    <x v="42"/>
    <x v="43"/>
    <n v="3.17"/>
    <x v="2"/>
    <n v="18.5"/>
    <x v="2"/>
    <n v="2.38"/>
    <x v="0"/>
    <n v="0.41"/>
  </r>
  <r>
    <n v="1060"/>
    <x v="4"/>
    <x v="11"/>
    <x v="6"/>
    <x v="5"/>
    <x v="94"/>
    <n v="3.25"/>
    <x v="2"/>
    <n v="18.399999999999999"/>
    <x v="2"/>
    <n v="5.01"/>
    <x v="0"/>
    <n v="0.44"/>
  </r>
  <r>
    <n v="1061"/>
    <x v="45"/>
    <x v="30"/>
    <x v="7"/>
    <x v="29"/>
    <x v="21"/>
    <n v="2.97"/>
    <x v="0"/>
    <n v="17.7"/>
    <x v="0"/>
    <n v="3.69"/>
    <x v="0"/>
    <n v="0.36"/>
  </r>
  <r>
    <n v="1062"/>
    <x v="48"/>
    <x v="27"/>
    <x v="6"/>
    <x v="13"/>
    <x v="30"/>
    <n v="3.5"/>
    <x v="2"/>
    <n v="18.399999999999999"/>
    <x v="1"/>
    <n v="3.22"/>
    <x v="0"/>
    <n v="0.5"/>
  </r>
  <r>
    <n v="1063"/>
    <x v="11"/>
    <x v="12"/>
    <x v="23"/>
    <x v="49"/>
    <x v="36"/>
    <n v="2.78"/>
    <x v="0"/>
    <n v="17.3"/>
    <x v="0"/>
    <n v="2.17"/>
    <x v="0"/>
    <n v="0.37"/>
  </r>
  <r>
    <n v="1064"/>
    <x v="10"/>
    <x v="18"/>
    <x v="11"/>
    <x v="50"/>
    <x v="22"/>
    <n v="3.26"/>
    <x v="2"/>
    <n v="15.499999999999998"/>
    <x v="2"/>
    <n v="4.22"/>
    <x v="0"/>
    <n v="0.63"/>
  </r>
  <r>
    <n v="1065"/>
    <x v="48"/>
    <x v="2"/>
    <x v="43"/>
    <x v="28"/>
    <x v="38"/>
    <n v="3.48"/>
    <x v="2"/>
    <n v="14.1"/>
    <x v="2"/>
    <n v="4.12"/>
    <x v="0"/>
    <n v="0.65"/>
  </r>
  <r>
    <n v="1066"/>
    <x v="27"/>
    <x v="30"/>
    <x v="27"/>
    <x v="48"/>
    <x v="25"/>
    <n v="3.44"/>
    <x v="2"/>
    <n v="15.7"/>
    <x v="2"/>
    <n v="3.74"/>
    <x v="0"/>
    <n v="0.52"/>
  </r>
  <r>
    <n v="1067"/>
    <x v="20"/>
    <x v="6"/>
    <x v="35"/>
    <x v="4"/>
    <x v="7"/>
    <n v="3.55"/>
    <x v="2"/>
    <n v="18.8"/>
    <x v="1"/>
    <n v="3.6"/>
    <x v="0"/>
    <n v="0.51"/>
  </r>
  <r>
    <n v="1068"/>
    <x v="34"/>
    <x v="39"/>
    <x v="20"/>
    <x v="0"/>
    <x v="4"/>
    <n v="3.27"/>
    <x v="0"/>
    <n v="16.899999999999999"/>
    <x v="2"/>
    <n v="3.33"/>
    <x v="0"/>
    <n v="0.43"/>
  </r>
  <r>
    <n v="1069"/>
    <x v="20"/>
    <x v="12"/>
    <x v="13"/>
    <x v="56"/>
    <x v="52"/>
    <n v="3.37"/>
    <x v="2"/>
    <n v="17.399999999999999"/>
    <x v="2"/>
    <n v="3.5"/>
    <x v="0"/>
    <n v="0.55000000000000004"/>
  </r>
  <r>
    <n v="1070"/>
    <x v="23"/>
    <x v="33"/>
    <x v="27"/>
    <x v="33"/>
    <x v="20"/>
    <n v="2.58"/>
    <x v="0"/>
    <n v="15.700000000000001"/>
    <x v="0"/>
    <n v="2.16"/>
    <x v="0"/>
    <n v="0.43"/>
  </r>
  <r>
    <n v="1071"/>
    <x v="45"/>
    <x v="17"/>
    <x v="6"/>
    <x v="42"/>
    <x v="81"/>
    <n v="2.97"/>
    <x v="2"/>
    <n v="18.399999999999999"/>
    <x v="0"/>
    <n v="2.5499999999999998"/>
    <x v="0"/>
    <n v="0.34"/>
  </r>
  <r>
    <n v="1072"/>
    <x v="32"/>
    <x v="7"/>
    <x v="3"/>
    <x v="45"/>
    <x v="15"/>
    <n v="3.3"/>
    <x v="2"/>
    <n v="16.8"/>
    <x v="2"/>
    <n v="3.49"/>
    <x v="0"/>
    <n v="0.55000000000000004"/>
  </r>
  <r>
    <n v="1073"/>
    <x v="38"/>
    <x v="33"/>
    <x v="9"/>
    <x v="18"/>
    <x v="71"/>
    <n v="3.04"/>
    <x v="1"/>
    <n v="14.900000000000002"/>
    <x v="2"/>
    <n v="1.94"/>
    <x v="0"/>
    <n v="0.36"/>
  </r>
  <r>
    <n v="1074"/>
    <x v="33"/>
    <x v="19"/>
    <x v="48"/>
    <x v="27"/>
    <x v="50"/>
    <n v="3.36"/>
    <x v="2"/>
    <n v="16.2"/>
    <x v="2"/>
    <n v="3.96"/>
    <x v="0"/>
    <n v="0.57999999999999996"/>
  </r>
  <r>
    <n v="1075"/>
    <x v="26"/>
    <x v="7"/>
    <x v="9"/>
    <x v="13"/>
    <x v="89"/>
    <n v="2.44"/>
    <x v="1"/>
    <n v="14.9"/>
    <x v="3"/>
    <n v="1.73"/>
    <x v="0"/>
    <n v="0.37"/>
  </r>
  <r>
    <n v="1076"/>
    <x v="9"/>
    <x v="31"/>
    <x v="45"/>
    <x v="38"/>
    <x v="67"/>
    <n v="3"/>
    <x v="0"/>
    <n v="15.2"/>
    <x v="2"/>
    <n v="2.99"/>
    <x v="0"/>
    <n v="0.51"/>
  </r>
  <r>
    <n v="1077"/>
    <x v="37"/>
    <x v="40"/>
    <x v="46"/>
    <x v="5"/>
    <x v="99"/>
    <n v="3.11"/>
    <x v="2"/>
    <n v="18.100000000000001"/>
    <x v="2"/>
    <n v="5.0599999999999996"/>
    <x v="0"/>
    <n v="0.33"/>
  </r>
  <r>
    <n v="1078"/>
    <x v="2"/>
    <x v="39"/>
    <x v="31"/>
    <x v="36"/>
    <x v="46"/>
    <n v="2.82"/>
    <x v="1"/>
    <n v="16.100000000000001"/>
    <x v="0"/>
    <n v="2.59"/>
    <x v="0"/>
    <n v="0.32"/>
  </r>
  <r>
    <n v="1079"/>
    <x v="18"/>
    <x v="29"/>
    <x v="1"/>
    <x v="16"/>
    <x v="55"/>
    <n v="3.23"/>
    <x v="0"/>
    <n v="16"/>
    <x v="2"/>
    <n v="2.89"/>
    <x v="0"/>
    <n v="0.41"/>
  </r>
  <r>
    <n v="1080"/>
    <x v="39"/>
    <x v="33"/>
    <x v="29"/>
    <x v="11"/>
    <x v="57"/>
    <n v="3.67"/>
    <x v="2"/>
    <n v="18"/>
    <x v="1"/>
    <n v="2.98"/>
    <x v="0"/>
    <n v="0.48"/>
  </r>
  <r>
    <n v="1081"/>
    <x v="41"/>
    <x v="30"/>
    <x v="22"/>
    <x v="21"/>
    <x v="6"/>
    <n v="2.86"/>
    <x v="1"/>
    <n v="15.600000000000001"/>
    <x v="0"/>
    <n v="2.33"/>
    <x v="0"/>
    <n v="0.36"/>
  </r>
  <r>
    <n v="1082"/>
    <x v="37"/>
    <x v="31"/>
    <x v="9"/>
    <x v="38"/>
    <x v="43"/>
    <n v="2.96"/>
    <x v="1"/>
    <n v="14.9"/>
    <x v="0"/>
    <n v="2.4300000000000002"/>
    <x v="0"/>
    <n v="0.4"/>
  </r>
  <r>
    <n v="1083"/>
    <x v="4"/>
    <x v="34"/>
    <x v="11"/>
    <x v="26"/>
    <x v="86"/>
    <n v="3.12"/>
    <x v="2"/>
    <n v="15.499999999999998"/>
    <x v="2"/>
    <n v="3.09"/>
    <x v="0"/>
    <n v="0.52"/>
  </r>
  <r>
    <n v="1084"/>
    <x v="27"/>
    <x v="17"/>
    <x v="8"/>
    <x v="39"/>
    <x v="57"/>
    <n v="3.38"/>
    <x v="2"/>
    <n v="14.2"/>
    <x v="2"/>
    <n v="3.6"/>
    <x v="0"/>
    <n v="0.57999999999999996"/>
  </r>
  <r>
    <n v="1085"/>
    <x v="31"/>
    <x v="5"/>
    <x v="26"/>
    <x v="27"/>
    <x v="42"/>
    <n v="3.18"/>
    <x v="0"/>
    <n v="15.399999999999999"/>
    <x v="2"/>
    <n v="3.53"/>
    <x v="0"/>
    <n v="0.51"/>
  </r>
  <r>
    <n v="1086"/>
    <x v="20"/>
    <x v="40"/>
    <x v="10"/>
    <x v="47"/>
    <x v="37"/>
    <n v="3.12"/>
    <x v="2"/>
    <n v="18.3"/>
    <x v="2"/>
    <n v="3.7"/>
    <x v="0"/>
    <n v="0.52"/>
  </r>
  <r>
    <n v="1087"/>
    <x v="50"/>
    <x v="7"/>
    <x v="10"/>
    <x v="42"/>
    <x v="37"/>
    <n v="3.01"/>
    <x v="2"/>
    <n v="18.3"/>
    <x v="2"/>
    <n v="1.97"/>
    <x v="0"/>
    <n v="0.41"/>
  </r>
  <r>
    <n v="1088"/>
    <x v="7"/>
    <x v="21"/>
    <x v="45"/>
    <x v="25"/>
    <x v="1"/>
    <n v="3.17"/>
    <x v="2"/>
    <n v="15.200000000000001"/>
    <x v="2"/>
    <n v="3.14"/>
    <x v="0"/>
    <n v="0.55000000000000004"/>
  </r>
  <r>
    <n v="1089"/>
    <x v="46"/>
    <x v="37"/>
    <x v="43"/>
    <x v="18"/>
    <x v="34"/>
    <n v="2.89"/>
    <x v="0"/>
    <n v="14.100000000000001"/>
    <x v="0"/>
    <n v="2.67"/>
    <x v="0"/>
    <n v="0.51"/>
  </r>
  <r>
    <n v="1090"/>
    <x v="44"/>
    <x v="19"/>
    <x v="30"/>
    <x v="18"/>
    <x v="80"/>
    <n v="2.9"/>
    <x v="0"/>
    <n v="14.4"/>
    <x v="0"/>
    <n v="3.11"/>
    <x v="0"/>
    <n v="0.54"/>
  </r>
  <r>
    <n v="1091"/>
    <x v="30"/>
    <x v="31"/>
    <x v="27"/>
    <x v="46"/>
    <x v="31"/>
    <n v="3.56"/>
    <x v="2"/>
    <n v="15.7"/>
    <x v="1"/>
    <n v="4.3600000000000003"/>
    <x v="0"/>
    <n v="0.61"/>
  </r>
  <r>
    <n v="1092"/>
    <x v="7"/>
    <x v="28"/>
    <x v="46"/>
    <x v="45"/>
    <x v="24"/>
    <n v="3.25"/>
    <x v="2"/>
    <n v="18.100000000000001"/>
    <x v="2"/>
    <n v="3.57"/>
    <x v="0"/>
    <n v="0.46"/>
  </r>
  <r>
    <n v="1093"/>
    <x v="26"/>
    <x v="4"/>
    <x v="42"/>
    <x v="10"/>
    <x v="110"/>
    <n v="2.74"/>
    <x v="2"/>
    <n v="18.5"/>
    <x v="0"/>
    <n v="4.05"/>
    <x v="0"/>
    <n v="0.3"/>
  </r>
  <r>
    <n v="1094"/>
    <x v="47"/>
    <x v="12"/>
    <x v="29"/>
    <x v="17"/>
    <x v="104"/>
    <n v="2.92"/>
    <x v="1"/>
    <n v="18"/>
    <x v="0"/>
    <n v="3.72"/>
    <x v="0"/>
    <n v="0.32"/>
  </r>
  <r>
    <n v="1095"/>
    <x v="35"/>
    <x v="26"/>
    <x v="9"/>
    <x v="31"/>
    <x v="61"/>
    <n v="2.97"/>
    <x v="1"/>
    <n v="14.9"/>
    <x v="0"/>
    <n v="1.6"/>
    <x v="0"/>
    <n v="0.39"/>
  </r>
  <r>
    <n v="1096"/>
    <x v="7"/>
    <x v="33"/>
    <x v="34"/>
    <x v="22"/>
    <x v="61"/>
    <n v="3.68"/>
    <x v="2"/>
    <n v="15.900000000000002"/>
    <x v="1"/>
    <n v="3.09"/>
    <x v="0"/>
    <n v="0.53"/>
  </r>
  <r>
    <n v="1097"/>
    <x v="8"/>
    <x v="6"/>
    <x v="17"/>
    <x v="30"/>
    <x v="80"/>
    <n v="2.88"/>
    <x v="1"/>
    <n v="14.5"/>
    <x v="0"/>
    <n v="1.42"/>
    <x v="1"/>
    <n v="0.36"/>
  </r>
  <r>
    <n v="1098"/>
    <x v="7"/>
    <x v="2"/>
    <x v="43"/>
    <x v="2"/>
    <x v="35"/>
    <n v="3.08"/>
    <x v="2"/>
    <n v="14.1"/>
    <x v="2"/>
    <n v="3.55"/>
    <x v="0"/>
    <n v="0.6"/>
  </r>
  <r>
    <n v="1099"/>
    <x v="25"/>
    <x v="16"/>
    <x v="42"/>
    <x v="59"/>
    <x v="17"/>
    <n v="2.89"/>
    <x v="2"/>
    <n v="18.5"/>
    <x v="0"/>
    <n v="1.23"/>
    <x v="1"/>
    <n v="0.34"/>
  </r>
  <r>
    <n v="1100"/>
    <x v="27"/>
    <x v="13"/>
    <x v="3"/>
    <x v="31"/>
    <x v="64"/>
    <n v="3.38"/>
    <x v="2"/>
    <n v="16.799999999999997"/>
    <x v="2"/>
    <n v="3.06"/>
    <x v="0"/>
    <n v="0.49"/>
  </r>
  <r>
    <n v="1101"/>
    <x v="16"/>
    <x v="26"/>
    <x v="39"/>
    <x v="5"/>
    <x v="33"/>
    <n v="3.39"/>
    <x v="2"/>
    <n v="14.3"/>
    <x v="2"/>
    <n v="3.76"/>
    <x v="0"/>
    <n v="0.62"/>
  </r>
  <r>
    <n v="1102"/>
    <x v="45"/>
    <x v="11"/>
    <x v="7"/>
    <x v="57"/>
    <x v="40"/>
    <n v="3.06"/>
    <x v="0"/>
    <n v="17.7"/>
    <x v="2"/>
    <n v="2.77"/>
    <x v="0"/>
    <n v="0.36"/>
  </r>
  <r>
    <n v="1103"/>
    <x v="27"/>
    <x v="20"/>
    <x v="7"/>
    <x v="33"/>
    <x v="36"/>
    <n v="3.21"/>
    <x v="2"/>
    <n v="17.7"/>
    <x v="2"/>
    <n v="2.65"/>
    <x v="0"/>
    <n v="0.46"/>
  </r>
  <r>
    <n v="1104"/>
    <x v="4"/>
    <x v="4"/>
    <x v="9"/>
    <x v="25"/>
    <x v="11"/>
    <n v="3.15"/>
    <x v="2"/>
    <n v="14.899999999999999"/>
    <x v="2"/>
    <n v="3.44"/>
    <x v="0"/>
    <n v="0.54"/>
  </r>
  <r>
    <n v="1105"/>
    <x v="29"/>
    <x v="37"/>
    <x v="1"/>
    <x v="17"/>
    <x v="54"/>
    <n v="3.4"/>
    <x v="2"/>
    <n v="16"/>
    <x v="2"/>
    <n v="3.56"/>
    <x v="0"/>
    <n v="0.52"/>
  </r>
  <r>
    <n v="1106"/>
    <x v="43"/>
    <x v="40"/>
    <x v="7"/>
    <x v="8"/>
    <x v="47"/>
    <n v="3.39"/>
    <x v="2"/>
    <n v="17.7"/>
    <x v="2"/>
    <n v="3.95"/>
    <x v="0"/>
    <n v="0.56000000000000005"/>
  </r>
  <r>
    <n v="1107"/>
    <x v="42"/>
    <x v="26"/>
    <x v="36"/>
    <x v="52"/>
    <x v="35"/>
    <n v="3.35"/>
    <x v="2"/>
    <n v="16.5"/>
    <x v="2"/>
    <n v="3.99"/>
    <x v="0"/>
    <n v="0.59"/>
  </r>
  <r>
    <n v="1108"/>
    <x v="11"/>
    <x v="10"/>
    <x v="32"/>
    <x v="19"/>
    <x v="81"/>
    <n v="2.9"/>
    <x v="0"/>
    <n v="17.100000000000001"/>
    <x v="0"/>
    <n v="2.98"/>
    <x v="0"/>
    <n v="0.37"/>
  </r>
  <r>
    <n v="1109"/>
    <x v="14"/>
    <x v="2"/>
    <x v="34"/>
    <x v="4"/>
    <x v="60"/>
    <n v="2.89"/>
    <x v="0"/>
    <n v="15.9"/>
    <x v="0"/>
    <n v="1.94"/>
    <x v="0"/>
    <n v="0.42"/>
  </r>
  <r>
    <n v="1110"/>
    <x v="38"/>
    <x v="39"/>
    <x v="6"/>
    <x v="38"/>
    <x v="68"/>
    <n v="2.98"/>
    <x v="2"/>
    <n v="18.400000000000002"/>
    <x v="0"/>
    <n v="3.8"/>
    <x v="0"/>
    <n v="0.28999999999999998"/>
  </r>
  <r>
    <n v="1111"/>
    <x v="20"/>
    <x v="14"/>
    <x v="2"/>
    <x v="25"/>
    <x v="0"/>
    <n v="3.64"/>
    <x v="2"/>
    <n v="14.8"/>
    <x v="1"/>
    <n v="3.94"/>
    <x v="0"/>
    <n v="0.65"/>
  </r>
  <r>
    <n v="1112"/>
    <x v="37"/>
    <x v="29"/>
    <x v="19"/>
    <x v="53"/>
    <x v="101"/>
    <n v="3.07"/>
    <x v="1"/>
    <n v="15.8"/>
    <x v="2"/>
    <n v="3.66"/>
    <x v="0"/>
    <n v="0.37"/>
  </r>
  <r>
    <n v="1113"/>
    <x v="23"/>
    <x v="3"/>
    <x v="40"/>
    <x v="52"/>
    <x v="65"/>
    <n v="2.96"/>
    <x v="0"/>
    <n v="14"/>
    <x v="0"/>
    <n v="2.21"/>
    <x v="0"/>
    <n v="0.49"/>
  </r>
  <r>
    <n v="1114"/>
    <x v="21"/>
    <x v="21"/>
    <x v="14"/>
    <x v="22"/>
    <x v="20"/>
    <n v="3.61"/>
    <x v="2"/>
    <n v="14.600000000000001"/>
    <x v="1"/>
    <n v="3.59"/>
    <x v="0"/>
    <n v="0.62"/>
  </r>
  <r>
    <n v="1115"/>
    <x v="6"/>
    <x v="25"/>
    <x v="20"/>
    <x v="24"/>
    <x v="54"/>
    <n v="3.13"/>
    <x v="0"/>
    <n v="16.899999999999999"/>
    <x v="2"/>
    <n v="3.16"/>
    <x v="0"/>
    <n v="0.47"/>
  </r>
  <r>
    <n v="1116"/>
    <x v="22"/>
    <x v="20"/>
    <x v="13"/>
    <x v="7"/>
    <x v="91"/>
    <n v="3.01"/>
    <x v="0"/>
    <n v="17.399999999999999"/>
    <x v="2"/>
    <n v="1.64"/>
    <x v="0"/>
    <n v="0.35"/>
  </r>
  <r>
    <n v="1117"/>
    <x v="35"/>
    <x v="0"/>
    <x v="41"/>
    <x v="13"/>
    <x v="86"/>
    <n v="3.16"/>
    <x v="1"/>
    <n v="14.7"/>
    <x v="2"/>
    <n v="2.15"/>
    <x v="0"/>
    <n v="0.39"/>
  </r>
  <r>
    <n v="1118"/>
    <x v="47"/>
    <x v="38"/>
    <x v="16"/>
    <x v="38"/>
    <x v="94"/>
    <n v="2.75"/>
    <x v="2"/>
    <n v="18.899999999999999"/>
    <x v="0"/>
    <n v="4.0599999999999996"/>
    <x v="0"/>
    <n v="0.3"/>
  </r>
  <r>
    <n v="1119"/>
    <x v="34"/>
    <x v="3"/>
    <x v="50"/>
    <x v="10"/>
    <x v="77"/>
    <n v="3"/>
    <x v="2"/>
    <n v="19"/>
    <x v="2"/>
    <n v="2.83"/>
    <x v="0"/>
    <n v="0.38"/>
  </r>
  <r>
    <n v="1120"/>
    <x v="39"/>
    <x v="22"/>
    <x v="9"/>
    <x v="37"/>
    <x v="19"/>
    <n v="3.65"/>
    <x v="2"/>
    <n v="14.899999999999999"/>
    <x v="1"/>
    <n v="3.44"/>
    <x v="0"/>
    <n v="0.57999999999999996"/>
  </r>
  <r>
    <n v="1121"/>
    <x v="22"/>
    <x v="22"/>
    <x v="34"/>
    <x v="55"/>
    <x v="29"/>
    <n v="2.61"/>
    <x v="0"/>
    <n v="15.9"/>
    <x v="0"/>
    <n v="2.2400000000000002"/>
    <x v="0"/>
    <n v="0.38"/>
  </r>
  <r>
    <n v="1122"/>
    <x v="32"/>
    <x v="33"/>
    <x v="3"/>
    <x v="29"/>
    <x v="52"/>
    <n v="3.29"/>
    <x v="2"/>
    <n v="16.8"/>
    <x v="2"/>
    <n v="3.4"/>
    <x v="0"/>
    <n v="0.55000000000000004"/>
  </r>
  <r>
    <n v="1123"/>
    <x v="5"/>
    <x v="25"/>
    <x v="12"/>
    <x v="49"/>
    <x v="65"/>
    <n v="2.5"/>
    <x v="0"/>
    <n v="17.2"/>
    <x v="0"/>
    <n v="1.96"/>
    <x v="0"/>
    <n v="0.35"/>
  </r>
  <r>
    <n v="1124"/>
    <x v="44"/>
    <x v="26"/>
    <x v="28"/>
    <x v="16"/>
    <x v="20"/>
    <n v="2.6"/>
    <x v="0"/>
    <n v="15"/>
    <x v="0"/>
    <n v="2.85"/>
    <x v="0"/>
    <n v="0.52"/>
  </r>
  <r>
    <n v="1125"/>
    <x v="15"/>
    <x v="32"/>
    <x v="36"/>
    <x v="27"/>
    <x v="57"/>
    <n v="2.97"/>
    <x v="2"/>
    <n v="16.5"/>
    <x v="0"/>
    <n v="3.3"/>
    <x v="0"/>
    <n v="0.52"/>
  </r>
  <r>
    <n v="1126"/>
    <x v="20"/>
    <x v="17"/>
    <x v="8"/>
    <x v="45"/>
    <x v="33"/>
    <n v="3.39"/>
    <x v="2"/>
    <n v="14.200000000000001"/>
    <x v="2"/>
    <n v="4.04"/>
    <x v="0"/>
    <n v="0.68"/>
  </r>
  <r>
    <n v="1127"/>
    <x v="27"/>
    <x v="9"/>
    <x v="6"/>
    <x v="29"/>
    <x v="42"/>
    <n v="3.28"/>
    <x v="2"/>
    <n v="18.399999999999999"/>
    <x v="2"/>
    <n v="2.9"/>
    <x v="0"/>
    <n v="0.45"/>
  </r>
  <r>
    <n v="1128"/>
    <x v="46"/>
    <x v="34"/>
    <x v="18"/>
    <x v="43"/>
    <x v="4"/>
    <n v="2.92"/>
    <x v="0"/>
    <n v="17.899999999999999"/>
    <x v="0"/>
    <n v="2.94"/>
    <x v="0"/>
    <n v="0.4"/>
  </r>
  <r>
    <n v="1129"/>
    <x v="49"/>
    <x v="26"/>
    <x v="26"/>
    <x v="15"/>
    <x v="65"/>
    <n v="2.88"/>
    <x v="0"/>
    <n v="15.399999999999999"/>
    <x v="0"/>
    <n v="2.21"/>
    <x v="0"/>
    <n v="0.45"/>
  </r>
  <r>
    <n v="1130"/>
    <x v="24"/>
    <x v="33"/>
    <x v="33"/>
    <x v="58"/>
    <x v="15"/>
    <n v="3.49"/>
    <x v="2"/>
    <n v="17.600000000000001"/>
    <x v="2"/>
    <n v="3.68"/>
    <x v="0"/>
    <n v="0.56000000000000005"/>
  </r>
  <r>
    <n v="1131"/>
    <x v="26"/>
    <x v="2"/>
    <x v="46"/>
    <x v="42"/>
    <x v="11"/>
    <n v="2.99"/>
    <x v="2"/>
    <n v="18.100000000000001"/>
    <x v="0"/>
    <n v="0.78"/>
    <x v="1"/>
    <n v="0.3"/>
  </r>
  <r>
    <n v="1132"/>
    <x v="13"/>
    <x v="33"/>
    <x v="34"/>
    <x v="23"/>
    <x v="31"/>
    <n v="3.14"/>
    <x v="2"/>
    <n v="15.900000000000002"/>
    <x v="2"/>
    <n v="3.56"/>
    <x v="0"/>
    <n v="0.56000000000000005"/>
  </r>
  <r>
    <n v="1133"/>
    <x v="38"/>
    <x v="17"/>
    <x v="47"/>
    <x v="48"/>
    <x v="7"/>
    <n v="3.1"/>
    <x v="1"/>
    <n v="17.8"/>
    <x v="2"/>
    <n v="2.12"/>
    <x v="0"/>
    <n v="0.3"/>
  </r>
  <r>
    <n v="1134"/>
    <x v="7"/>
    <x v="40"/>
    <x v="47"/>
    <x v="3"/>
    <x v="81"/>
    <n v="3.12"/>
    <x v="2"/>
    <n v="17.8"/>
    <x v="2"/>
    <n v="3.76"/>
    <x v="0"/>
    <n v="0.47"/>
  </r>
  <r>
    <n v="1135"/>
    <x v="19"/>
    <x v="22"/>
    <x v="16"/>
    <x v="46"/>
    <x v="40"/>
    <n v="3.05"/>
    <x v="2"/>
    <n v="18.899999999999999"/>
    <x v="2"/>
    <n v="2.67"/>
    <x v="0"/>
    <n v="0.38"/>
  </r>
  <r>
    <n v="1136"/>
    <x v="14"/>
    <x v="38"/>
    <x v="22"/>
    <x v="55"/>
    <x v="29"/>
    <n v="3.05"/>
    <x v="0"/>
    <n v="15.6"/>
    <x v="2"/>
    <n v="2.84"/>
    <x v="0"/>
    <n v="0.43"/>
  </r>
  <r>
    <n v="1137"/>
    <x v="47"/>
    <x v="4"/>
    <x v="28"/>
    <x v="40"/>
    <x v="64"/>
    <n v="2.88"/>
    <x v="1"/>
    <n v="15"/>
    <x v="0"/>
    <n v="2.2599999999999998"/>
    <x v="0"/>
    <n v="0.38"/>
  </r>
  <r>
    <n v="1138"/>
    <x v="3"/>
    <x v="24"/>
    <x v="45"/>
    <x v="36"/>
    <x v="36"/>
    <n v="2.88"/>
    <x v="0"/>
    <n v="15.2"/>
    <x v="0"/>
    <n v="2.31"/>
    <x v="0"/>
    <n v="0.43"/>
  </r>
  <r>
    <n v="1139"/>
    <x v="49"/>
    <x v="0"/>
    <x v="37"/>
    <x v="47"/>
    <x v="22"/>
    <n v="3.24"/>
    <x v="0"/>
    <n v="17"/>
    <x v="2"/>
    <n v="2.23"/>
    <x v="0"/>
    <n v="0.41"/>
  </r>
  <r>
    <n v="1140"/>
    <x v="30"/>
    <x v="11"/>
    <x v="39"/>
    <x v="40"/>
    <x v="39"/>
    <n v="3.42"/>
    <x v="2"/>
    <n v="14.3"/>
    <x v="2"/>
    <n v="4.22"/>
    <x v="0"/>
    <n v="0.66"/>
  </r>
  <r>
    <n v="1141"/>
    <x v="21"/>
    <x v="40"/>
    <x v="28"/>
    <x v="13"/>
    <x v="39"/>
    <n v="3.37"/>
    <x v="2"/>
    <n v="15.000000000000002"/>
    <x v="2"/>
    <n v="3.89"/>
    <x v="0"/>
    <n v="0.6"/>
  </r>
  <r>
    <n v="1142"/>
    <x v="8"/>
    <x v="4"/>
    <x v="25"/>
    <x v="38"/>
    <x v="87"/>
    <n v="2.77"/>
    <x v="1"/>
    <n v="16.3"/>
    <x v="0"/>
    <n v="2.72"/>
    <x v="0"/>
    <n v="0.32"/>
  </r>
  <r>
    <n v="1143"/>
    <x v="27"/>
    <x v="18"/>
    <x v="8"/>
    <x v="5"/>
    <x v="40"/>
    <n v="3.37"/>
    <x v="2"/>
    <n v="14.2"/>
    <x v="2"/>
    <n v="4.01"/>
    <x v="0"/>
    <n v="0.57999999999999996"/>
  </r>
  <r>
    <n v="1144"/>
    <x v="29"/>
    <x v="10"/>
    <x v="16"/>
    <x v="35"/>
    <x v="49"/>
    <n v="3.27"/>
    <x v="2"/>
    <n v="18.900000000000002"/>
    <x v="2"/>
    <n v="2.41"/>
    <x v="0"/>
    <n v="0.44"/>
  </r>
  <r>
    <n v="1145"/>
    <x v="34"/>
    <x v="14"/>
    <x v="38"/>
    <x v="50"/>
    <x v="7"/>
    <n v="3.41"/>
    <x v="2"/>
    <n v="18.600000000000001"/>
    <x v="2"/>
    <n v="2.21"/>
    <x v="0"/>
    <n v="0.39"/>
  </r>
  <r>
    <n v="1146"/>
    <x v="36"/>
    <x v="4"/>
    <x v="19"/>
    <x v="43"/>
    <x v="53"/>
    <n v="3.11"/>
    <x v="0"/>
    <n v="15.8"/>
    <x v="2"/>
    <n v="3.65"/>
    <x v="0"/>
    <n v="0.47"/>
  </r>
  <r>
    <n v="1147"/>
    <x v="33"/>
    <x v="25"/>
    <x v="24"/>
    <x v="34"/>
    <x v="31"/>
    <n v="3.25"/>
    <x v="2"/>
    <n v="18.2"/>
    <x v="2"/>
    <n v="3.9"/>
    <x v="0"/>
    <n v="0.52"/>
  </r>
  <r>
    <n v="1148"/>
    <x v="4"/>
    <x v="19"/>
    <x v="28"/>
    <x v="12"/>
    <x v="25"/>
    <n v="3.22"/>
    <x v="2"/>
    <n v="14.999999999999998"/>
    <x v="2"/>
    <n v="3.4"/>
    <x v="0"/>
    <n v="0.54"/>
  </r>
  <r>
    <n v="1149"/>
    <x v="24"/>
    <x v="14"/>
    <x v="44"/>
    <x v="26"/>
    <x v="51"/>
    <n v="3.51"/>
    <x v="2"/>
    <n v="16.7"/>
    <x v="1"/>
    <n v="3.94"/>
    <x v="0"/>
    <n v="0.59"/>
  </r>
  <r>
    <n v="1150"/>
    <x v="9"/>
    <x v="31"/>
    <x v="20"/>
    <x v="41"/>
    <x v="98"/>
    <n v="2.94"/>
    <x v="0"/>
    <n v="16.899999999999999"/>
    <x v="0"/>
    <n v="3.04"/>
    <x v="0"/>
    <n v="0.46"/>
  </r>
  <r>
    <n v="1151"/>
    <x v="32"/>
    <x v="31"/>
    <x v="42"/>
    <x v="16"/>
    <x v="85"/>
    <n v="3.29"/>
    <x v="2"/>
    <n v="18.5"/>
    <x v="2"/>
    <n v="4.3"/>
    <x v="0"/>
    <n v="0.5"/>
  </r>
  <r>
    <n v="1152"/>
    <x v="4"/>
    <x v="29"/>
    <x v="15"/>
    <x v="22"/>
    <x v="6"/>
    <n v="3.27"/>
    <x v="2"/>
    <n v="15.100000000000001"/>
    <x v="2"/>
    <n v="3.2"/>
    <x v="0"/>
    <n v="0.54"/>
  </r>
  <r>
    <n v="1153"/>
    <x v="27"/>
    <x v="22"/>
    <x v="26"/>
    <x v="21"/>
    <x v="25"/>
    <n v="3.03"/>
    <x v="2"/>
    <n v="15.4"/>
    <x v="2"/>
    <n v="3.51"/>
    <x v="0"/>
    <n v="0.53"/>
  </r>
  <r>
    <n v="1154"/>
    <x v="19"/>
    <x v="4"/>
    <x v="11"/>
    <x v="47"/>
    <x v="74"/>
    <n v="3.11"/>
    <x v="0"/>
    <n v="15.5"/>
    <x v="2"/>
    <n v="2.71"/>
    <x v="0"/>
    <n v="0.46"/>
  </r>
  <r>
    <n v="1155"/>
    <x v="26"/>
    <x v="14"/>
    <x v="9"/>
    <x v="54"/>
    <x v="0"/>
    <n v="2.95"/>
    <x v="1"/>
    <n v="14.9"/>
    <x v="0"/>
    <n v="2.11"/>
    <x v="0"/>
    <n v="0.37"/>
  </r>
  <r>
    <n v="1156"/>
    <x v="9"/>
    <x v="37"/>
    <x v="2"/>
    <x v="56"/>
    <x v="12"/>
    <n v="3.16"/>
    <x v="0"/>
    <n v="14.8"/>
    <x v="2"/>
    <n v="2.72"/>
    <x v="0"/>
    <n v="0.52"/>
  </r>
  <r>
    <n v="1157"/>
    <x v="36"/>
    <x v="14"/>
    <x v="2"/>
    <x v="9"/>
    <x v="38"/>
    <n v="2.77"/>
    <x v="0"/>
    <n v="14.8"/>
    <x v="0"/>
    <n v="2.89"/>
    <x v="0"/>
    <n v="0.5"/>
  </r>
  <r>
    <n v="1158"/>
    <x v="50"/>
    <x v="32"/>
    <x v="47"/>
    <x v="12"/>
    <x v="74"/>
    <n v="2.93"/>
    <x v="0"/>
    <n v="17.8"/>
    <x v="0"/>
    <n v="2.2799999999999998"/>
    <x v="0"/>
    <n v="0.42"/>
  </r>
  <r>
    <n v="1159"/>
    <x v="36"/>
    <x v="17"/>
    <x v="42"/>
    <x v="25"/>
    <x v="14"/>
    <n v="3.09"/>
    <x v="2"/>
    <n v="18.5"/>
    <x v="2"/>
    <n v="3.8"/>
    <x v="0"/>
    <n v="0.4"/>
  </r>
  <r>
    <n v="1160"/>
    <x v="35"/>
    <x v="6"/>
    <x v="4"/>
    <x v="39"/>
    <x v="94"/>
    <n v="2.92"/>
    <x v="1"/>
    <n v="17.5"/>
    <x v="0"/>
    <n v="4.26"/>
    <x v="0"/>
    <n v="0.33"/>
  </r>
  <r>
    <n v="1161"/>
    <x v="18"/>
    <x v="9"/>
    <x v="48"/>
    <x v="11"/>
    <x v="71"/>
    <n v="3.09"/>
    <x v="0"/>
    <n v="16.2"/>
    <x v="2"/>
    <n v="2.2599999999999998"/>
    <x v="0"/>
    <n v="0.41"/>
  </r>
  <r>
    <n v="1162"/>
    <x v="0"/>
    <x v="19"/>
    <x v="47"/>
    <x v="56"/>
    <x v="85"/>
    <n v="3.02"/>
    <x v="0"/>
    <n v="17.8"/>
    <x v="2"/>
    <n v="3.08"/>
    <x v="0"/>
    <n v="0.39"/>
  </r>
  <r>
    <n v="1163"/>
    <x v="16"/>
    <x v="40"/>
    <x v="11"/>
    <x v="28"/>
    <x v="82"/>
    <n v="3.61"/>
    <x v="2"/>
    <n v="15.5"/>
    <x v="1"/>
    <n v="4.1500000000000004"/>
    <x v="0"/>
    <n v="0.56999999999999995"/>
  </r>
  <r>
    <n v="1164"/>
    <x v="14"/>
    <x v="32"/>
    <x v="29"/>
    <x v="9"/>
    <x v="57"/>
    <n v="2.92"/>
    <x v="0"/>
    <n v="18"/>
    <x v="0"/>
    <n v="1.8"/>
    <x v="0"/>
    <n v="0.37"/>
  </r>
  <r>
    <n v="1165"/>
    <x v="1"/>
    <x v="23"/>
    <x v="29"/>
    <x v="21"/>
    <x v="80"/>
    <n v="3.06"/>
    <x v="1"/>
    <n v="18"/>
    <x v="2"/>
    <n v="0.91"/>
    <x v="1"/>
    <n v="0.28999999999999998"/>
  </r>
  <r>
    <n v="1166"/>
    <x v="18"/>
    <x v="7"/>
    <x v="6"/>
    <x v="27"/>
    <x v="77"/>
    <n v="2.82"/>
    <x v="2"/>
    <n v="18.399999999999999"/>
    <x v="0"/>
    <n v="2.8"/>
    <x v="0"/>
    <n v="0.36"/>
  </r>
  <r>
    <n v="1167"/>
    <x v="50"/>
    <x v="11"/>
    <x v="29"/>
    <x v="6"/>
    <x v="57"/>
    <n v="3.11"/>
    <x v="0"/>
    <n v="18"/>
    <x v="2"/>
    <n v="3.06"/>
    <x v="0"/>
    <n v="0.42"/>
  </r>
  <r>
    <n v="1168"/>
    <x v="20"/>
    <x v="9"/>
    <x v="7"/>
    <x v="50"/>
    <x v="0"/>
    <n v="3.49"/>
    <x v="2"/>
    <n v="17.7"/>
    <x v="2"/>
    <n v="3.59"/>
    <x v="0"/>
    <n v="0.54"/>
  </r>
  <r>
    <n v="1169"/>
    <x v="29"/>
    <x v="36"/>
    <x v="7"/>
    <x v="26"/>
    <x v="0"/>
    <n v="3.36"/>
    <x v="2"/>
    <n v="17.7"/>
    <x v="2"/>
    <n v="2.75"/>
    <x v="0"/>
    <n v="0.47"/>
  </r>
  <r>
    <n v="1170"/>
    <x v="50"/>
    <x v="28"/>
    <x v="24"/>
    <x v="3"/>
    <x v="78"/>
    <n v="3.25"/>
    <x v="2"/>
    <n v="18.2"/>
    <x v="2"/>
    <n v="3.59"/>
    <x v="0"/>
    <n v="0.41"/>
  </r>
  <r>
    <n v="1171"/>
    <x v="0"/>
    <x v="15"/>
    <x v="25"/>
    <x v="19"/>
    <x v="46"/>
    <n v="3.17"/>
    <x v="0"/>
    <n v="16.3"/>
    <x v="2"/>
    <n v="2.9"/>
    <x v="0"/>
    <n v="0.42"/>
  </r>
  <r>
    <n v="1172"/>
    <x v="27"/>
    <x v="16"/>
    <x v="44"/>
    <x v="31"/>
    <x v="63"/>
    <n v="3.2"/>
    <x v="2"/>
    <n v="16.7"/>
    <x v="2"/>
    <n v="2.76"/>
    <x v="0"/>
    <n v="0.49"/>
  </r>
  <r>
    <n v="1173"/>
    <x v="26"/>
    <x v="1"/>
    <x v="15"/>
    <x v="43"/>
    <x v="43"/>
    <n v="2.2999999999999998"/>
    <x v="1"/>
    <n v="15.1"/>
    <x v="3"/>
    <n v="2.04"/>
    <x v="0"/>
    <n v="0.36"/>
  </r>
  <r>
    <n v="1174"/>
    <x v="4"/>
    <x v="0"/>
    <x v="31"/>
    <x v="29"/>
    <x v="20"/>
    <n v="3.72"/>
    <x v="2"/>
    <n v="16.099999999999998"/>
    <x v="1"/>
    <n v="2.84"/>
    <x v="0"/>
    <n v="0.5"/>
  </r>
  <r>
    <n v="1175"/>
    <x v="1"/>
    <x v="11"/>
    <x v="46"/>
    <x v="39"/>
    <x v="112"/>
    <n v="2.97"/>
    <x v="2"/>
    <n v="18.100000000000001"/>
    <x v="0"/>
    <n v="5.7"/>
    <x v="0"/>
    <n v="0.28999999999999998"/>
  </r>
  <r>
    <n v="1176"/>
    <x v="47"/>
    <x v="10"/>
    <x v="24"/>
    <x v="45"/>
    <x v="41"/>
    <n v="3.04"/>
    <x v="2"/>
    <n v="18.200000000000003"/>
    <x v="2"/>
    <n v="2.4900000000000002"/>
    <x v="0"/>
    <n v="0.31"/>
  </r>
  <r>
    <n v="1177"/>
    <x v="25"/>
    <x v="24"/>
    <x v="7"/>
    <x v="58"/>
    <x v="77"/>
    <n v="2.97"/>
    <x v="0"/>
    <n v="17.7"/>
    <x v="0"/>
    <n v="2.66"/>
    <x v="0"/>
    <n v="0.35"/>
  </r>
  <r>
    <n v="1178"/>
    <x v="1"/>
    <x v="4"/>
    <x v="5"/>
    <x v="23"/>
    <x v="16"/>
    <n v="2.79"/>
    <x v="2"/>
    <n v="18.7"/>
    <x v="0"/>
    <n v="3.49"/>
    <x v="0"/>
    <n v="0.28000000000000003"/>
  </r>
  <r>
    <n v="1179"/>
    <x v="1"/>
    <x v="10"/>
    <x v="21"/>
    <x v="51"/>
    <x v="2"/>
    <n v="2.5499999999999998"/>
    <x v="1"/>
    <n v="16.399999999999999"/>
    <x v="0"/>
    <n v="1.02"/>
    <x v="1"/>
    <n v="0.32"/>
  </r>
  <r>
    <n v="1180"/>
    <x v="5"/>
    <x v="17"/>
    <x v="1"/>
    <x v="22"/>
    <x v="41"/>
    <n v="2.95"/>
    <x v="0"/>
    <n v="16"/>
    <x v="0"/>
    <n v="3.17"/>
    <x v="0"/>
    <n v="0.38"/>
  </r>
  <r>
    <n v="1181"/>
    <x v="41"/>
    <x v="2"/>
    <x v="16"/>
    <x v="12"/>
    <x v="2"/>
    <n v="2.7"/>
    <x v="2"/>
    <n v="18.899999999999999"/>
    <x v="0"/>
    <n v="0.7"/>
    <x v="1"/>
    <n v="0.3"/>
  </r>
  <r>
    <n v="1182"/>
    <x v="47"/>
    <x v="4"/>
    <x v="11"/>
    <x v="42"/>
    <x v="71"/>
    <n v="3.05"/>
    <x v="1"/>
    <n v="15.5"/>
    <x v="2"/>
    <n v="2.3199999999999998"/>
    <x v="0"/>
    <n v="0.37"/>
  </r>
  <r>
    <n v="1183"/>
    <x v="13"/>
    <x v="26"/>
    <x v="11"/>
    <x v="19"/>
    <x v="75"/>
    <n v="3.46"/>
    <x v="2"/>
    <n v="15.500000000000002"/>
    <x v="2"/>
    <n v="3.6"/>
    <x v="0"/>
    <n v="0.56999999999999995"/>
  </r>
  <r>
    <n v="1184"/>
    <x v="5"/>
    <x v="11"/>
    <x v="11"/>
    <x v="52"/>
    <x v="53"/>
    <n v="2.81"/>
    <x v="0"/>
    <n v="15.5"/>
    <x v="0"/>
    <n v="3.06"/>
    <x v="0"/>
    <n v="0.39"/>
  </r>
  <r>
    <n v="1185"/>
    <x v="20"/>
    <x v="12"/>
    <x v="42"/>
    <x v="6"/>
    <x v="35"/>
    <n v="3.28"/>
    <x v="2"/>
    <n v="18.5"/>
    <x v="2"/>
    <n v="3.92"/>
    <x v="0"/>
    <n v="0.52"/>
  </r>
  <r>
    <n v="1186"/>
    <x v="49"/>
    <x v="39"/>
    <x v="36"/>
    <x v="14"/>
    <x v="21"/>
    <n v="2.81"/>
    <x v="0"/>
    <n v="16.5"/>
    <x v="0"/>
    <n v="4.3"/>
    <x v="0"/>
    <n v="0.42"/>
  </r>
  <r>
    <n v="1187"/>
    <x v="49"/>
    <x v="29"/>
    <x v="15"/>
    <x v="12"/>
    <x v="20"/>
    <n v="2.97"/>
    <x v="0"/>
    <n v="15.1"/>
    <x v="0"/>
    <n v="2.62"/>
    <x v="0"/>
    <n v="0.46"/>
  </r>
  <r>
    <n v="1188"/>
    <x v="0"/>
    <x v="4"/>
    <x v="28"/>
    <x v="1"/>
    <x v="37"/>
    <n v="2.83"/>
    <x v="0"/>
    <n v="15"/>
    <x v="0"/>
    <n v="2.6"/>
    <x v="0"/>
    <n v="0.46"/>
  </r>
  <r>
    <n v="1189"/>
    <x v="5"/>
    <x v="24"/>
    <x v="42"/>
    <x v="23"/>
    <x v="85"/>
    <n v="2.8"/>
    <x v="2"/>
    <n v="18.5"/>
    <x v="0"/>
    <n v="2.5099999999999998"/>
    <x v="0"/>
    <n v="0.32"/>
  </r>
  <r>
    <n v="1190"/>
    <x v="31"/>
    <x v="7"/>
    <x v="48"/>
    <x v="44"/>
    <x v="29"/>
    <n v="3.45"/>
    <x v="0"/>
    <n v="16.2"/>
    <x v="2"/>
    <n v="2.92"/>
    <x v="0"/>
    <n v="0.49"/>
  </r>
  <r>
    <n v="1191"/>
    <x v="0"/>
    <x v="23"/>
    <x v="19"/>
    <x v="26"/>
    <x v="20"/>
    <n v="3.37"/>
    <x v="0"/>
    <n v="15.8"/>
    <x v="2"/>
    <n v="2.11"/>
    <x v="0"/>
    <n v="0.44"/>
  </r>
  <r>
    <n v="1192"/>
    <x v="16"/>
    <x v="21"/>
    <x v="24"/>
    <x v="12"/>
    <x v="19"/>
    <n v="3.38"/>
    <x v="2"/>
    <n v="18.2"/>
    <x v="2"/>
    <n v="3.07"/>
    <x v="0"/>
    <n v="0.48"/>
  </r>
  <r>
    <n v="1193"/>
    <x v="15"/>
    <x v="11"/>
    <x v="44"/>
    <x v="43"/>
    <x v="53"/>
    <n v="3.51"/>
    <x v="2"/>
    <n v="16.7"/>
    <x v="1"/>
    <n v="4.1500000000000004"/>
    <x v="0"/>
    <n v="0.51"/>
  </r>
  <r>
    <n v="1194"/>
    <x v="4"/>
    <x v="33"/>
    <x v="2"/>
    <x v="24"/>
    <x v="60"/>
    <n v="2.78"/>
    <x v="2"/>
    <n v="14.8"/>
    <x v="0"/>
    <n v="3.09"/>
    <x v="0"/>
    <n v="0.55000000000000004"/>
  </r>
  <r>
    <n v="1195"/>
    <x v="41"/>
    <x v="23"/>
    <x v="24"/>
    <x v="34"/>
    <x v="63"/>
    <n v="2.84"/>
    <x v="2"/>
    <n v="18.2"/>
    <x v="0"/>
    <n v="1.33"/>
    <x v="1"/>
    <n v="0.31"/>
  </r>
  <r>
    <n v="1196"/>
    <x v="24"/>
    <x v="31"/>
    <x v="4"/>
    <x v="23"/>
    <x v="63"/>
    <n v="3.73"/>
    <x v="2"/>
    <n v="17.5"/>
    <x v="1"/>
    <n v="3.98"/>
    <x v="0"/>
    <n v="0.56999999999999995"/>
  </r>
  <r>
    <n v="1197"/>
    <x v="23"/>
    <x v="26"/>
    <x v="5"/>
    <x v="35"/>
    <x v="8"/>
    <n v="3.37"/>
    <x v="2"/>
    <n v="18.700000000000003"/>
    <x v="2"/>
    <n v="1.57"/>
    <x v="0"/>
    <n v="0.36"/>
  </r>
  <r>
    <n v="1198"/>
    <x v="45"/>
    <x v="24"/>
    <x v="2"/>
    <x v="2"/>
    <x v="82"/>
    <n v="3.15"/>
    <x v="0"/>
    <n v="14.8"/>
    <x v="2"/>
    <n v="2.72"/>
    <x v="0"/>
    <n v="0.43"/>
  </r>
  <r>
    <n v="1199"/>
    <x v="28"/>
    <x v="32"/>
    <x v="45"/>
    <x v="56"/>
    <x v="25"/>
    <n v="3.43"/>
    <x v="2"/>
    <n v="15.199999999999998"/>
    <x v="2"/>
    <n v="3.6"/>
    <x v="0"/>
    <n v="0.6"/>
  </r>
  <r>
    <n v="1200"/>
    <x v="32"/>
    <x v="13"/>
    <x v="8"/>
    <x v="25"/>
    <x v="0"/>
    <n v="3.12"/>
    <x v="2"/>
    <n v="14.200000000000001"/>
    <x v="2"/>
    <n v="3.84"/>
    <x v="0"/>
    <n v="0.65"/>
  </r>
  <r>
    <n v="1201"/>
    <x v="47"/>
    <x v="37"/>
    <x v="8"/>
    <x v="31"/>
    <x v="64"/>
    <n v="2.72"/>
    <x v="1"/>
    <n v="14.200000000000001"/>
    <x v="0"/>
    <n v="2.1"/>
    <x v="0"/>
    <n v="0.4"/>
  </r>
  <r>
    <n v="1202"/>
    <x v="15"/>
    <x v="28"/>
    <x v="15"/>
    <x v="29"/>
    <x v="1"/>
    <n v="3.24"/>
    <x v="2"/>
    <n v="15.099999999999998"/>
    <x v="2"/>
    <n v="3.3"/>
    <x v="0"/>
    <n v="0.56999999999999995"/>
  </r>
  <r>
    <n v="1203"/>
    <x v="36"/>
    <x v="34"/>
    <x v="32"/>
    <x v="56"/>
    <x v="29"/>
    <n v="2.82"/>
    <x v="0"/>
    <n v="17.099999999999998"/>
    <x v="0"/>
    <n v="2.14"/>
    <x v="0"/>
    <n v="0.43"/>
  </r>
  <r>
    <n v="1204"/>
    <x v="17"/>
    <x v="16"/>
    <x v="12"/>
    <x v="37"/>
    <x v="37"/>
    <n v="2.87"/>
    <x v="0"/>
    <n v="17.2"/>
    <x v="0"/>
    <n v="2.2000000000000002"/>
    <x v="0"/>
    <n v="0.44"/>
  </r>
  <r>
    <n v="1205"/>
    <x v="7"/>
    <x v="8"/>
    <x v="33"/>
    <x v="54"/>
    <x v="52"/>
    <n v="3.37"/>
    <x v="2"/>
    <n v="17.600000000000001"/>
    <x v="2"/>
    <n v="3.26"/>
    <x v="0"/>
    <n v="0.48"/>
  </r>
  <r>
    <n v="1206"/>
    <x v="27"/>
    <x v="18"/>
    <x v="34"/>
    <x v="37"/>
    <x v="57"/>
    <n v="3.56"/>
    <x v="2"/>
    <n v="15.899999999999999"/>
    <x v="1"/>
    <n v="3.36"/>
    <x v="0"/>
    <n v="0.52"/>
  </r>
  <r>
    <n v="1207"/>
    <x v="9"/>
    <x v="29"/>
    <x v="38"/>
    <x v="2"/>
    <x v="73"/>
    <n v="3.13"/>
    <x v="2"/>
    <n v="18.600000000000001"/>
    <x v="2"/>
    <n v="3.88"/>
    <x v="0"/>
    <n v="0.41"/>
  </r>
  <r>
    <n v="1208"/>
    <x v="34"/>
    <x v="39"/>
    <x v="35"/>
    <x v="33"/>
    <x v="87"/>
    <n v="3.21"/>
    <x v="2"/>
    <n v="18.8"/>
    <x v="2"/>
    <n v="3.29"/>
    <x v="0"/>
    <n v="0.39"/>
  </r>
  <r>
    <n v="1209"/>
    <x v="9"/>
    <x v="14"/>
    <x v="47"/>
    <x v="9"/>
    <x v="67"/>
    <n v="3.07"/>
    <x v="0"/>
    <n v="17.8"/>
    <x v="2"/>
    <n v="2.4"/>
    <x v="0"/>
    <n v="0.43"/>
  </r>
  <r>
    <n v="1210"/>
    <x v="34"/>
    <x v="8"/>
    <x v="47"/>
    <x v="42"/>
    <x v="54"/>
    <n v="3"/>
    <x v="0"/>
    <n v="17.8"/>
    <x v="2"/>
    <n v="2.63"/>
    <x v="0"/>
    <n v="0.41"/>
  </r>
  <r>
    <n v="1211"/>
    <x v="29"/>
    <x v="10"/>
    <x v="20"/>
    <x v="53"/>
    <x v="8"/>
    <n v="3.56"/>
    <x v="2"/>
    <n v="16.900000000000002"/>
    <x v="1"/>
    <n v="3.29"/>
    <x v="0"/>
    <n v="0.49"/>
  </r>
  <r>
    <n v="1212"/>
    <x v="12"/>
    <x v="3"/>
    <x v="35"/>
    <x v="30"/>
    <x v="73"/>
    <n v="2.9"/>
    <x v="2"/>
    <n v="18.8"/>
    <x v="0"/>
    <n v="2.68"/>
    <x v="0"/>
    <n v="0.27"/>
  </r>
  <r>
    <n v="1213"/>
    <x v="20"/>
    <x v="2"/>
    <x v="25"/>
    <x v="22"/>
    <x v="33"/>
    <n v="3.47"/>
    <x v="2"/>
    <n v="16.3"/>
    <x v="2"/>
    <n v="3.87"/>
    <x v="0"/>
    <n v="0.59"/>
  </r>
  <r>
    <n v="1214"/>
    <x v="1"/>
    <x v="35"/>
    <x v="47"/>
    <x v="0"/>
    <x v="78"/>
    <n v="2.87"/>
    <x v="1"/>
    <n v="17.8"/>
    <x v="0"/>
    <n v="2.66"/>
    <x v="0"/>
    <n v="0.3"/>
  </r>
  <r>
    <n v="1215"/>
    <x v="34"/>
    <x v="32"/>
    <x v="12"/>
    <x v="43"/>
    <x v="4"/>
    <n v="3.35"/>
    <x v="0"/>
    <n v="17.2"/>
    <x v="2"/>
    <n v="3.12"/>
    <x v="0"/>
    <n v="0.42"/>
  </r>
  <r>
    <n v="1216"/>
    <x v="29"/>
    <x v="29"/>
    <x v="39"/>
    <x v="1"/>
    <x v="18"/>
    <n v="3.25"/>
    <x v="2"/>
    <n v="14.300000000000002"/>
    <x v="2"/>
    <n v="3.54"/>
    <x v="0"/>
    <n v="0.57999999999999996"/>
  </r>
  <r>
    <n v="1217"/>
    <x v="5"/>
    <x v="39"/>
    <x v="0"/>
    <x v="55"/>
    <x v="80"/>
    <n v="3.04"/>
    <x v="0"/>
    <n v="15.299999999999999"/>
    <x v="2"/>
    <n v="2.54"/>
    <x v="0"/>
    <n v="0.39"/>
  </r>
  <r>
    <n v="1218"/>
    <x v="2"/>
    <x v="19"/>
    <x v="44"/>
    <x v="23"/>
    <x v="53"/>
    <n v="3.24"/>
    <x v="1"/>
    <n v="16.7"/>
    <x v="2"/>
    <n v="2.4500000000000002"/>
    <x v="0"/>
    <n v="0.31"/>
  </r>
  <r>
    <n v="1219"/>
    <x v="44"/>
    <x v="15"/>
    <x v="33"/>
    <x v="30"/>
    <x v="63"/>
    <n v="3.14"/>
    <x v="0"/>
    <n v="17.600000000000001"/>
    <x v="2"/>
    <n v="2.27"/>
    <x v="0"/>
    <n v="0.44"/>
  </r>
  <r>
    <n v="1220"/>
    <x v="16"/>
    <x v="27"/>
    <x v="40"/>
    <x v="14"/>
    <x v="93"/>
    <n v="3.16"/>
    <x v="2"/>
    <n v="14"/>
    <x v="2"/>
    <n v="3.64"/>
    <x v="0"/>
    <n v="0.63"/>
  </r>
  <r>
    <n v="1221"/>
    <x v="50"/>
    <x v="17"/>
    <x v="3"/>
    <x v="41"/>
    <x v="47"/>
    <n v="3.27"/>
    <x v="0"/>
    <n v="16.8"/>
    <x v="2"/>
    <n v="2.7"/>
    <x v="0"/>
    <n v="0.45"/>
  </r>
  <r>
    <n v="1222"/>
    <x v="5"/>
    <x v="1"/>
    <x v="5"/>
    <x v="46"/>
    <x v="29"/>
    <n v="2.97"/>
    <x v="2"/>
    <n v="18.7"/>
    <x v="0"/>
    <n v="1.17"/>
    <x v="1"/>
    <n v="0.32"/>
  </r>
  <r>
    <n v="1223"/>
    <x v="18"/>
    <x v="17"/>
    <x v="21"/>
    <x v="54"/>
    <x v="47"/>
    <n v="2.96"/>
    <x v="0"/>
    <n v="16.399999999999999"/>
    <x v="0"/>
    <n v="2.4300000000000002"/>
    <x v="0"/>
    <n v="0.4"/>
  </r>
  <r>
    <n v="1224"/>
    <x v="32"/>
    <x v="37"/>
    <x v="29"/>
    <x v="10"/>
    <x v="2"/>
    <n v="3.31"/>
    <x v="2"/>
    <n v="18"/>
    <x v="2"/>
    <n v="3.44"/>
    <x v="0"/>
    <n v="0.52"/>
  </r>
  <r>
    <n v="1225"/>
    <x v="0"/>
    <x v="26"/>
    <x v="45"/>
    <x v="29"/>
    <x v="36"/>
    <n v="3.03"/>
    <x v="0"/>
    <n v="15.200000000000003"/>
    <x v="2"/>
    <n v="2.17"/>
    <x v="0"/>
    <n v="0.45"/>
  </r>
  <r>
    <n v="1226"/>
    <x v="1"/>
    <x v="19"/>
    <x v="3"/>
    <x v="24"/>
    <x v="102"/>
    <n v="2.85"/>
    <x v="1"/>
    <n v="16.8"/>
    <x v="0"/>
    <n v="4.1399999999999997"/>
    <x v="0"/>
    <n v="0.32"/>
  </r>
  <r>
    <n v="1227"/>
    <x v="10"/>
    <x v="34"/>
    <x v="7"/>
    <x v="58"/>
    <x v="30"/>
    <n v="3.5"/>
    <x v="2"/>
    <n v="17.7"/>
    <x v="1"/>
    <n v="3.55"/>
    <x v="0"/>
    <n v="0.55000000000000004"/>
  </r>
  <r>
    <n v="1228"/>
    <x v="33"/>
    <x v="3"/>
    <x v="15"/>
    <x v="15"/>
    <x v="22"/>
    <n v="3.43"/>
    <x v="2"/>
    <n v="15.1"/>
    <x v="2"/>
    <n v="3.76"/>
    <x v="0"/>
    <n v="0.62"/>
  </r>
  <r>
    <n v="1229"/>
    <x v="44"/>
    <x v="30"/>
    <x v="6"/>
    <x v="51"/>
    <x v="81"/>
    <n v="3.36"/>
    <x v="2"/>
    <n v="18.399999999999999"/>
    <x v="2"/>
    <n v="3.38"/>
    <x v="0"/>
    <n v="0.42"/>
  </r>
  <r>
    <n v="1230"/>
    <x v="42"/>
    <x v="35"/>
    <x v="5"/>
    <x v="35"/>
    <x v="98"/>
    <n v="3.93"/>
    <x v="2"/>
    <n v="18.7"/>
    <x v="1"/>
    <n v="3.5"/>
    <x v="0"/>
    <n v="0.52"/>
  </r>
  <r>
    <n v="1231"/>
    <x v="48"/>
    <x v="36"/>
    <x v="3"/>
    <x v="2"/>
    <x v="75"/>
    <n v="3.1"/>
    <x v="2"/>
    <n v="16.799999999999997"/>
    <x v="2"/>
    <n v="3.53"/>
    <x v="0"/>
    <n v="0.55000000000000004"/>
  </r>
  <r>
    <n v="1232"/>
    <x v="8"/>
    <x v="29"/>
    <x v="7"/>
    <x v="50"/>
    <x v="87"/>
    <n v="3.12"/>
    <x v="1"/>
    <n v="17.7"/>
    <x v="2"/>
    <n v="2.34"/>
    <x v="0"/>
    <n v="0.28999999999999998"/>
  </r>
  <r>
    <n v="1233"/>
    <x v="10"/>
    <x v="8"/>
    <x v="9"/>
    <x v="39"/>
    <x v="29"/>
    <n v="3.3"/>
    <x v="2"/>
    <n v="14.899999999999999"/>
    <x v="2"/>
    <n v="4.28"/>
    <x v="0"/>
    <n v="0.65"/>
  </r>
  <r>
    <n v="1234"/>
    <x v="10"/>
    <x v="34"/>
    <x v="27"/>
    <x v="52"/>
    <x v="31"/>
    <n v="3.47"/>
    <x v="2"/>
    <n v="15.7"/>
    <x v="2"/>
    <n v="4"/>
    <x v="0"/>
    <n v="0.62"/>
  </r>
  <r>
    <n v="1235"/>
    <x v="27"/>
    <x v="2"/>
    <x v="26"/>
    <x v="37"/>
    <x v="10"/>
    <n v="3.02"/>
    <x v="2"/>
    <n v="15.399999999999999"/>
    <x v="2"/>
    <n v="3.31"/>
    <x v="0"/>
    <n v="0.53"/>
  </r>
  <r>
    <n v="1236"/>
    <x v="17"/>
    <x v="30"/>
    <x v="1"/>
    <x v="58"/>
    <x v="64"/>
    <n v="3.15"/>
    <x v="0"/>
    <n v="16"/>
    <x v="2"/>
    <n v="3.02"/>
    <x v="0"/>
    <n v="0.48"/>
  </r>
  <r>
    <n v="1237"/>
    <x v="4"/>
    <x v="38"/>
    <x v="29"/>
    <x v="58"/>
    <x v="87"/>
    <n v="3.19"/>
    <x v="2"/>
    <n v="18"/>
    <x v="2"/>
    <n v="3.74"/>
    <x v="0"/>
    <n v="0.45"/>
  </r>
  <r>
    <n v="1238"/>
    <x v="19"/>
    <x v="20"/>
    <x v="1"/>
    <x v="45"/>
    <x v="76"/>
    <n v="3.17"/>
    <x v="0"/>
    <n v="16"/>
    <x v="2"/>
    <n v="2.29"/>
    <x v="0"/>
    <n v="0.44"/>
  </r>
  <r>
    <n v="1239"/>
    <x v="19"/>
    <x v="22"/>
    <x v="8"/>
    <x v="44"/>
    <x v="91"/>
    <n v="3.01"/>
    <x v="0"/>
    <n v="14.200000000000001"/>
    <x v="2"/>
    <n v="3.19"/>
    <x v="0"/>
    <n v="0.5"/>
  </r>
  <r>
    <n v="1240"/>
    <x v="22"/>
    <x v="34"/>
    <x v="29"/>
    <x v="19"/>
    <x v="73"/>
    <n v="2.9"/>
    <x v="0"/>
    <n v="18"/>
    <x v="0"/>
    <n v="3.41"/>
    <x v="0"/>
    <n v="0.34"/>
  </r>
  <r>
    <n v="1241"/>
    <x v="36"/>
    <x v="38"/>
    <x v="38"/>
    <x v="12"/>
    <x v="55"/>
    <n v="3.14"/>
    <x v="2"/>
    <n v="18.600000000000001"/>
    <x v="2"/>
    <n v="3.28"/>
    <x v="0"/>
    <n v="0.4"/>
  </r>
  <r>
    <n v="1242"/>
    <x v="32"/>
    <x v="33"/>
    <x v="5"/>
    <x v="59"/>
    <x v="30"/>
    <n v="3.41"/>
    <x v="2"/>
    <n v="18.7"/>
    <x v="2"/>
    <n v="3.29"/>
    <x v="0"/>
    <n v="0.5"/>
  </r>
  <r>
    <n v="1243"/>
    <x v="48"/>
    <x v="16"/>
    <x v="36"/>
    <x v="43"/>
    <x v="60"/>
    <n v="3.48"/>
    <x v="2"/>
    <n v="16.5"/>
    <x v="2"/>
    <n v="3.53"/>
    <x v="0"/>
    <n v="0.56000000000000005"/>
  </r>
  <r>
    <n v="1244"/>
    <x v="24"/>
    <x v="4"/>
    <x v="18"/>
    <x v="22"/>
    <x v="72"/>
    <n v="3.63"/>
    <x v="2"/>
    <n v="17.899999999999999"/>
    <x v="1"/>
    <n v="4.37"/>
    <x v="0"/>
    <n v="0.55000000000000004"/>
  </r>
  <r>
    <n v="1245"/>
    <x v="21"/>
    <x v="5"/>
    <x v="5"/>
    <x v="49"/>
    <x v="1"/>
    <n v="3.56"/>
    <x v="2"/>
    <n v="18.7"/>
    <x v="1"/>
    <n v="3.61"/>
    <x v="0"/>
    <n v="0.48"/>
  </r>
  <r>
    <n v="1246"/>
    <x v="44"/>
    <x v="7"/>
    <x v="30"/>
    <x v="60"/>
    <x v="1"/>
    <n v="3.09"/>
    <x v="0"/>
    <n v="14.4"/>
    <x v="2"/>
    <n v="3.21"/>
    <x v="0"/>
    <n v="0.54"/>
  </r>
  <r>
    <n v="1247"/>
    <x v="38"/>
    <x v="19"/>
    <x v="27"/>
    <x v="46"/>
    <x v="49"/>
    <n v="3.27"/>
    <x v="1"/>
    <n v="15.7"/>
    <x v="2"/>
    <n v="2.0499999999999998"/>
    <x v="0"/>
    <n v="0.34"/>
  </r>
  <r>
    <n v="1248"/>
    <x v="37"/>
    <x v="16"/>
    <x v="8"/>
    <x v="25"/>
    <x v="98"/>
    <n v="2.71"/>
    <x v="1"/>
    <n v="14.200000000000003"/>
    <x v="0"/>
    <n v="1.85"/>
    <x v="0"/>
    <n v="0.42"/>
  </r>
  <r>
    <n v="1249"/>
    <x v="50"/>
    <x v="11"/>
    <x v="48"/>
    <x v="7"/>
    <x v="91"/>
    <n v="3.09"/>
    <x v="0"/>
    <n v="16.200000000000003"/>
    <x v="2"/>
    <n v="3.1"/>
    <x v="0"/>
    <n v="0.46"/>
  </r>
  <r>
    <n v="1250"/>
    <x v="14"/>
    <x v="3"/>
    <x v="31"/>
    <x v="28"/>
    <x v="85"/>
    <n v="2.78"/>
    <x v="0"/>
    <n v="16.100000000000001"/>
    <x v="0"/>
    <n v="3.48"/>
    <x v="0"/>
    <n v="0.42"/>
  </r>
  <r>
    <n v="1251"/>
    <x v="16"/>
    <x v="20"/>
    <x v="12"/>
    <x v="5"/>
    <x v="7"/>
    <n v="3.17"/>
    <x v="2"/>
    <n v="17.200000000000003"/>
    <x v="2"/>
    <n v="3.61"/>
    <x v="0"/>
    <n v="0.51"/>
  </r>
  <r>
    <n v="1252"/>
    <x v="37"/>
    <x v="32"/>
    <x v="24"/>
    <x v="11"/>
    <x v="27"/>
    <n v="2.66"/>
    <x v="2"/>
    <n v="18.2"/>
    <x v="0"/>
    <n v="2.83"/>
    <x v="0"/>
    <n v="0.32"/>
  </r>
  <r>
    <n v="1253"/>
    <x v="40"/>
    <x v="9"/>
    <x v="32"/>
    <x v="10"/>
    <x v="29"/>
    <n v="3.25"/>
    <x v="2"/>
    <n v="17.099999999999998"/>
    <x v="2"/>
    <n v="2.91"/>
    <x v="0"/>
    <n v="0.5"/>
  </r>
  <r>
    <n v="1254"/>
    <x v="38"/>
    <x v="1"/>
    <x v="38"/>
    <x v="1"/>
    <x v="54"/>
    <n v="2.81"/>
    <x v="2"/>
    <n v="18.600000000000001"/>
    <x v="0"/>
    <n v="0.97"/>
    <x v="1"/>
    <n v="0.28999999999999998"/>
  </r>
  <r>
    <n v="1255"/>
    <x v="20"/>
    <x v="8"/>
    <x v="32"/>
    <x v="30"/>
    <x v="1"/>
    <n v="3.37"/>
    <x v="2"/>
    <n v="17.100000000000001"/>
    <x v="2"/>
    <n v="3.69"/>
    <x v="0"/>
    <n v="0.56000000000000005"/>
  </r>
  <r>
    <n v="1256"/>
    <x v="29"/>
    <x v="37"/>
    <x v="49"/>
    <x v="5"/>
    <x v="55"/>
    <n v="3.29"/>
    <x v="2"/>
    <n v="16.600000000000001"/>
    <x v="2"/>
    <n v="3.81"/>
    <x v="0"/>
    <n v="0.5"/>
  </r>
  <r>
    <n v="1257"/>
    <x v="5"/>
    <x v="16"/>
    <x v="44"/>
    <x v="45"/>
    <x v="42"/>
    <n v="3.11"/>
    <x v="0"/>
    <n v="16.7"/>
    <x v="2"/>
    <n v="2.02"/>
    <x v="0"/>
    <n v="0.36"/>
  </r>
  <r>
    <n v="1258"/>
    <x v="39"/>
    <x v="8"/>
    <x v="6"/>
    <x v="18"/>
    <x v="77"/>
    <n v="3.24"/>
    <x v="2"/>
    <n v="18.399999999999999"/>
    <x v="2"/>
    <n v="3.87"/>
    <x v="0"/>
    <n v="0.47"/>
  </r>
  <r>
    <n v="1259"/>
    <x v="20"/>
    <x v="32"/>
    <x v="25"/>
    <x v="20"/>
    <x v="0"/>
    <n v="3.67"/>
    <x v="2"/>
    <n v="16.299999999999997"/>
    <x v="1"/>
    <n v="3.7"/>
    <x v="0"/>
    <n v="0.59"/>
  </r>
  <r>
    <n v="1260"/>
    <x v="17"/>
    <x v="30"/>
    <x v="6"/>
    <x v="51"/>
    <x v="77"/>
    <n v="3.04"/>
    <x v="2"/>
    <n v="18.399999999999999"/>
    <x v="2"/>
    <n v="3.37"/>
    <x v="0"/>
    <n v="0.41"/>
  </r>
  <r>
    <n v="1261"/>
    <x v="10"/>
    <x v="28"/>
    <x v="41"/>
    <x v="58"/>
    <x v="38"/>
    <n v="3.51"/>
    <x v="2"/>
    <n v="14.7"/>
    <x v="1"/>
    <n v="4.1100000000000003"/>
    <x v="0"/>
    <n v="0.66"/>
  </r>
  <r>
    <n v="1262"/>
    <x v="5"/>
    <x v="24"/>
    <x v="36"/>
    <x v="13"/>
    <x v="2"/>
    <n v="2.8"/>
    <x v="0"/>
    <n v="16.5"/>
    <x v="0"/>
    <n v="1.89"/>
    <x v="0"/>
    <n v="0.36"/>
  </r>
  <r>
    <n v="1263"/>
    <x v="41"/>
    <x v="37"/>
    <x v="49"/>
    <x v="51"/>
    <x v="44"/>
    <n v="2.75"/>
    <x v="1"/>
    <n v="16.599999999999998"/>
    <x v="0"/>
    <n v="2.14"/>
    <x v="0"/>
    <n v="0.34"/>
  </r>
  <r>
    <n v="1264"/>
    <x v="21"/>
    <x v="27"/>
    <x v="48"/>
    <x v="37"/>
    <x v="9"/>
    <n v="3.43"/>
    <x v="2"/>
    <n v="16.2"/>
    <x v="2"/>
    <n v="3.39"/>
    <x v="0"/>
    <n v="0.56000000000000005"/>
  </r>
  <r>
    <n v="1265"/>
    <x v="19"/>
    <x v="4"/>
    <x v="27"/>
    <x v="37"/>
    <x v="8"/>
    <n v="2.79"/>
    <x v="0"/>
    <n v="15.7"/>
    <x v="0"/>
    <n v="2.75"/>
    <x v="0"/>
    <n v="0.45"/>
  </r>
  <r>
    <n v="1266"/>
    <x v="30"/>
    <x v="32"/>
    <x v="38"/>
    <x v="56"/>
    <x v="80"/>
    <n v="3.67"/>
    <x v="2"/>
    <n v="18.600000000000001"/>
    <x v="1"/>
    <n v="3.32"/>
    <x v="0"/>
    <n v="0.51"/>
  </r>
  <r>
    <n v="1267"/>
    <x v="16"/>
    <x v="16"/>
    <x v="36"/>
    <x v="8"/>
    <x v="31"/>
    <n v="3.2"/>
    <x v="2"/>
    <n v="16.5"/>
    <x v="2"/>
    <n v="3.46"/>
    <x v="0"/>
    <n v="0.53"/>
  </r>
  <r>
    <n v="1268"/>
    <x v="30"/>
    <x v="7"/>
    <x v="22"/>
    <x v="11"/>
    <x v="18"/>
    <n v="3.11"/>
    <x v="2"/>
    <n v="15.6"/>
    <x v="2"/>
    <n v="3.96"/>
    <x v="0"/>
    <n v="0.61"/>
  </r>
  <r>
    <n v="1269"/>
    <x v="38"/>
    <x v="1"/>
    <x v="13"/>
    <x v="27"/>
    <x v="41"/>
    <n v="2.72"/>
    <x v="1"/>
    <n v="17.399999999999999"/>
    <x v="0"/>
    <n v="2.69"/>
    <x v="0"/>
    <n v="0.31"/>
  </r>
  <r>
    <n v="1270"/>
    <x v="45"/>
    <x v="17"/>
    <x v="10"/>
    <x v="45"/>
    <x v="97"/>
    <n v="2.65"/>
    <x v="2"/>
    <n v="18.3"/>
    <x v="0"/>
    <n v="3.66"/>
    <x v="0"/>
    <n v="0.34"/>
  </r>
  <r>
    <n v="1271"/>
    <x v="31"/>
    <x v="6"/>
    <x v="23"/>
    <x v="9"/>
    <x v="60"/>
    <n v="3.24"/>
    <x v="0"/>
    <n v="17.3"/>
    <x v="2"/>
    <n v="2.63"/>
    <x v="0"/>
    <n v="0.46"/>
  </r>
  <r>
    <n v="1272"/>
    <x v="14"/>
    <x v="15"/>
    <x v="24"/>
    <x v="44"/>
    <x v="69"/>
    <n v="3.09"/>
    <x v="2"/>
    <n v="18.2"/>
    <x v="2"/>
    <n v="3.22"/>
    <x v="0"/>
    <n v="0.37"/>
  </r>
  <r>
    <n v="1273"/>
    <x v="14"/>
    <x v="16"/>
    <x v="47"/>
    <x v="53"/>
    <x v="26"/>
    <n v="2.74"/>
    <x v="0"/>
    <n v="17.8"/>
    <x v="0"/>
    <n v="3.28"/>
    <x v="0"/>
    <n v="0.38"/>
  </r>
  <r>
    <n v="1274"/>
    <x v="44"/>
    <x v="3"/>
    <x v="27"/>
    <x v="25"/>
    <x v="17"/>
    <n v="3.31"/>
    <x v="0"/>
    <n v="15.700000000000001"/>
    <x v="2"/>
    <n v="2.88"/>
    <x v="0"/>
    <n v="0.5"/>
  </r>
  <r>
    <n v="1275"/>
    <x v="32"/>
    <x v="28"/>
    <x v="11"/>
    <x v="28"/>
    <x v="8"/>
    <n v="3.1"/>
    <x v="2"/>
    <n v="15.5"/>
    <x v="2"/>
    <n v="4.16"/>
    <x v="0"/>
    <n v="0.6"/>
  </r>
  <r>
    <n v="1276"/>
    <x v="9"/>
    <x v="11"/>
    <x v="28"/>
    <x v="22"/>
    <x v="42"/>
    <n v="2.9"/>
    <x v="0"/>
    <n v="15"/>
    <x v="0"/>
    <n v="3.53"/>
    <x v="0"/>
    <n v="0.51"/>
  </r>
  <r>
    <n v="1277"/>
    <x v="7"/>
    <x v="16"/>
    <x v="48"/>
    <x v="30"/>
    <x v="51"/>
    <n v="3.02"/>
    <x v="2"/>
    <n v="16.200000000000003"/>
    <x v="2"/>
    <n v="3.07"/>
    <x v="0"/>
    <n v="0.52"/>
  </r>
  <r>
    <n v="1278"/>
    <x v="21"/>
    <x v="28"/>
    <x v="31"/>
    <x v="13"/>
    <x v="33"/>
    <n v="3.62"/>
    <x v="2"/>
    <n v="16.100000000000001"/>
    <x v="1"/>
    <n v="3.62"/>
    <x v="0"/>
    <n v="0.56000000000000005"/>
  </r>
  <r>
    <n v="1279"/>
    <x v="0"/>
    <x v="28"/>
    <x v="44"/>
    <x v="36"/>
    <x v="98"/>
    <n v="3.05"/>
    <x v="0"/>
    <n v="16.7"/>
    <x v="2"/>
    <n v="2.38"/>
    <x v="0"/>
    <n v="0.41"/>
  </r>
  <r>
    <n v="1280"/>
    <x v="29"/>
    <x v="7"/>
    <x v="42"/>
    <x v="25"/>
    <x v="7"/>
    <n v="3.4"/>
    <x v="2"/>
    <n v="18.5"/>
    <x v="2"/>
    <n v="2.9"/>
    <x v="0"/>
    <n v="0.45"/>
  </r>
  <r>
    <n v="1281"/>
    <x v="40"/>
    <x v="10"/>
    <x v="41"/>
    <x v="2"/>
    <x v="93"/>
    <n v="3.25"/>
    <x v="2"/>
    <n v="14.7"/>
    <x v="2"/>
    <n v="3.34"/>
    <x v="0"/>
    <n v="0.57999999999999996"/>
  </r>
  <r>
    <n v="1282"/>
    <x v="25"/>
    <x v="28"/>
    <x v="15"/>
    <x v="19"/>
    <x v="85"/>
    <n v="2.76"/>
    <x v="0"/>
    <n v="15.100000000000001"/>
    <x v="0"/>
    <n v="3.41"/>
    <x v="0"/>
    <n v="0.41"/>
  </r>
  <r>
    <n v="1283"/>
    <x v="28"/>
    <x v="13"/>
    <x v="1"/>
    <x v="19"/>
    <x v="50"/>
    <n v="3.23"/>
    <x v="2"/>
    <n v="16"/>
    <x v="2"/>
    <n v="3.83"/>
    <x v="0"/>
    <n v="0.56999999999999995"/>
  </r>
  <r>
    <n v="1284"/>
    <x v="42"/>
    <x v="16"/>
    <x v="44"/>
    <x v="44"/>
    <x v="47"/>
    <n v="3.42"/>
    <x v="2"/>
    <n v="16.7"/>
    <x v="2"/>
    <n v="3.9"/>
    <x v="0"/>
    <n v="0.59"/>
  </r>
  <r>
    <n v="1285"/>
    <x v="10"/>
    <x v="29"/>
    <x v="24"/>
    <x v="30"/>
    <x v="98"/>
    <n v="3.67"/>
    <x v="2"/>
    <n v="18.2"/>
    <x v="1"/>
    <n v="3.58"/>
    <x v="0"/>
    <n v="0.53"/>
  </r>
  <r>
    <n v="1286"/>
    <x v="36"/>
    <x v="36"/>
    <x v="22"/>
    <x v="5"/>
    <x v="29"/>
    <n v="3.15"/>
    <x v="0"/>
    <n v="15.600000000000001"/>
    <x v="2"/>
    <n v="2.9"/>
    <x v="0"/>
    <n v="0.47"/>
  </r>
  <r>
    <n v="1287"/>
    <x v="43"/>
    <x v="37"/>
    <x v="33"/>
    <x v="35"/>
    <x v="65"/>
    <n v="3.39"/>
    <x v="2"/>
    <n v="17.599999999999998"/>
    <x v="2"/>
    <n v="3.8"/>
    <x v="0"/>
    <n v="0.56999999999999995"/>
  </r>
  <r>
    <n v="1288"/>
    <x v="12"/>
    <x v="6"/>
    <x v="2"/>
    <x v="30"/>
    <x v="2"/>
    <n v="2.7"/>
    <x v="1"/>
    <n v="14.799999999999999"/>
    <x v="0"/>
    <n v="1.44"/>
    <x v="1"/>
    <n v="0.34"/>
  </r>
  <r>
    <n v="1289"/>
    <x v="43"/>
    <x v="8"/>
    <x v="33"/>
    <x v="43"/>
    <x v="54"/>
    <n v="3.4"/>
    <x v="2"/>
    <n v="17.600000000000001"/>
    <x v="2"/>
    <n v="4.28"/>
    <x v="0"/>
    <n v="0.56999999999999995"/>
  </r>
  <r>
    <n v="1290"/>
    <x v="21"/>
    <x v="7"/>
    <x v="43"/>
    <x v="5"/>
    <x v="51"/>
    <n v="3.19"/>
    <x v="2"/>
    <n v="14.1"/>
    <x v="2"/>
    <n v="3.91"/>
    <x v="0"/>
    <n v="0.64"/>
  </r>
  <r>
    <n v="1291"/>
    <x v="33"/>
    <x v="17"/>
    <x v="6"/>
    <x v="21"/>
    <x v="52"/>
    <n v="3.2"/>
    <x v="2"/>
    <n v="18.400000000000002"/>
    <x v="2"/>
    <n v="3.59"/>
    <x v="0"/>
    <n v="0.51"/>
  </r>
  <r>
    <n v="1292"/>
    <x v="19"/>
    <x v="8"/>
    <x v="0"/>
    <x v="56"/>
    <x v="17"/>
    <n v="3.15"/>
    <x v="0"/>
    <n v="15.299999999999999"/>
    <x v="2"/>
    <n v="2.57"/>
    <x v="0"/>
    <n v="0.46"/>
  </r>
  <r>
    <n v="1293"/>
    <x v="24"/>
    <x v="39"/>
    <x v="12"/>
    <x v="58"/>
    <x v="76"/>
    <n v="3.09"/>
    <x v="2"/>
    <n v="17.2"/>
    <x v="2"/>
    <n v="4.09"/>
    <x v="0"/>
    <n v="0.57999999999999996"/>
  </r>
  <r>
    <n v="1294"/>
    <x v="15"/>
    <x v="1"/>
    <x v="39"/>
    <x v="45"/>
    <x v="18"/>
    <n v="3.3"/>
    <x v="2"/>
    <n v="14.3"/>
    <x v="2"/>
    <n v="3.58"/>
    <x v="0"/>
    <n v="0.6"/>
  </r>
  <r>
    <n v="1295"/>
    <x v="32"/>
    <x v="9"/>
    <x v="9"/>
    <x v="43"/>
    <x v="75"/>
    <n v="3.07"/>
    <x v="2"/>
    <n v="14.9"/>
    <x v="2"/>
    <n v="3.77"/>
    <x v="0"/>
    <n v="0.62"/>
  </r>
  <r>
    <n v="1296"/>
    <x v="34"/>
    <x v="8"/>
    <x v="8"/>
    <x v="45"/>
    <x v="49"/>
    <n v="2.91"/>
    <x v="0"/>
    <n v="14.200000000000001"/>
    <x v="0"/>
    <n v="2.79"/>
    <x v="0"/>
    <n v="0.51"/>
  </r>
  <r>
    <n v="1297"/>
    <x v="26"/>
    <x v="3"/>
    <x v="5"/>
    <x v="14"/>
    <x v="113"/>
    <n v="2.79"/>
    <x v="2"/>
    <n v="18.7"/>
    <x v="0"/>
    <n v="4.32"/>
    <x v="0"/>
    <n v="0.28999999999999998"/>
  </r>
  <r>
    <n v="1298"/>
    <x v="46"/>
    <x v="16"/>
    <x v="0"/>
    <x v="11"/>
    <x v="12"/>
    <n v="2.78"/>
    <x v="0"/>
    <n v="15.3"/>
    <x v="0"/>
    <n v="2.2999999999999998"/>
    <x v="0"/>
    <n v="0.47"/>
  </r>
  <r>
    <n v="1299"/>
    <x v="14"/>
    <x v="17"/>
    <x v="15"/>
    <x v="5"/>
    <x v="53"/>
    <n v="2.79"/>
    <x v="0"/>
    <n v="15.100000000000001"/>
    <x v="0"/>
    <n v="3.46"/>
    <x v="0"/>
    <n v="0.44"/>
  </r>
  <r>
    <n v="1300"/>
    <x v="25"/>
    <x v="26"/>
    <x v="41"/>
    <x v="30"/>
    <x v="89"/>
    <n v="2.92"/>
    <x v="0"/>
    <n v="14.700000000000001"/>
    <x v="0"/>
    <n v="1.97"/>
    <x v="0"/>
    <n v="0.42"/>
  </r>
  <r>
    <n v="1301"/>
    <x v="36"/>
    <x v="3"/>
    <x v="43"/>
    <x v="13"/>
    <x v="10"/>
    <n v="3.23"/>
    <x v="0"/>
    <n v="14.1"/>
    <x v="2"/>
    <n v="3.1"/>
    <x v="0"/>
    <n v="0.52"/>
  </r>
  <r>
    <n v="1302"/>
    <x v="5"/>
    <x v="22"/>
    <x v="22"/>
    <x v="52"/>
    <x v="28"/>
    <n v="2.79"/>
    <x v="0"/>
    <n v="15.600000000000001"/>
    <x v="0"/>
    <n v="2.67"/>
    <x v="0"/>
    <n v="0.38"/>
  </r>
  <r>
    <n v="1303"/>
    <x v="10"/>
    <x v="31"/>
    <x v="21"/>
    <x v="57"/>
    <x v="39"/>
    <n v="3.73"/>
    <x v="2"/>
    <n v="16.399999999999999"/>
    <x v="1"/>
    <n v="4.3899999999999997"/>
    <x v="0"/>
    <n v="0.59"/>
  </r>
  <r>
    <n v="1304"/>
    <x v="35"/>
    <x v="2"/>
    <x v="30"/>
    <x v="44"/>
    <x v="29"/>
    <n v="2.57"/>
    <x v="1"/>
    <n v="14.4"/>
    <x v="0"/>
    <n v="2.0699999999999998"/>
    <x v="0"/>
    <n v="0.4"/>
  </r>
  <r>
    <n v="1305"/>
    <x v="41"/>
    <x v="11"/>
    <x v="17"/>
    <x v="2"/>
    <x v="41"/>
    <n v="2.57"/>
    <x v="1"/>
    <n v="14.5"/>
    <x v="0"/>
    <n v="3.42"/>
    <x v="0"/>
    <n v="0.39"/>
  </r>
  <r>
    <n v="1306"/>
    <x v="6"/>
    <x v="11"/>
    <x v="18"/>
    <x v="54"/>
    <x v="49"/>
    <n v="2.76"/>
    <x v="0"/>
    <n v="17.899999999999999"/>
    <x v="0"/>
    <n v="3.23"/>
    <x v="0"/>
    <n v="0.45"/>
  </r>
  <r>
    <n v="1307"/>
    <x v="30"/>
    <x v="34"/>
    <x v="16"/>
    <x v="15"/>
    <x v="6"/>
    <n v="3.14"/>
    <x v="2"/>
    <n v="18.899999999999999"/>
    <x v="2"/>
    <n v="3.32"/>
    <x v="0"/>
    <n v="0.5"/>
  </r>
  <r>
    <n v="1308"/>
    <x v="30"/>
    <x v="25"/>
    <x v="38"/>
    <x v="57"/>
    <x v="25"/>
    <n v="3.59"/>
    <x v="2"/>
    <n v="18.600000000000001"/>
    <x v="1"/>
    <n v="3.72"/>
    <x v="0"/>
    <n v="0.51"/>
  </r>
  <r>
    <n v="1309"/>
    <x v="42"/>
    <x v="11"/>
    <x v="25"/>
    <x v="45"/>
    <x v="17"/>
    <n v="3.23"/>
    <x v="2"/>
    <n v="16.300000000000004"/>
    <x v="2"/>
    <n v="4.18"/>
    <x v="0"/>
    <n v="0.6"/>
  </r>
  <r>
    <n v="1310"/>
    <x v="31"/>
    <x v="0"/>
    <x v="36"/>
    <x v="53"/>
    <x v="17"/>
    <n v="3.11"/>
    <x v="0"/>
    <n v="16.5"/>
    <x v="2"/>
    <n v="3.07"/>
    <x v="0"/>
    <n v="0.48"/>
  </r>
  <r>
    <n v="1311"/>
    <x v="4"/>
    <x v="29"/>
    <x v="41"/>
    <x v="29"/>
    <x v="47"/>
    <n v="3.11"/>
    <x v="2"/>
    <n v="14.700000000000001"/>
    <x v="2"/>
    <n v="3.01"/>
    <x v="0"/>
    <n v="0.55000000000000004"/>
  </r>
  <r>
    <n v="1312"/>
    <x v="16"/>
    <x v="8"/>
    <x v="45"/>
    <x v="27"/>
    <x v="76"/>
    <n v="3.22"/>
    <x v="2"/>
    <n v="15.2"/>
    <x v="2"/>
    <n v="3.64"/>
    <x v="0"/>
    <n v="0.57999999999999996"/>
  </r>
  <r>
    <n v="1313"/>
    <x v="18"/>
    <x v="35"/>
    <x v="39"/>
    <x v="32"/>
    <x v="18"/>
    <n v="2.88"/>
    <x v="0"/>
    <n v="14.3"/>
    <x v="0"/>
    <n v="2.91"/>
    <x v="0"/>
    <n v="0.46"/>
  </r>
  <r>
    <n v="1314"/>
    <x v="47"/>
    <x v="14"/>
    <x v="44"/>
    <x v="32"/>
    <x v="67"/>
    <n v="2.62"/>
    <x v="1"/>
    <n v="16.700000000000003"/>
    <x v="0"/>
    <n v="1.72"/>
    <x v="0"/>
    <n v="0.34"/>
  </r>
  <r>
    <n v="1315"/>
    <x v="10"/>
    <x v="24"/>
    <x v="36"/>
    <x v="12"/>
    <x v="31"/>
    <n v="3.3"/>
    <x v="2"/>
    <n v="16.5"/>
    <x v="2"/>
    <n v="4.1500000000000004"/>
    <x v="0"/>
    <n v="0.59"/>
  </r>
  <r>
    <n v="1316"/>
    <x v="22"/>
    <x v="40"/>
    <x v="35"/>
    <x v="42"/>
    <x v="48"/>
    <n v="2.56"/>
    <x v="2"/>
    <n v="18.799999999999997"/>
    <x v="0"/>
    <n v="3.09"/>
    <x v="0"/>
    <n v="0.32"/>
  </r>
  <r>
    <n v="1317"/>
    <x v="45"/>
    <x v="39"/>
    <x v="47"/>
    <x v="12"/>
    <x v="3"/>
    <n v="2.93"/>
    <x v="0"/>
    <n v="17.8"/>
    <x v="0"/>
    <n v="2.93"/>
    <x v="0"/>
    <n v="0.35"/>
  </r>
  <r>
    <n v="1318"/>
    <x v="19"/>
    <x v="2"/>
    <x v="29"/>
    <x v="22"/>
    <x v="42"/>
    <n v="3.3"/>
    <x v="0"/>
    <n v="18"/>
    <x v="2"/>
    <n v="2.5"/>
    <x v="0"/>
    <n v="0.39"/>
  </r>
  <r>
    <n v="1319"/>
    <x v="3"/>
    <x v="5"/>
    <x v="32"/>
    <x v="57"/>
    <x v="17"/>
    <n v="2.71"/>
    <x v="0"/>
    <n v="17.100000000000001"/>
    <x v="0"/>
    <n v="2.5299999999999998"/>
    <x v="0"/>
    <n v="0.38"/>
  </r>
  <r>
    <n v="1320"/>
    <x v="10"/>
    <x v="39"/>
    <x v="18"/>
    <x v="30"/>
    <x v="2"/>
    <n v="3.81"/>
    <x v="2"/>
    <n v="17.899999999999999"/>
    <x v="1"/>
    <n v="3.95"/>
    <x v="0"/>
    <n v="0.54"/>
  </r>
  <r>
    <n v="1321"/>
    <x v="4"/>
    <x v="39"/>
    <x v="37"/>
    <x v="42"/>
    <x v="11"/>
    <n v="3.41"/>
    <x v="2"/>
    <n v="17"/>
    <x v="2"/>
    <n v="3.25"/>
    <x v="0"/>
    <n v="0.48"/>
  </r>
  <r>
    <n v="1322"/>
    <x v="18"/>
    <x v="31"/>
    <x v="20"/>
    <x v="44"/>
    <x v="104"/>
    <n v="3.27"/>
    <x v="0"/>
    <n v="16.899999999999999"/>
    <x v="2"/>
    <n v="4.3099999999999996"/>
    <x v="0"/>
    <n v="0.39"/>
  </r>
  <r>
    <n v="1323"/>
    <x v="10"/>
    <x v="35"/>
    <x v="13"/>
    <x v="13"/>
    <x v="89"/>
    <n v="3.06"/>
    <x v="2"/>
    <n v="17.399999999999999"/>
    <x v="2"/>
    <n v="3.8"/>
    <x v="0"/>
    <n v="0.56000000000000005"/>
  </r>
  <r>
    <n v="1324"/>
    <x v="28"/>
    <x v="1"/>
    <x v="22"/>
    <x v="28"/>
    <x v="47"/>
    <n v="3.36"/>
    <x v="2"/>
    <n v="15.6"/>
    <x v="2"/>
    <n v="3.77"/>
    <x v="0"/>
    <n v="0.57999999999999996"/>
  </r>
  <r>
    <n v="1325"/>
    <x v="44"/>
    <x v="34"/>
    <x v="10"/>
    <x v="25"/>
    <x v="90"/>
    <n v="3.14"/>
    <x v="2"/>
    <n v="18.3"/>
    <x v="2"/>
    <n v="2.87"/>
    <x v="0"/>
    <n v="0.43"/>
  </r>
  <r>
    <n v="1326"/>
    <x v="46"/>
    <x v="38"/>
    <x v="9"/>
    <x v="4"/>
    <x v="54"/>
    <n v="3.41"/>
    <x v="0"/>
    <n v="14.9"/>
    <x v="2"/>
    <n v="3.24"/>
    <x v="0"/>
    <n v="0.48"/>
  </r>
  <r>
    <n v="1327"/>
    <x v="9"/>
    <x v="33"/>
    <x v="11"/>
    <x v="36"/>
    <x v="10"/>
    <n v="2.68"/>
    <x v="0"/>
    <n v="15.5"/>
    <x v="0"/>
    <n v="3.19"/>
    <x v="0"/>
    <n v="0.5"/>
  </r>
  <r>
    <n v="1328"/>
    <x v="42"/>
    <x v="12"/>
    <x v="4"/>
    <x v="17"/>
    <x v="57"/>
    <n v="3.62"/>
    <x v="2"/>
    <n v="17.5"/>
    <x v="1"/>
    <n v="3.95"/>
    <x v="0"/>
    <n v="0.56000000000000005"/>
  </r>
  <r>
    <n v="1329"/>
    <x v="48"/>
    <x v="29"/>
    <x v="27"/>
    <x v="52"/>
    <x v="65"/>
    <n v="3.47"/>
    <x v="2"/>
    <n v="15.7"/>
    <x v="2"/>
    <n v="3.56"/>
    <x v="0"/>
    <n v="0.59"/>
  </r>
  <r>
    <n v="1330"/>
    <x v="1"/>
    <x v="13"/>
    <x v="25"/>
    <x v="20"/>
    <x v="24"/>
    <n v="2.54"/>
    <x v="1"/>
    <n v="16.3"/>
    <x v="0"/>
    <n v="2.3199999999999998"/>
    <x v="0"/>
    <n v="0.33"/>
  </r>
  <r>
    <n v="1331"/>
    <x v="39"/>
    <x v="10"/>
    <x v="15"/>
    <x v="28"/>
    <x v="1"/>
    <n v="3.34"/>
    <x v="2"/>
    <n v="15.1"/>
    <x v="2"/>
    <n v="3.59"/>
    <x v="0"/>
    <n v="0.57999999999999996"/>
  </r>
  <r>
    <n v="1332"/>
    <x v="10"/>
    <x v="10"/>
    <x v="2"/>
    <x v="19"/>
    <x v="9"/>
    <n v="3.18"/>
    <x v="2"/>
    <n v="14.8"/>
    <x v="2"/>
    <n v="4.17"/>
    <x v="0"/>
    <n v="0.66"/>
  </r>
  <r>
    <n v="1333"/>
    <x v="19"/>
    <x v="35"/>
    <x v="24"/>
    <x v="39"/>
    <x v="16"/>
    <n v="3.02"/>
    <x v="2"/>
    <n v="18.2"/>
    <x v="2"/>
    <n v="4.17"/>
    <x v="0"/>
    <n v="0.39"/>
  </r>
  <r>
    <n v="1334"/>
    <x v="20"/>
    <x v="32"/>
    <x v="27"/>
    <x v="38"/>
    <x v="56"/>
    <n v="3.41"/>
    <x v="2"/>
    <n v="15.7"/>
    <x v="2"/>
    <n v="4.01"/>
    <x v="0"/>
    <n v="0.61"/>
  </r>
  <r>
    <n v="1335"/>
    <x v="14"/>
    <x v="25"/>
    <x v="35"/>
    <x v="27"/>
    <x v="58"/>
    <n v="3.11"/>
    <x v="2"/>
    <n v="18.799999999999997"/>
    <x v="2"/>
    <n v="3.48"/>
    <x v="0"/>
    <n v="0.36"/>
  </r>
  <r>
    <n v="1336"/>
    <x v="23"/>
    <x v="24"/>
    <x v="25"/>
    <x v="60"/>
    <x v="48"/>
    <n v="3.15"/>
    <x v="0"/>
    <n v="16.3"/>
    <x v="2"/>
    <n v="3.92"/>
    <x v="0"/>
    <n v="0.42"/>
  </r>
  <r>
    <n v="1337"/>
    <x v="25"/>
    <x v="40"/>
    <x v="7"/>
    <x v="12"/>
    <x v="46"/>
    <n v="2.76"/>
    <x v="0"/>
    <n v="17.700000000000003"/>
    <x v="0"/>
    <n v="2.4900000000000002"/>
    <x v="0"/>
    <n v="0.35"/>
  </r>
  <r>
    <n v="1338"/>
    <x v="50"/>
    <x v="1"/>
    <x v="47"/>
    <x v="19"/>
    <x v="28"/>
    <n v="3"/>
    <x v="0"/>
    <n v="17.8"/>
    <x v="2"/>
    <n v="3.12"/>
    <x v="0"/>
    <n v="0.42"/>
  </r>
  <r>
    <n v="1339"/>
    <x v="23"/>
    <x v="15"/>
    <x v="48"/>
    <x v="36"/>
    <x v="33"/>
    <n v="2.99"/>
    <x v="0"/>
    <n v="16.200000000000003"/>
    <x v="0"/>
    <n v="2.2999999999999998"/>
    <x v="0"/>
    <n v="0.42"/>
  </r>
  <r>
    <n v="1340"/>
    <x v="8"/>
    <x v="2"/>
    <x v="32"/>
    <x v="24"/>
    <x v="77"/>
    <n v="3.28"/>
    <x v="1"/>
    <n v="17.100000000000001"/>
    <x v="2"/>
    <n v="2.61"/>
    <x v="0"/>
    <n v="0.3"/>
  </r>
  <r>
    <n v="1341"/>
    <x v="29"/>
    <x v="8"/>
    <x v="31"/>
    <x v="38"/>
    <x v="74"/>
    <n v="3.49"/>
    <x v="2"/>
    <n v="16.100000000000001"/>
    <x v="2"/>
    <n v="3.04"/>
    <x v="0"/>
    <n v="0.52"/>
  </r>
  <r>
    <n v="1342"/>
    <x v="45"/>
    <x v="6"/>
    <x v="25"/>
    <x v="8"/>
    <x v="76"/>
    <n v="2.91"/>
    <x v="0"/>
    <n v="16.3"/>
    <x v="0"/>
    <n v="1.84"/>
    <x v="0"/>
    <n v="0.39"/>
  </r>
  <r>
    <n v="1343"/>
    <x v="13"/>
    <x v="37"/>
    <x v="19"/>
    <x v="44"/>
    <x v="57"/>
    <n v="3.3"/>
    <x v="2"/>
    <n v="15.8"/>
    <x v="2"/>
    <n v="3.66"/>
    <x v="0"/>
    <n v="0.56000000000000005"/>
  </r>
  <r>
    <n v="1344"/>
    <x v="15"/>
    <x v="18"/>
    <x v="29"/>
    <x v="58"/>
    <x v="55"/>
    <n v="3.42"/>
    <x v="2"/>
    <n v="18"/>
    <x v="2"/>
    <n v="3.76"/>
    <x v="0"/>
    <n v="0.48"/>
  </r>
  <r>
    <n v="1345"/>
    <x v="33"/>
    <x v="3"/>
    <x v="30"/>
    <x v="25"/>
    <x v="33"/>
    <n v="3.2"/>
    <x v="2"/>
    <n v="14.4"/>
    <x v="2"/>
    <n v="3.88"/>
    <x v="0"/>
    <n v="0.65"/>
  </r>
  <r>
    <n v="1346"/>
    <x v="21"/>
    <x v="19"/>
    <x v="17"/>
    <x v="50"/>
    <x v="18"/>
    <n v="3.34"/>
    <x v="2"/>
    <n v="14.5"/>
    <x v="2"/>
    <n v="3.93"/>
    <x v="0"/>
    <n v="0.62"/>
  </r>
  <r>
    <n v="1347"/>
    <x v="10"/>
    <x v="3"/>
    <x v="22"/>
    <x v="7"/>
    <x v="39"/>
    <n v="3.51"/>
    <x v="2"/>
    <n v="15.6"/>
    <x v="1"/>
    <n v="3.97"/>
    <x v="0"/>
    <n v="0.62"/>
  </r>
  <r>
    <n v="1348"/>
    <x v="8"/>
    <x v="14"/>
    <x v="24"/>
    <x v="27"/>
    <x v="110"/>
    <n v="2.58"/>
    <x v="2"/>
    <n v="18.200000000000003"/>
    <x v="0"/>
    <n v="3.98"/>
    <x v="0"/>
    <n v="0.28999999999999998"/>
  </r>
  <r>
    <n v="1349"/>
    <x v="23"/>
    <x v="13"/>
    <x v="34"/>
    <x v="53"/>
    <x v="87"/>
    <n v="2.75"/>
    <x v="0"/>
    <n v="15.9"/>
    <x v="0"/>
    <n v="3.42"/>
    <x v="0"/>
    <n v="0.43"/>
  </r>
  <r>
    <n v="1350"/>
    <x v="31"/>
    <x v="25"/>
    <x v="48"/>
    <x v="33"/>
    <x v="33"/>
    <n v="3.19"/>
    <x v="0"/>
    <n v="16.2"/>
    <x v="2"/>
    <n v="2.82"/>
    <x v="0"/>
    <n v="0.49"/>
  </r>
  <r>
    <n v="1351"/>
    <x v="14"/>
    <x v="34"/>
    <x v="3"/>
    <x v="58"/>
    <x v="80"/>
    <n v="3.24"/>
    <x v="0"/>
    <n v="16.8"/>
    <x v="2"/>
    <n v="1.75"/>
    <x v="0"/>
    <n v="0.4"/>
  </r>
  <r>
    <n v="1352"/>
    <x v="3"/>
    <x v="11"/>
    <x v="42"/>
    <x v="57"/>
    <x v="44"/>
    <n v="3.28"/>
    <x v="2"/>
    <n v="18.5"/>
    <x v="2"/>
    <n v="2.91"/>
    <x v="0"/>
    <n v="0.35"/>
  </r>
  <r>
    <n v="1353"/>
    <x v="7"/>
    <x v="30"/>
    <x v="12"/>
    <x v="26"/>
    <x v="50"/>
    <n v="3.34"/>
    <x v="2"/>
    <n v="17.2"/>
    <x v="2"/>
    <n v="3.26"/>
    <x v="0"/>
    <n v="0.49"/>
  </r>
  <r>
    <n v="1354"/>
    <x v="12"/>
    <x v="40"/>
    <x v="8"/>
    <x v="40"/>
    <x v="50"/>
    <n v="2.69"/>
    <x v="1"/>
    <n v="14.2"/>
    <x v="0"/>
    <n v="1.92"/>
    <x v="0"/>
    <n v="0.35"/>
  </r>
  <r>
    <n v="1355"/>
    <x v="45"/>
    <x v="11"/>
    <x v="16"/>
    <x v="18"/>
    <x v="114"/>
    <n v="2.9"/>
    <x v="2"/>
    <n v="18.899999999999999"/>
    <x v="0"/>
    <n v="4.8099999999999996"/>
    <x v="0"/>
    <n v="0.33"/>
  </r>
  <r>
    <n v="1356"/>
    <x v="15"/>
    <x v="26"/>
    <x v="37"/>
    <x v="24"/>
    <x v="34"/>
    <n v="3.48"/>
    <x v="2"/>
    <n v="17"/>
    <x v="2"/>
    <n v="3.2"/>
    <x v="0"/>
    <n v="0.51"/>
  </r>
  <r>
    <n v="1357"/>
    <x v="17"/>
    <x v="7"/>
    <x v="28"/>
    <x v="5"/>
    <x v="61"/>
    <n v="3.27"/>
    <x v="0"/>
    <n v="15"/>
    <x v="2"/>
    <n v="2.99"/>
    <x v="0"/>
    <n v="0.51"/>
  </r>
  <r>
    <n v="1358"/>
    <x v="30"/>
    <x v="30"/>
    <x v="25"/>
    <x v="46"/>
    <x v="88"/>
    <n v="3.78"/>
    <x v="2"/>
    <n v="16.3"/>
    <x v="1"/>
    <n v="4.21"/>
    <x v="0"/>
    <n v="0.57999999999999996"/>
  </r>
  <r>
    <n v="1359"/>
    <x v="19"/>
    <x v="35"/>
    <x v="38"/>
    <x v="3"/>
    <x v="27"/>
    <n v="3.14"/>
    <x v="2"/>
    <n v="18.600000000000001"/>
    <x v="2"/>
    <n v="3.31"/>
    <x v="0"/>
    <n v="0.38"/>
  </r>
  <r>
    <n v="1360"/>
    <x v="11"/>
    <x v="6"/>
    <x v="22"/>
    <x v="43"/>
    <x v="55"/>
    <n v="2.93"/>
    <x v="0"/>
    <n v="15.600000000000001"/>
    <x v="0"/>
    <n v="2.91"/>
    <x v="0"/>
    <n v="0.41"/>
  </r>
  <r>
    <n v="1361"/>
    <x v="36"/>
    <x v="15"/>
    <x v="41"/>
    <x v="56"/>
    <x v="22"/>
    <n v="2.95"/>
    <x v="0"/>
    <n v="14.700000000000001"/>
    <x v="0"/>
    <n v="2.56"/>
    <x v="0"/>
    <n v="0.5"/>
  </r>
  <r>
    <n v="1362"/>
    <x v="10"/>
    <x v="30"/>
    <x v="15"/>
    <x v="22"/>
    <x v="67"/>
    <n v="3.53"/>
    <x v="2"/>
    <n v="15.1"/>
    <x v="1"/>
    <n v="4.16"/>
    <x v="0"/>
    <n v="0.64"/>
  </r>
  <r>
    <n v="1363"/>
    <x v="10"/>
    <x v="20"/>
    <x v="45"/>
    <x v="17"/>
    <x v="30"/>
    <n v="3.87"/>
    <x v="2"/>
    <n v="15.2"/>
    <x v="1"/>
    <n v="4.05"/>
    <x v="0"/>
    <n v="0.64"/>
  </r>
  <r>
    <n v="1364"/>
    <x v="16"/>
    <x v="31"/>
    <x v="8"/>
    <x v="9"/>
    <x v="31"/>
    <n v="3.12"/>
    <x v="2"/>
    <n v="14.200000000000001"/>
    <x v="2"/>
    <n v="3.99"/>
    <x v="0"/>
    <n v="0.62"/>
  </r>
  <r>
    <n v="1365"/>
    <x v="11"/>
    <x v="10"/>
    <x v="21"/>
    <x v="0"/>
    <x v="29"/>
    <n v="3.11"/>
    <x v="0"/>
    <n v="16.399999999999999"/>
    <x v="2"/>
    <n v="1.6"/>
    <x v="0"/>
    <n v="0.39"/>
  </r>
  <r>
    <n v="1366"/>
    <x v="15"/>
    <x v="37"/>
    <x v="34"/>
    <x v="8"/>
    <x v="93"/>
    <n v="2.94"/>
    <x v="2"/>
    <n v="15.899999999999999"/>
    <x v="0"/>
    <n v="3.28"/>
    <x v="0"/>
    <n v="0.54"/>
  </r>
  <r>
    <n v="1367"/>
    <x v="15"/>
    <x v="39"/>
    <x v="41"/>
    <x v="56"/>
    <x v="74"/>
    <n v="3.11"/>
    <x v="2"/>
    <n v="14.7"/>
    <x v="2"/>
    <n v="3.54"/>
    <x v="0"/>
    <n v="0.59"/>
  </r>
  <r>
    <n v="1368"/>
    <x v="36"/>
    <x v="1"/>
    <x v="32"/>
    <x v="9"/>
    <x v="93"/>
    <n v="2.95"/>
    <x v="0"/>
    <n v="17.100000000000001"/>
    <x v="0"/>
    <n v="2.38"/>
    <x v="0"/>
    <n v="0.43"/>
  </r>
  <r>
    <n v="1369"/>
    <x v="26"/>
    <x v="35"/>
    <x v="40"/>
    <x v="47"/>
    <x v="30"/>
    <n v="2.83"/>
    <x v="1"/>
    <n v="14"/>
    <x v="0"/>
    <n v="1.83"/>
    <x v="0"/>
    <n v="0.39"/>
  </r>
  <r>
    <n v="1370"/>
    <x v="25"/>
    <x v="37"/>
    <x v="15"/>
    <x v="47"/>
    <x v="65"/>
    <n v="2.63"/>
    <x v="0"/>
    <n v="15.100000000000001"/>
    <x v="0"/>
    <n v="2.04"/>
    <x v="0"/>
    <n v="0.41"/>
  </r>
  <r>
    <n v="1371"/>
    <x v="22"/>
    <x v="26"/>
    <x v="1"/>
    <x v="29"/>
    <x v="29"/>
    <n v="3.41"/>
    <x v="0"/>
    <n v="16"/>
    <x v="2"/>
    <n v="1.57"/>
    <x v="0"/>
    <n v="0.38"/>
  </r>
  <r>
    <n v="1372"/>
    <x v="44"/>
    <x v="35"/>
    <x v="36"/>
    <x v="27"/>
    <x v="42"/>
    <n v="3.18"/>
    <x v="0"/>
    <n v="16.5"/>
    <x v="2"/>
    <n v="3.17"/>
    <x v="0"/>
    <n v="0.47"/>
  </r>
  <r>
    <n v="1373"/>
    <x v="28"/>
    <x v="9"/>
    <x v="10"/>
    <x v="47"/>
    <x v="75"/>
    <n v="3.17"/>
    <x v="2"/>
    <n v="18.3"/>
    <x v="2"/>
    <n v="3.21"/>
    <x v="0"/>
    <n v="0.5"/>
  </r>
  <r>
    <n v="1374"/>
    <x v="17"/>
    <x v="30"/>
    <x v="39"/>
    <x v="27"/>
    <x v="43"/>
    <n v="3.07"/>
    <x v="0"/>
    <n v="14.299999999999999"/>
    <x v="2"/>
    <n v="3.37"/>
    <x v="0"/>
    <n v="0.53"/>
  </r>
  <r>
    <n v="1375"/>
    <x v="45"/>
    <x v="37"/>
    <x v="32"/>
    <x v="12"/>
    <x v="17"/>
    <n v="2.69"/>
    <x v="0"/>
    <n v="17.100000000000001"/>
    <x v="0"/>
    <n v="1.96"/>
    <x v="0"/>
    <n v="0.37"/>
  </r>
  <r>
    <n v="1376"/>
    <x v="45"/>
    <x v="14"/>
    <x v="10"/>
    <x v="40"/>
    <x v="28"/>
    <n v="2.91"/>
    <x v="2"/>
    <n v="18.3"/>
    <x v="0"/>
    <n v="2.11"/>
    <x v="0"/>
    <n v="0.34"/>
  </r>
  <r>
    <n v="1377"/>
    <x v="44"/>
    <x v="20"/>
    <x v="39"/>
    <x v="35"/>
    <x v="56"/>
    <n v="3.09"/>
    <x v="0"/>
    <n v="14.3"/>
    <x v="2"/>
    <n v="3.11"/>
    <x v="0"/>
    <n v="0.55000000000000004"/>
  </r>
  <r>
    <n v="1378"/>
    <x v="30"/>
    <x v="2"/>
    <x v="41"/>
    <x v="28"/>
    <x v="51"/>
    <n v="3.28"/>
    <x v="2"/>
    <n v="14.7"/>
    <x v="2"/>
    <n v="4.2"/>
    <x v="0"/>
    <n v="0.65"/>
  </r>
  <r>
    <n v="1379"/>
    <x v="10"/>
    <x v="13"/>
    <x v="50"/>
    <x v="56"/>
    <x v="8"/>
    <n v="3.47"/>
    <x v="2"/>
    <n v="19"/>
    <x v="2"/>
    <n v="3.56"/>
    <x v="0"/>
    <n v="0.51"/>
  </r>
  <r>
    <n v="1380"/>
    <x v="14"/>
    <x v="35"/>
    <x v="34"/>
    <x v="21"/>
    <x v="15"/>
    <n v="2.88"/>
    <x v="0"/>
    <n v="15.9"/>
    <x v="0"/>
    <n v="2.36"/>
    <x v="0"/>
    <n v="0.42"/>
  </r>
  <r>
    <n v="1381"/>
    <x v="29"/>
    <x v="13"/>
    <x v="9"/>
    <x v="13"/>
    <x v="31"/>
    <n v="3.26"/>
    <x v="2"/>
    <n v="14.9"/>
    <x v="2"/>
    <n v="3.46"/>
    <x v="0"/>
    <n v="0.56000000000000005"/>
  </r>
  <r>
    <n v="1382"/>
    <x v="11"/>
    <x v="39"/>
    <x v="27"/>
    <x v="21"/>
    <x v="29"/>
    <n v="2.75"/>
    <x v="0"/>
    <n v="15.700000000000001"/>
    <x v="0"/>
    <n v="2.68"/>
    <x v="0"/>
    <n v="0.41"/>
  </r>
  <r>
    <n v="1383"/>
    <x v="35"/>
    <x v="16"/>
    <x v="41"/>
    <x v="21"/>
    <x v="31"/>
    <n v="2.96"/>
    <x v="1"/>
    <n v="14.7"/>
    <x v="0"/>
    <n v="2.39"/>
    <x v="0"/>
    <n v="0.39"/>
  </r>
  <r>
    <n v="1384"/>
    <x v="18"/>
    <x v="9"/>
    <x v="5"/>
    <x v="5"/>
    <x v="102"/>
    <n v="2.94"/>
    <x v="2"/>
    <n v="18.700000000000003"/>
    <x v="0"/>
    <n v="4.21"/>
    <x v="0"/>
    <n v="0.35"/>
  </r>
  <r>
    <n v="1385"/>
    <x v="15"/>
    <x v="6"/>
    <x v="7"/>
    <x v="27"/>
    <x v="44"/>
    <n v="3.2"/>
    <x v="2"/>
    <n v="17.7"/>
    <x v="2"/>
    <n v="3.58"/>
    <x v="0"/>
    <n v="0.49"/>
  </r>
  <r>
    <n v="1386"/>
    <x v="36"/>
    <x v="29"/>
    <x v="13"/>
    <x v="34"/>
    <x v="12"/>
    <n v="2.87"/>
    <x v="0"/>
    <n v="17.400000000000002"/>
    <x v="0"/>
    <n v="2.74"/>
    <x v="0"/>
    <n v="0.43"/>
  </r>
  <r>
    <n v="1387"/>
    <x v="27"/>
    <x v="18"/>
    <x v="3"/>
    <x v="46"/>
    <x v="74"/>
    <n v="3.12"/>
    <x v="2"/>
    <n v="16.799999999999997"/>
    <x v="2"/>
    <n v="3.42"/>
    <x v="0"/>
    <n v="0.49"/>
  </r>
  <r>
    <n v="1388"/>
    <x v="16"/>
    <x v="21"/>
    <x v="31"/>
    <x v="5"/>
    <x v="2"/>
    <n v="3.26"/>
    <x v="2"/>
    <n v="16.100000000000001"/>
    <x v="2"/>
    <n v="3.64"/>
    <x v="0"/>
    <n v="0.55000000000000004"/>
  </r>
  <r>
    <n v="1389"/>
    <x v="47"/>
    <x v="25"/>
    <x v="29"/>
    <x v="7"/>
    <x v="53"/>
    <n v="2.5"/>
    <x v="1"/>
    <n v="18"/>
    <x v="0"/>
    <n v="2.08"/>
    <x v="0"/>
    <n v="0.32"/>
  </r>
  <r>
    <n v="1390"/>
    <x v="10"/>
    <x v="23"/>
    <x v="26"/>
    <x v="39"/>
    <x v="15"/>
    <n v="3.53"/>
    <x v="2"/>
    <n v="15.399999999999999"/>
    <x v="1"/>
    <n v="4.12"/>
    <x v="0"/>
    <n v="0.63"/>
  </r>
  <r>
    <n v="1391"/>
    <x v="26"/>
    <x v="14"/>
    <x v="24"/>
    <x v="48"/>
    <x v="11"/>
    <n v="2.82"/>
    <x v="2"/>
    <n v="18.2"/>
    <x v="0"/>
    <n v="1.76"/>
    <x v="0"/>
    <n v="0.3"/>
  </r>
  <r>
    <n v="1392"/>
    <x v="23"/>
    <x v="12"/>
    <x v="6"/>
    <x v="20"/>
    <x v="55"/>
    <n v="2.77"/>
    <x v="2"/>
    <n v="18.399999999999999"/>
    <x v="0"/>
    <n v="2.3199999999999998"/>
    <x v="0"/>
    <n v="0.37"/>
  </r>
  <r>
    <n v="1393"/>
    <x v="11"/>
    <x v="7"/>
    <x v="35"/>
    <x v="57"/>
    <x v="37"/>
    <n v="2.86"/>
    <x v="2"/>
    <n v="18.8"/>
    <x v="0"/>
    <n v="1.49"/>
    <x v="1"/>
    <n v="0.34"/>
  </r>
  <r>
    <n v="1394"/>
    <x v="13"/>
    <x v="18"/>
    <x v="8"/>
    <x v="56"/>
    <x v="52"/>
    <n v="3.51"/>
    <x v="2"/>
    <n v="14.2"/>
    <x v="1"/>
    <n v="3.76"/>
    <x v="0"/>
    <n v="0.63"/>
  </r>
  <r>
    <n v="1395"/>
    <x v="3"/>
    <x v="24"/>
    <x v="5"/>
    <x v="48"/>
    <x v="11"/>
    <n v="3"/>
    <x v="2"/>
    <n v="18.7"/>
    <x v="2"/>
    <n v="2.23"/>
    <x v="0"/>
    <n v="0.35"/>
  </r>
  <r>
    <n v="1396"/>
    <x v="46"/>
    <x v="0"/>
    <x v="47"/>
    <x v="51"/>
    <x v="67"/>
    <n v="3.02"/>
    <x v="0"/>
    <n v="17.8"/>
    <x v="2"/>
    <n v="1.85"/>
    <x v="0"/>
    <n v="0.4"/>
  </r>
  <r>
    <n v="1397"/>
    <x v="36"/>
    <x v="27"/>
    <x v="5"/>
    <x v="2"/>
    <x v="13"/>
    <n v="3.25"/>
    <x v="2"/>
    <n v="18.7"/>
    <x v="2"/>
    <n v="3.16"/>
    <x v="0"/>
    <n v="0.4"/>
  </r>
  <r>
    <n v="1398"/>
    <x v="37"/>
    <x v="32"/>
    <x v="18"/>
    <x v="21"/>
    <x v="57"/>
    <n v="2.72"/>
    <x v="1"/>
    <n v="17.899999999999999"/>
    <x v="0"/>
    <n v="1.56"/>
    <x v="0"/>
    <n v="0.33"/>
  </r>
  <r>
    <n v="1399"/>
    <x v="10"/>
    <x v="3"/>
    <x v="12"/>
    <x v="22"/>
    <x v="80"/>
    <n v="3.55"/>
    <x v="2"/>
    <n v="17.2"/>
    <x v="1"/>
    <n v="3.79"/>
    <x v="0"/>
    <n v="0.56000000000000005"/>
  </r>
  <r>
    <n v="1400"/>
    <x v="10"/>
    <x v="37"/>
    <x v="11"/>
    <x v="11"/>
    <x v="15"/>
    <n v="3.87"/>
    <x v="2"/>
    <n v="15.499999999999998"/>
    <x v="1"/>
    <n v="3.89"/>
    <x v="0"/>
    <n v="0.63"/>
  </r>
  <r>
    <n v="1401"/>
    <x v="17"/>
    <x v="8"/>
    <x v="44"/>
    <x v="0"/>
    <x v="7"/>
    <n v="3.2"/>
    <x v="0"/>
    <n v="16.7"/>
    <x v="2"/>
    <n v="2.84"/>
    <x v="0"/>
    <n v="0.46"/>
  </r>
  <r>
    <n v="1402"/>
    <x v="18"/>
    <x v="39"/>
    <x v="36"/>
    <x v="35"/>
    <x v="55"/>
    <n v="3.02"/>
    <x v="0"/>
    <n v="16.5"/>
    <x v="2"/>
    <n v="3.02"/>
    <x v="0"/>
    <n v="0.4"/>
  </r>
  <r>
    <n v="1403"/>
    <x v="35"/>
    <x v="15"/>
    <x v="43"/>
    <x v="55"/>
    <x v="56"/>
    <n v="2.93"/>
    <x v="1"/>
    <n v="14.100000000000001"/>
    <x v="0"/>
    <n v="2.4500000000000002"/>
    <x v="0"/>
    <n v="0.41"/>
  </r>
  <r>
    <n v="1404"/>
    <x v="40"/>
    <x v="6"/>
    <x v="25"/>
    <x v="41"/>
    <x v="38"/>
    <n v="3.23"/>
    <x v="2"/>
    <n v="16.3"/>
    <x v="2"/>
    <n v="3.46"/>
    <x v="0"/>
    <n v="0.52"/>
  </r>
  <r>
    <n v="1405"/>
    <x v="36"/>
    <x v="24"/>
    <x v="36"/>
    <x v="38"/>
    <x v="80"/>
    <n v="3.33"/>
    <x v="0"/>
    <n v="16.5"/>
    <x v="2"/>
    <n v="2.4500000000000002"/>
    <x v="0"/>
    <n v="0.45"/>
  </r>
  <r>
    <n v="1406"/>
    <x v="26"/>
    <x v="21"/>
    <x v="6"/>
    <x v="19"/>
    <x v="115"/>
    <n v="3.11"/>
    <x v="2"/>
    <n v="18.399999999999999"/>
    <x v="2"/>
    <n v="4.1500000000000004"/>
    <x v="0"/>
    <n v="0.3"/>
  </r>
  <r>
    <n v="1407"/>
    <x v="17"/>
    <x v="37"/>
    <x v="31"/>
    <x v="19"/>
    <x v="55"/>
    <n v="2.89"/>
    <x v="0"/>
    <n v="16.100000000000001"/>
    <x v="0"/>
    <n v="3.5"/>
    <x v="0"/>
    <n v="0.47"/>
  </r>
  <r>
    <n v="1408"/>
    <x v="24"/>
    <x v="9"/>
    <x v="22"/>
    <x v="27"/>
    <x v="75"/>
    <n v="3.43"/>
    <x v="2"/>
    <n v="15.600000000000001"/>
    <x v="2"/>
    <n v="4.04"/>
    <x v="0"/>
    <n v="0.63"/>
  </r>
  <r>
    <n v="1409"/>
    <x v="26"/>
    <x v="2"/>
    <x v="33"/>
    <x v="10"/>
    <x v="42"/>
    <n v="2.8"/>
    <x v="1"/>
    <n v="17.600000000000001"/>
    <x v="0"/>
    <n v="1.5"/>
    <x v="1"/>
    <n v="0.31"/>
  </r>
  <r>
    <n v="1410"/>
    <x v="28"/>
    <x v="3"/>
    <x v="33"/>
    <x v="53"/>
    <x v="90"/>
    <n v="3.37"/>
    <x v="2"/>
    <n v="17.600000000000001"/>
    <x v="2"/>
    <n v="3.91"/>
    <x v="0"/>
    <n v="0.52"/>
  </r>
  <r>
    <n v="1411"/>
    <x v="35"/>
    <x v="7"/>
    <x v="22"/>
    <x v="18"/>
    <x v="50"/>
    <n v="2.91"/>
    <x v="1"/>
    <n v="15.600000000000001"/>
    <x v="0"/>
    <n v="1.83"/>
    <x v="0"/>
    <n v="0.37"/>
  </r>
  <r>
    <n v="1412"/>
    <x v="31"/>
    <x v="37"/>
    <x v="12"/>
    <x v="22"/>
    <x v="55"/>
    <n v="3.1"/>
    <x v="0"/>
    <n v="17.200000000000003"/>
    <x v="2"/>
    <n v="3.35"/>
    <x v="0"/>
    <n v="0.46"/>
  </r>
  <r>
    <n v="1413"/>
    <x v="29"/>
    <x v="2"/>
    <x v="46"/>
    <x v="38"/>
    <x v="75"/>
    <n v="2.95"/>
    <x v="2"/>
    <n v="18.100000000000001"/>
    <x v="0"/>
    <n v="2.6"/>
    <x v="0"/>
    <n v="0.46"/>
  </r>
  <r>
    <n v="1414"/>
    <x v="45"/>
    <x v="10"/>
    <x v="49"/>
    <x v="35"/>
    <x v="98"/>
    <n v="2.52"/>
    <x v="0"/>
    <n v="16.599999999999998"/>
    <x v="0"/>
    <n v="1.45"/>
    <x v="1"/>
    <n v="0.38"/>
  </r>
  <r>
    <n v="1415"/>
    <x v="3"/>
    <x v="5"/>
    <x v="38"/>
    <x v="33"/>
    <x v="77"/>
    <n v="3.1"/>
    <x v="2"/>
    <n v="18.600000000000001"/>
    <x v="2"/>
    <n v="2.9"/>
    <x v="0"/>
    <n v="0.35"/>
  </r>
  <r>
    <n v="1416"/>
    <x v="49"/>
    <x v="13"/>
    <x v="44"/>
    <x v="4"/>
    <x v="82"/>
    <n v="2.85"/>
    <x v="0"/>
    <n v="16.7"/>
    <x v="0"/>
    <n v="2.62"/>
    <x v="0"/>
    <n v="0.42"/>
  </r>
  <r>
    <n v="1417"/>
    <x v="26"/>
    <x v="28"/>
    <x v="27"/>
    <x v="8"/>
    <x v="64"/>
    <n v="2.76"/>
    <x v="1"/>
    <n v="15.7"/>
    <x v="0"/>
    <n v="1.92"/>
    <x v="0"/>
    <n v="0.35"/>
  </r>
  <r>
    <n v="1418"/>
    <x v="5"/>
    <x v="40"/>
    <x v="16"/>
    <x v="32"/>
    <x v="24"/>
    <n v="2.54"/>
    <x v="2"/>
    <n v="18.899999999999999"/>
    <x v="0"/>
    <n v="2.67"/>
    <x v="0"/>
    <n v="0.32"/>
  </r>
  <r>
    <n v="1419"/>
    <x v="22"/>
    <x v="22"/>
    <x v="33"/>
    <x v="44"/>
    <x v="96"/>
    <n v="2.79"/>
    <x v="0"/>
    <n v="17.600000000000001"/>
    <x v="0"/>
    <n v="4.37"/>
    <x v="0"/>
    <n v="0.35"/>
  </r>
  <r>
    <n v="1420"/>
    <x v="47"/>
    <x v="12"/>
    <x v="23"/>
    <x v="1"/>
    <x v="11"/>
    <n v="2.9"/>
    <x v="1"/>
    <n v="17.3"/>
    <x v="0"/>
    <n v="1.3"/>
    <x v="1"/>
    <n v="0.33"/>
  </r>
  <r>
    <n v="1421"/>
    <x v="44"/>
    <x v="19"/>
    <x v="27"/>
    <x v="14"/>
    <x v="44"/>
    <n v="2.69"/>
    <x v="0"/>
    <n v="15.7"/>
    <x v="0"/>
    <n v="3.61"/>
    <x v="0"/>
    <n v="0.5"/>
  </r>
  <r>
    <n v="1422"/>
    <x v="45"/>
    <x v="21"/>
    <x v="14"/>
    <x v="48"/>
    <x v="105"/>
    <n v="3.22"/>
    <x v="0"/>
    <n v="14.6"/>
    <x v="2"/>
    <n v="3"/>
    <x v="0"/>
    <n v="0.43"/>
  </r>
  <r>
    <n v="1423"/>
    <x v="6"/>
    <x v="37"/>
    <x v="18"/>
    <x v="18"/>
    <x v="53"/>
    <n v="2.75"/>
    <x v="0"/>
    <n v="17.899999999999999"/>
    <x v="0"/>
    <n v="3.41"/>
    <x v="0"/>
    <n v="0.45"/>
  </r>
  <r>
    <n v="1424"/>
    <x v="20"/>
    <x v="24"/>
    <x v="32"/>
    <x v="29"/>
    <x v="98"/>
    <n v="3.37"/>
    <x v="2"/>
    <n v="17.099999999999998"/>
    <x v="2"/>
    <n v="3.66"/>
    <x v="0"/>
    <n v="0.56000000000000005"/>
  </r>
  <r>
    <n v="1425"/>
    <x v="48"/>
    <x v="12"/>
    <x v="34"/>
    <x v="25"/>
    <x v="65"/>
    <n v="3.39"/>
    <x v="2"/>
    <n v="15.899999999999999"/>
    <x v="2"/>
    <n v="3.53"/>
    <x v="0"/>
    <n v="0.57999999999999996"/>
  </r>
  <r>
    <n v="1426"/>
    <x v="49"/>
    <x v="14"/>
    <x v="27"/>
    <x v="28"/>
    <x v="4"/>
    <n v="3.27"/>
    <x v="0"/>
    <n v="15.7"/>
    <x v="2"/>
    <n v="3.41"/>
    <x v="0"/>
    <n v="0.45"/>
  </r>
  <r>
    <n v="1427"/>
    <x v="33"/>
    <x v="6"/>
    <x v="23"/>
    <x v="44"/>
    <x v="71"/>
    <n v="3.37"/>
    <x v="2"/>
    <n v="17.3"/>
    <x v="2"/>
    <n v="3.89"/>
    <x v="0"/>
    <n v="0.54"/>
  </r>
  <r>
    <n v="1428"/>
    <x v="49"/>
    <x v="33"/>
    <x v="20"/>
    <x v="34"/>
    <x v="89"/>
    <n v="2.4700000000000002"/>
    <x v="0"/>
    <n v="16.899999999999999"/>
    <x v="3"/>
    <n v="2.61"/>
    <x v="0"/>
    <n v="0.41"/>
  </r>
  <r>
    <n v="1429"/>
    <x v="6"/>
    <x v="16"/>
    <x v="42"/>
    <x v="52"/>
    <x v="8"/>
    <n v="3.36"/>
    <x v="2"/>
    <n v="18.5"/>
    <x v="2"/>
    <n v="2.48"/>
    <x v="0"/>
    <n v="0.43"/>
  </r>
  <r>
    <n v="1430"/>
    <x v="32"/>
    <x v="11"/>
    <x v="38"/>
    <x v="41"/>
    <x v="29"/>
    <n v="3.02"/>
    <x v="2"/>
    <n v="18.600000000000001"/>
    <x v="2"/>
    <n v="3.71"/>
    <x v="0"/>
    <n v="0.5"/>
  </r>
  <r>
    <n v="1431"/>
    <x v="22"/>
    <x v="33"/>
    <x v="25"/>
    <x v="55"/>
    <x v="52"/>
    <n v="3.04"/>
    <x v="0"/>
    <n v="16.3"/>
    <x v="2"/>
    <n v="1.76"/>
    <x v="0"/>
    <n v="0.37"/>
  </r>
  <r>
    <n v="1432"/>
    <x v="19"/>
    <x v="17"/>
    <x v="1"/>
    <x v="54"/>
    <x v="30"/>
    <n v="3.08"/>
    <x v="0"/>
    <n v="16"/>
    <x v="2"/>
    <n v="2.8"/>
    <x v="0"/>
    <n v="0.44"/>
  </r>
  <r>
    <n v="1433"/>
    <x v="48"/>
    <x v="36"/>
    <x v="16"/>
    <x v="17"/>
    <x v="43"/>
    <n v="3.62"/>
    <x v="2"/>
    <n v="18.899999999999999"/>
    <x v="1"/>
    <n v="3.55"/>
    <x v="0"/>
    <n v="0.49"/>
  </r>
  <r>
    <n v="1434"/>
    <x v="11"/>
    <x v="19"/>
    <x v="15"/>
    <x v="5"/>
    <x v="41"/>
    <n v="3.04"/>
    <x v="0"/>
    <n v="15.100000000000001"/>
    <x v="2"/>
    <n v="3.64"/>
    <x v="0"/>
    <n v="0.42"/>
  </r>
  <r>
    <n v="1435"/>
    <x v="23"/>
    <x v="14"/>
    <x v="48"/>
    <x v="13"/>
    <x v="1"/>
    <n v="3.27"/>
    <x v="0"/>
    <n v="16.200000000000003"/>
    <x v="2"/>
    <n v="2.08"/>
    <x v="0"/>
    <n v="0.42"/>
  </r>
  <r>
    <n v="1436"/>
    <x v="31"/>
    <x v="9"/>
    <x v="19"/>
    <x v="18"/>
    <x v="76"/>
    <n v="2.87"/>
    <x v="0"/>
    <n v="15.8"/>
    <x v="0"/>
    <n v="2.87"/>
    <x v="0"/>
    <n v="0.5"/>
  </r>
  <r>
    <n v="1437"/>
    <x v="38"/>
    <x v="30"/>
    <x v="18"/>
    <x v="7"/>
    <x v="16"/>
    <n v="2.91"/>
    <x v="1"/>
    <n v="17.899999999999999"/>
    <x v="0"/>
    <n v="3.62"/>
    <x v="0"/>
    <n v="0.3"/>
  </r>
  <r>
    <n v="1438"/>
    <x v="13"/>
    <x v="29"/>
    <x v="37"/>
    <x v="52"/>
    <x v="6"/>
    <n v="3.5"/>
    <x v="2"/>
    <n v="17"/>
    <x v="1"/>
    <n v="3.33"/>
    <x v="0"/>
    <n v="0.52"/>
  </r>
  <r>
    <n v="1439"/>
    <x v="5"/>
    <x v="39"/>
    <x v="1"/>
    <x v="48"/>
    <x v="29"/>
    <n v="2.76"/>
    <x v="0"/>
    <n v="16"/>
    <x v="0"/>
    <n v="2.71"/>
    <x v="0"/>
    <n v="0.38"/>
  </r>
  <r>
    <n v="1440"/>
    <x v="28"/>
    <x v="27"/>
    <x v="39"/>
    <x v="43"/>
    <x v="89"/>
    <n v="3.53"/>
    <x v="2"/>
    <n v="14.299999999999999"/>
    <x v="1"/>
    <n v="3.76"/>
    <x v="0"/>
    <n v="0.64"/>
  </r>
  <r>
    <n v="1441"/>
    <x v="29"/>
    <x v="35"/>
    <x v="19"/>
    <x v="10"/>
    <x v="60"/>
    <n v="3.25"/>
    <x v="2"/>
    <n v="15.8"/>
    <x v="2"/>
    <n v="2.94"/>
    <x v="0"/>
    <n v="0.53"/>
  </r>
  <r>
    <n v="1442"/>
    <x v="17"/>
    <x v="16"/>
    <x v="0"/>
    <x v="7"/>
    <x v="33"/>
    <n v="2.86"/>
    <x v="0"/>
    <n v="15.3"/>
    <x v="0"/>
    <n v="2.63"/>
    <x v="0"/>
    <n v="0.5"/>
  </r>
  <r>
    <n v="1443"/>
    <x v="41"/>
    <x v="20"/>
    <x v="36"/>
    <x v="32"/>
    <x v="23"/>
    <n v="2.98"/>
    <x v="1"/>
    <n v="16.5"/>
    <x v="0"/>
    <n v="1.59"/>
    <x v="0"/>
    <n v="0.34"/>
  </r>
  <r>
    <n v="1444"/>
    <x v="47"/>
    <x v="15"/>
    <x v="50"/>
    <x v="43"/>
    <x v="68"/>
    <n v="2.42"/>
    <x v="2"/>
    <n v="19"/>
    <x v="3"/>
    <n v="3.59"/>
    <x v="0"/>
    <n v="0.3"/>
  </r>
  <r>
    <n v="1445"/>
    <x v="31"/>
    <x v="20"/>
    <x v="30"/>
    <x v="10"/>
    <x v="25"/>
    <n v="2.99"/>
    <x v="0"/>
    <n v="14.4"/>
    <x v="0"/>
    <n v="2.97"/>
    <x v="0"/>
    <n v="0.55000000000000004"/>
  </r>
  <r>
    <n v="1446"/>
    <x v="12"/>
    <x v="30"/>
    <x v="25"/>
    <x v="50"/>
    <x v="24"/>
    <n v="3.07"/>
    <x v="1"/>
    <n v="16.3"/>
    <x v="2"/>
    <n v="2.62"/>
    <x v="0"/>
    <n v="0.31"/>
  </r>
  <r>
    <n v="1447"/>
    <x v="19"/>
    <x v="20"/>
    <x v="21"/>
    <x v="53"/>
    <x v="90"/>
    <n v="3.15"/>
    <x v="0"/>
    <n v="16.399999999999999"/>
    <x v="2"/>
    <n v="3.04"/>
    <x v="0"/>
    <n v="0.43"/>
  </r>
  <r>
    <n v="1448"/>
    <x v="15"/>
    <x v="7"/>
    <x v="6"/>
    <x v="48"/>
    <x v="56"/>
    <n v="3.21"/>
    <x v="2"/>
    <n v="18.400000000000002"/>
    <x v="2"/>
    <n v="3.52"/>
    <x v="0"/>
    <n v="0.47"/>
  </r>
  <r>
    <n v="1449"/>
    <x v="5"/>
    <x v="38"/>
    <x v="40"/>
    <x v="3"/>
    <x v="28"/>
    <n v="2.7"/>
    <x v="0"/>
    <n v="14"/>
    <x v="0"/>
    <n v="3.14"/>
    <x v="0"/>
    <n v="0.43"/>
  </r>
  <r>
    <n v="1450"/>
    <x v="31"/>
    <x v="7"/>
    <x v="13"/>
    <x v="8"/>
    <x v="20"/>
    <n v="3.29"/>
    <x v="0"/>
    <n v="17.399999999999999"/>
    <x v="2"/>
    <n v="2.54"/>
    <x v="0"/>
    <n v="0.45"/>
  </r>
  <r>
    <n v="1451"/>
    <x v="37"/>
    <x v="25"/>
    <x v="23"/>
    <x v="22"/>
    <x v="5"/>
    <n v="2.7"/>
    <x v="1"/>
    <n v="17.3"/>
    <x v="0"/>
    <n v="2.93"/>
    <x v="0"/>
    <n v="0.34"/>
  </r>
  <r>
    <n v="1452"/>
    <x v="30"/>
    <x v="37"/>
    <x v="47"/>
    <x v="56"/>
    <x v="49"/>
    <n v="3.32"/>
    <x v="2"/>
    <n v="17.8"/>
    <x v="2"/>
    <n v="3.51"/>
    <x v="0"/>
    <n v="0.53"/>
  </r>
  <r>
    <n v="1453"/>
    <x v="18"/>
    <x v="15"/>
    <x v="43"/>
    <x v="15"/>
    <x v="52"/>
    <n v="3.03"/>
    <x v="0"/>
    <n v="14.1"/>
    <x v="2"/>
    <n v="2.09"/>
    <x v="0"/>
    <n v="0.47"/>
  </r>
  <r>
    <n v="1454"/>
    <x v="35"/>
    <x v="27"/>
    <x v="21"/>
    <x v="42"/>
    <x v="29"/>
    <n v="3.09"/>
    <x v="1"/>
    <n v="16.399999999999999"/>
    <x v="2"/>
    <n v="1.25"/>
    <x v="1"/>
    <n v="0.35"/>
  </r>
  <r>
    <n v="1455"/>
    <x v="33"/>
    <x v="6"/>
    <x v="17"/>
    <x v="10"/>
    <x v="39"/>
    <n v="3.91"/>
    <x v="2"/>
    <n v="14.500000000000002"/>
    <x v="1"/>
    <n v="3.91"/>
    <x v="0"/>
    <n v="0.65"/>
  </r>
  <r>
    <n v="1456"/>
    <x v="18"/>
    <x v="2"/>
    <x v="27"/>
    <x v="39"/>
    <x v="64"/>
    <n v="2.93"/>
    <x v="0"/>
    <n v="15.7"/>
    <x v="0"/>
    <n v="2.72"/>
    <x v="0"/>
    <n v="0.42"/>
  </r>
  <r>
    <n v="1457"/>
    <x v="18"/>
    <x v="25"/>
    <x v="5"/>
    <x v="28"/>
    <x v="83"/>
    <n v="2.6"/>
    <x v="2"/>
    <n v="18.7"/>
    <x v="0"/>
    <n v="4.1900000000000004"/>
    <x v="0"/>
    <n v="0.35"/>
  </r>
  <r>
    <n v="1458"/>
    <x v="46"/>
    <x v="8"/>
    <x v="24"/>
    <x v="50"/>
    <x v="82"/>
    <n v="2.96"/>
    <x v="2"/>
    <n v="18.2"/>
    <x v="0"/>
    <n v="2.63"/>
    <x v="0"/>
    <n v="0.4"/>
  </r>
  <r>
    <n v="1459"/>
    <x v="17"/>
    <x v="40"/>
    <x v="13"/>
    <x v="26"/>
    <x v="91"/>
    <n v="3.3"/>
    <x v="0"/>
    <n v="17.399999999999999"/>
    <x v="2"/>
    <n v="2.88"/>
    <x v="0"/>
    <n v="0.44"/>
  </r>
  <r>
    <n v="1460"/>
    <x v="15"/>
    <x v="33"/>
    <x v="49"/>
    <x v="30"/>
    <x v="20"/>
    <n v="3.45"/>
    <x v="2"/>
    <n v="16.600000000000001"/>
    <x v="2"/>
    <n v="3.03"/>
    <x v="0"/>
    <n v="0.52"/>
  </r>
  <r>
    <n v="1461"/>
    <x v="8"/>
    <x v="25"/>
    <x v="15"/>
    <x v="7"/>
    <x v="17"/>
    <n v="2.5099999999999998"/>
    <x v="1"/>
    <n v="15.1"/>
    <x v="0"/>
    <n v="1.24"/>
    <x v="1"/>
    <n v="0.34"/>
  </r>
  <r>
    <n v="1462"/>
    <x v="27"/>
    <x v="27"/>
    <x v="14"/>
    <x v="2"/>
    <x v="75"/>
    <n v="3.06"/>
    <x v="2"/>
    <n v="14.6"/>
    <x v="2"/>
    <n v="3.11"/>
    <x v="0"/>
    <n v="0.56000000000000005"/>
  </r>
  <r>
    <n v="1463"/>
    <x v="16"/>
    <x v="9"/>
    <x v="14"/>
    <x v="31"/>
    <x v="93"/>
    <n v="3.85"/>
    <x v="2"/>
    <n v="14.6"/>
    <x v="1"/>
    <n v="3.44"/>
    <x v="0"/>
    <n v="0.6"/>
  </r>
  <r>
    <n v="1464"/>
    <x v="39"/>
    <x v="2"/>
    <x v="38"/>
    <x v="5"/>
    <x v="42"/>
    <n v="3.42"/>
    <x v="2"/>
    <n v="18.600000000000001"/>
    <x v="2"/>
    <n v="3.51"/>
    <x v="0"/>
    <n v="0.47"/>
  </r>
  <r>
    <n v="1465"/>
    <x v="10"/>
    <x v="3"/>
    <x v="34"/>
    <x v="15"/>
    <x v="15"/>
    <n v="3.49"/>
    <x v="2"/>
    <n v="15.899999999999999"/>
    <x v="2"/>
    <n v="3.82"/>
    <x v="0"/>
    <n v="0.61"/>
  </r>
  <r>
    <n v="1466"/>
    <x v="39"/>
    <x v="28"/>
    <x v="4"/>
    <x v="55"/>
    <x v="23"/>
    <n v="3.25"/>
    <x v="2"/>
    <n v="17.5"/>
    <x v="2"/>
    <n v="3.28"/>
    <x v="0"/>
    <n v="0.5"/>
  </r>
  <r>
    <n v="1467"/>
    <x v="38"/>
    <x v="1"/>
    <x v="7"/>
    <x v="26"/>
    <x v="7"/>
    <n v="2.85"/>
    <x v="1"/>
    <n v="17.7"/>
    <x v="0"/>
    <n v="1.01"/>
    <x v="1"/>
    <n v="0.31"/>
  </r>
  <r>
    <n v="1468"/>
    <x v="19"/>
    <x v="27"/>
    <x v="23"/>
    <x v="3"/>
    <x v="42"/>
    <n v="3.16"/>
    <x v="0"/>
    <n v="17.299999999999997"/>
    <x v="2"/>
    <n v="2.5"/>
    <x v="0"/>
    <n v="0.41"/>
  </r>
  <r>
    <n v="1469"/>
    <x v="43"/>
    <x v="15"/>
    <x v="19"/>
    <x v="43"/>
    <x v="0"/>
    <n v="3.81"/>
    <x v="2"/>
    <n v="15.8"/>
    <x v="1"/>
    <n v="4.12"/>
    <x v="0"/>
    <n v="0.63"/>
  </r>
  <r>
    <n v="1470"/>
    <x v="9"/>
    <x v="23"/>
    <x v="35"/>
    <x v="4"/>
    <x v="54"/>
    <n v="3.22"/>
    <x v="2"/>
    <n v="18.8"/>
    <x v="2"/>
    <n v="2.42"/>
    <x v="0"/>
    <n v="0.41"/>
  </r>
  <r>
    <n v="1471"/>
    <x v="25"/>
    <x v="6"/>
    <x v="38"/>
    <x v="6"/>
    <x v="8"/>
    <n v="2.98"/>
    <x v="2"/>
    <n v="18.600000000000001"/>
    <x v="0"/>
    <n v="1.97"/>
    <x v="0"/>
    <n v="0.33"/>
  </r>
  <r>
    <n v="1472"/>
    <x v="44"/>
    <x v="26"/>
    <x v="50"/>
    <x v="9"/>
    <x v="1"/>
    <n v="3.16"/>
    <x v="2"/>
    <n v="19"/>
    <x v="2"/>
    <n v="2.12"/>
    <x v="0"/>
    <n v="0.41"/>
  </r>
  <r>
    <n v="1473"/>
    <x v="30"/>
    <x v="4"/>
    <x v="42"/>
    <x v="10"/>
    <x v="46"/>
    <n v="3.44"/>
    <x v="2"/>
    <n v="18.5"/>
    <x v="2"/>
    <n v="3.92"/>
    <x v="0"/>
    <n v="0.51"/>
  </r>
  <r>
    <n v="1474"/>
    <x v="17"/>
    <x v="4"/>
    <x v="50"/>
    <x v="36"/>
    <x v="46"/>
    <n v="3.29"/>
    <x v="2"/>
    <n v="19"/>
    <x v="2"/>
    <n v="2.98"/>
    <x v="0"/>
    <n v="0.4"/>
  </r>
  <r>
    <n v="1475"/>
    <x v="38"/>
    <x v="25"/>
    <x v="30"/>
    <x v="22"/>
    <x v="7"/>
    <n v="2.69"/>
    <x v="1"/>
    <n v="14.400000000000002"/>
    <x v="0"/>
    <n v="2.02"/>
    <x v="0"/>
    <n v="0.38"/>
  </r>
  <r>
    <n v="1476"/>
    <x v="6"/>
    <x v="5"/>
    <x v="0"/>
    <x v="45"/>
    <x v="11"/>
    <n v="3.25"/>
    <x v="0"/>
    <n v="15.3"/>
    <x v="2"/>
    <n v="3.28"/>
    <x v="0"/>
    <n v="0.52"/>
  </r>
  <r>
    <n v="1477"/>
    <x v="34"/>
    <x v="21"/>
    <x v="46"/>
    <x v="13"/>
    <x v="49"/>
    <n v="3.3"/>
    <x v="2"/>
    <n v="18.100000000000001"/>
    <x v="2"/>
    <n v="2.04"/>
    <x v="0"/>
    <n v="0.4"/>
  </r>
  <r>
    <n v="1478"/>
    <x v="35"/>
    <x v="27"/>
    <x v="6"/>
    <x v="20"/>
    <x v="85"/>
    <n v="2.62"/>
    <x v="2"/>
    <n v="18.399999999999999"/>
    <x v="0"/>
    <n v="2.27"/>
    <x v="0"/>
    <n v="0.32"/>
  </r>
  <r>
    <n v="1479"/>
    <x v="25"/>
    <x v="15"/>
    <x v="7"/>
    <x v="46"/>
    <x v="74"/>
    <n v="2.91"/>
    <x v="0"/>
    <n v="17.7"/>
    <x v="0"/>
    <n v="1.58"/>
    <x v="0"/>
    <n v="0.35"/>
  </r>
  <r>
    <n v="1480"/>
    <x v="4"/>
    <x v="31"/>
    <x v="37"/>
    <x v="33"/>
    <x v="76"/>
    <n v="3.24"/>
    <x v="2"/>
    <n v="17"/>
    <x v="2"/>
    <n v="3.14"/>
    <x v="0"/>
    <n v="0.48"/>
  </r>
  <r>
    <n v="1481"/>
    <x v="29"/>
    <x v="25"/>
    <x v="33"/>
    <x v="29"/>
    <x v="57"/>
    <n v="3.31"/>
    <x v="2"/>
    <n v="17.600000000000001"/>
    <x v="2"/>
    <n v="2.78"/>
    <x v="0"/>
    <n v="0.47"/>
  </r>
  <r>
    <n v="1482"/>
    <x v="50"/>
    <x v="27"/>
    <x v="47"/>
    <x v="31"/>
    <x v="40"/>
    <n v="3.02"/>
    <x v="0"/>
    <n v="17.8"/>
    <x v="2"/>
    <n v="2.57"/>
    <x v="0"/>
    <n v="0.42"/>
  </r>
  <r>
    <n v="1483"/>
    <x v="14"/>
    <x v="18"/>
    <x v="23"/>
    <x v="12"/>
    <x v="42"/>
    <n v="3.01"/>
    <x v="0"/>
    <n v="17.3"/>
    <x v="2"/>
    <n v="2.92"/>
    <x v="0"/>
    <n v="0.39"/>
  </r>
  <r>
    <n v="1484"/>
    <x v="34"/>
    <x v="18"/>
    <x v="14"/>
    <x v="28"/>
    <x v="77"/>
    <n v="3.29"/>
    <x v="0"/>
    <n v="14.599999999999998"/>
    <x v="2"/>
    <n v="4.0999999999999996"/>
    <x v="0"/>
    <n v="0.5"/>
  </r>
  <r>
    <n v="1485"/>
    <x v="10"/>
    <x v="14"/>
    <x v="23"/>
    <x v="21"/>
    <x v="18"/>
    <n v="3.47"/>
    <x v="2"/>
    <n v="17.299999999999997"/>
    <x v="2"/>
    <n v="4.0999999999999996"/>
    <x v="0"/>
    <n v="0.56000000000000005"/>
  </r>
  <r>
    <n v="1486"/>
    <x v="9"/>
    <x v="22"/>
    <x v="20"/>
    <x v="42"/>
    <x v="17"/>
    <n v="3.08"/>
    <x v="0"/>
    <n v="16.899999999999999"/>
    <x v="2"/>
    <n v="2.78"/>
    <x v="0"/>
    <n v="0.46"/>
  </r>
  <r>
    <n v="1487"/>
    <x v="15"/>
    <x v="38"/>
    <x v="39"/>
    <x v="24"/>
    <x v="11"/>
    <n v="3.14"/>
    <x v="2"/>
    <n v="14.3"/>
    <x v="2"/>
    <n v="3.94"/>
    <x v="0"/>
    <n v="0.6"/>
  </r>
  <r>
    <n v="1488"/>
    <x v="8"/>
    <x v="30"/>
    <x v="43"/>
    <x v="31"/>
    <x v="3"/>
    <n v="2.61"/>
    <x v="1"/>
    <n v="14.1"/>
    <x v="0"/>
    <n v="2.8"/>
    <x v="0"/>
    <n v="0.37"/>
  </r>
  <r>
    <n v="1489"/>
    <x v="41"/>
    <x v="31"/>
    <x v="26"/>
    <x v="41"/>
    <x v="6"/>
    <n v="2.81"/>
    <x v="1"/>
    <n v="15.399999999999999"/>
    <x v="0"/>
    <n v="2.36"/>
    <x v="0"/>
    <n v="0.36"/>
  </r>
  <r>
    <n v="1490"/>
    <x v="22"/>
    <x v="3"/>
    <x v="7"/>
    <x v="54"/>
    <x v="29"/>
    <n v="2.73"/>
    <x v="0"/>
    <n v="17.7"/>
    <x v="0"/>
    <n v="1.81"/>
    <x v="0"/>
    <n v="0.34"/>
  </r>
  <r>
    <n v="1491"/>
    <x v="30"/>
    <x v="32"/>
    <x v="12"/>
    <x v="11"/>
    <x v="37"/>
    <n v="3.74"/>
    <x v="2"/>
    <n v="17.2"/>
    <x v="1"/>
    <n v="3.51"/>
    <x v="0"/>
    <n v="0.55000000000000004"/>
  </r>
  <r>
    <n v="1492"/>
    <x v="34"/>
    <x v="23"/>
    <x v="39"/>
    <x v="2"/>
    <x v="75"/>
    <n v="2.97"/>
    <x v="0"/>
    <n v="14.299999999999999"/>
    <x v="0"/>
    <n v="2.64"/>
    <x v="0"/>
    <n v="0.51"/>
  </r>
  <r>
    <n v="1493"/>
    <x v="44"/>
    <x v="31"/>
    <x v="29"/>
    <x v="10"/>
    <x v="13"/>
    <n v="3.24"/>
    <x v="0"/>
    <n v="18"/>
    <x v="2"/>
    <n v="3.63"/>
    <x v="0"/>
    <n v="0.43"/>
  </r>
  <r>
    <n v="1494"/>
    <x v="35"/>
    <x v="6"/>
    <x v="1"/>
    <x v="1"/>
    <x v="76"/>
    <n v="2.82"/>
    <x v="1"/>
    <n v="16"/>
    <x v="0"/>
    <n v="1.65"/>
    <x v="0"/>
    <n v="0.36"/>
  </r>
  <r>
    <n v="1495"/>
    <x v="0"/>
    <x v="1"/>
    <x v="48"/>
    <x v="10"/>
    <x v="37"/>
    <n v="3.02"/>
    <x v="0"/>
    <n v="16.2"/>
    <x v="2"/>
    <n v="1.95"/>
    <x v="0"/>
    <n v="0.43"/>
  </r>
  <r>
    <n v="1496"/>
    <x v="28"/>
    <x v="25"/>
    <x v="2"/>
    <x v="16"/>
    <x v="22"/>
    <n v="3.22"/>
    <x v="2"/>
    <n v="14.799999999999999"/>
    <x v="2"/>
    <n v="3.62"/>
    <x v="0"/>
    <n v="0.61"/>
  </r>
  <r>
    <n v="1497"/>
    <x v="41"/>
    <x v="18"/>
    <x v="4"/>
    <x v="1"/>
    <x v="5"/>
    <n v="2.71"/>
    <x v="1"/>
    <n v="17.5"/>
    <x v="0"/>
    <n v="3.17"/>
    <x v="0"/>
    <n v="0.32"/>
  </r>
  <r>
    <n v="1498"/>
    <x v="50"/>
    <x v="13"/>
    <x v="20"/>
    <x v="25"/>
    <x v="28"/>
    <n v="3.32"/>
    <x v="0"/>
    <n v="16.899999999999999"/>
    <x v="2"/>
    <n v="3.13"/>
    <x v="0"/>
    <n v="0.44"/>
  </r>
  <r>
    <n v="1499"/>
    <x v="47"/>
    <x v="40"/>
    <x v="5"/>
    <x v="2"/>
    <x v="95"/>
    <n v="2.74"/>
    <x v="2"/>
    <n v="18.7"/>
    <x v="0"/>
    <n v="4.7699999999999996"/>
    <x v="0"/>
    <n v="0.3"/>
  </r>
  <r>
    <n v="1500"/>
    <x v="23"/>
    <x v="38"/>
    <x v="2"/>
    <x v="39"/>
    <x v="78"/>
    <n v="2.8"/>
    <x v="0"/>
    <n v="14.8"/>
    <x v="0"/>
    <n v="4.18"/>
    <x v="0"/>
    <n v="0.46"/>
  </r>
  <r>
    <n v="1501"/>
    <x v="10"/>
    <x v="7"/>
    <x v="25"/>
    <x v="16"/>
    <x v="89"/>
    <n v="3.22"/>
    <x v="2"/>
    <n v="16.299999999999997"/>
    <x v="2"/>
    <n v="3.88"/>
    <x v="0"/>
    <n v="0.6"/>
  </r>
  <r>
    <n v="1502"/>
    <x v="27"/>
    <x v="39"/>
    <x v="5"/>
    <x v="56"/>
    <x v="5"/>
    <n v="3.55"/>
    <x v="2"/>
    <n v="18.699999999999996"/>
    <x v="1"/>
    <n v="3.87"/>
    <x v="0"/>
    <n v="0.44"/>
  </r>
  <r>
    <n v="1503"/>
    <x v="9"/>
    <x v="7"/>
    <x v="42"/>
    <x v="36"/>
    <x v="36"/>
    <n v="3.06"/>
    <x v="2"/>
    <n v="18.500000000000004"/>
    <x v="2"/>
    <n v="2.31"/>
    <x v="0"/>
    <n v="0.42"/>
  </r>
  <r>
    <n v="1504"/>
    <x v="18"/>
    <x v="37"/>
    <x v="24"/>
    <x v="7"/>
    <x v="87"/>
    <n v="2.73"/>
    <x v="2"/>
    <n v="18.2"/>
    <x v="0"/>
    <n v="2.67"/>
    <x v="0"/>
    <n v="0.36"/>
  </r>
  <r>
    <n v="1505"/>
    <x v="21"/>
    <x v="6"/>
    <x v="36"/>
    <x v="12"/>
    <x v="38"/>
    <n v="3.33"/>
    <x v="2"/>
    <n v="16.5"/>
    <x v="2"/>
    <n v="3.65"/>
    <x v="0"/>
    <n v="0.55000000000000004"/>
  </r>
  <r>
    <n v="1506"/>
    <x v="45"/>
    <x v="1"/>
    <x v="31"/>
    <x v="22"/>
    <x v="64"/>
    <n v="3.32"/>
    <x v="0"/>
    <n v="16.100000000000001"/>
    <x v="2"/>
    <n v="2.15"/>
    <x v="0"/>
    <n v="0.39"/>
  </r>
  <r>
    <n v="1507"/>
    <x v="45"/>
    <x v="16"/>
    <x v="35"/>
    <x v="49"/>
    <x v="37"/>
    <n v="3"/>
    <x v="2"/>
    <n v="18.8"/>
    <x v="2"/>
    <n v="1.68"/>
    <x v="0"/>
    <n v="0.34"/>
  </r>
  <r>
    <n v="1508"/>
    <x v="49"/>
    <x v="14"/>
    <x v="14"/>
    <x v="29"/>
    <x v="37"/>
    <n v="2.98"/>
    <x v="0"/>
    <n v="14.600000000000001"/>
    <x v="0"/>
    <n v="2.2999999999999998"/>
    <x v="0"/>
    <n v="0.48"/>
  </r>
  <r>
    <n v="1509"/>
    <x v="9"/>
    <x v="39"/>
    <x v="50"/>
    <x v="18"/>
    <x v="102"/>
    <n v="3"/>
    <x v="2"/>
    <n v="19"/>
    <x v="2"/>
    <n v="4.5999999999999996"/>
    <x v="0"/>
    <n v="0.41"/>
  </r>
  <r>
    <n v="1510"/>
    <x v="41"/>
    <x v="37"/>
    <x v="19"/>
    <x v="33"/>
    <x v="6"/>
    <n v="2.91"/>
    <x v="1"/>
    <n v="15.8"/>
    <x v="0"/>
    <n v="1.68"/>
    <x v="0"/>
    <n v="0.35"/>
  </r>
  <r>
    <n v="1511"/>
    <x v="37"/>
    <x v="11"/>
    <x v="39"/>
    <x v="16"/>
    <x v="3"/>
    <n v="2.76"/>
    <x v="1"/>
    <n v="14.3"/>
    <x v="0"/>
    <n v="3.09"/>
    <x v="0"/>
    <n v="0.41"/>
  </r>
  <r>
    <n v="1512"/>
    <x v="28"/>
    <x v="34"/>
    <x v="1"/>
    <x v="22"/>
    <x v="52"/>
    <n v="3.46"/>
    <x v="2"/>
    <n v="16"/>
    <x v="2"/>
    <n v="3.48"/>
    <x v="0"/>
    <n v="0.56999999999999995"/>
  </r>
  <r>
    <n v="1513"/>
    <x v="45"/>
    <x v="30"/>
    <x v="36"/>
    <x v="38"/>
    <x v="44"/>
    <n v="2.87"/>
    <x v="0"/>
    <n v="16.5"/>
    <x v="0"/>
    <n v="2.74"/>
    <x v="0"/>
    <n v="0.38"/>
  </r>
  <r>
    <n v="1514"/>
    <x v="23"/>
    <x v="12"/>
    <x v="17"/>
    <x v="44"/>
    <x v="6"/>
    <n v="2.58"/>
    <x v="0"/>
    <n v="14.5"/>
    <x v="0"/>
    <n v="2.5499999999999998"/>
    <x v="0"/>
    <n v="0.47"/>
  </r>
  <r>
    <n v="1515"/>
    <x v="0"/>
    <x v="4"/>
    <x v="34"/>
    <x v="13"/>
    <x v="49"/>
    <n v="3"/>
    <x v="0"/>
    <n v="15.9"/>
    <x v="2"/>
    <n v="2.59"/>
    <x v="0"/>
    <n v="0.43"/>
  </r>
  <r>
    <n v="1516"/>
    <x v="42"/>
    <x v="11"/>
    <x v="1"/>
    <x v="5"/>
    <x v="40"/>
    <n v="3.53"/>
    <x v="2"/>
    <n v="16"/>
    <x v="1"/>
    <n v="4.5999999999999996"/>
    <x v="0"/>
    <n v="0.61"/>
  </r>
  <r>
    <n v="1517"/>
    <x v="30"/>
    <x v="3"/>
    <x v="27"/>
    <x v="30"/>
    <x v="86"/>
    <n v="3.35"/>
    <x v="2"/>
    <n v="15.7"/>
    <x v="2"/>
    <n v="3.88"/>
    <x v="0"/>
    <n v="0.61"/>
  </r>
  <r>
    <n v="1518"/>
    <x v="41"/>
    <x v="35"/>
    <x v="1"/>
    <x v="39"/>
    <x v="73"/>
    <n v="2.99"/>
    <x v="1"/>
    <n v="16"/>
    <x v="0"/>
    <n v="3.65"/>
    <x v="0"/>
    <n v="0.35"/>
  </r>
  <r>
    <n v="1519"/>
    <x v="11"/>
    <x v="18"/>
    <x v="20"/>
    <x v="32"/>
    <x v="64"/>
    <n v="2.72"/>
    <x v="0"/>
    <n v="16.899999999999999"/>
    <x v="0"/>
    <n v="2.81"/>
    <x v="0"/>
    <n v="0.38"/>
  </r>
  <r>
    <n v="1520"/>
    <x v="20"/>
    <x v="15"/>
    <x v="0"/>
    <x v="31"/>
    <x v="39"/>
    <n v="3.45"/>
    <x v="2"/>
    <n v="15.3"/>
    <x v="2"/>
    <n v="3.95"/>
    <x v="0"/>
    <n v="0.63"/>
  </r>
  <r>
    <n v="1521"/>
    <x v="5"/>
    <x v="40"/>
    <x v="22"/>
    <x v="22"/>
    <x v="26"/>
    <n v="3.19"/>
    <x v="0"/>
    <n v="15.6"/>
    <x v="2"/>
    <n v="3.35"/>
    <x v="0"/>
    <n v="0.38"/>
  </r>
  <r>
    <n v="1522"/>
    <x v="13"/>
    <x v="6"/>
    <x v="28"/>
    <x v="26"/>
    <x v="86"/>
    <n v="3.27"/>
    <x v="2"/>
    <n v="15"/>
    <x v="2"/>
    <n v="3.64"/>
    <x v="0"/>
    <n v="0.59"/>
  </r>
  <r>
    <n v="1523"/>
    <x v="29"/>
    <x v="22"/>
    <x v="33"/>
    <x v="31"/>
    <x v="3"/>
    <n v="3.18"/>
    <x v="2"/>
    <n v="17.600000000000001"/>
    <x v="2"/>
    <n v="3.56"/>
    <x v="0"/>
    <n v="0.47"/>
  </r>
  <r>
    <n v="1524"/>
    <x v="5"/>
    <x v="6"/>
    <x v="17"/>
    <x v="17"/>
    <x v="72"/>
    <n v="2.78"/>
    <x v="0"/>
    <n v="14.5"/>
    <x v="0"/>
    <n v="2.84"/>
    <x v="0"/>
    <n v="0.41"/>
  </r>
  <r>
    <n v="1525"/>
    <x v="15"/>
    <x v="33"/>
    <x v="42"/>
    <x v="57"/>
    <x v="93"/>
    <n v="2.9"/>
    <x v="2"/>
    <n v="18.5"/>
    <x v="0"/>
    <n v="3.1"/>
    <x v="0"/>
    <n v="0.46"/>
  </r>
  <r>
    <n v="1526"/>
    <x v="16"/>
    <x v="19"/>
    <x v="11"/>
    <x v="39"/>
    <x v="54"/>
    <n v="3.52"/>
    <x v="2"/>
    <n v="15.5"/>
    <x v="1"/>
    <n v="4.03"/>
    <x v="0"/>
    <n v="0.56999999999999995"/>
  </r>
  <r>
    <n v="1527"/>
    <x v="48"/>
    <x v="6"/>
    <x v="19"/>
    <x v="27"/>
    <x v="98"/>
    <n v="3.6"/>
    <x v="2"/>
    <n v="15.8"/>
    <x v="1"/>
    <n v="3.67"/>
    <x v="0"/>
    <n v="0.57999999999999996"/>
  </r>
  <r>
    <n v="1528"/>
    <x v="36"/>
    <x v="25"/>
    <x v="44"/>
    <x v="32"/>
    <x v="89"/>
    <n v="3.25"/>
    <x v="0"/>
    <n v="16.7"/>
    <x v="2"/>
    <n v="2.73"/>
    <x v="0"/>
    <n v="0.44"/>
  </r>
  <r>
    <n v="1529"/>
    <x v="50"/>
    <x v="23"/>
    <x v="28"/>
    <x v="3"/>
    <x v="75"/>
    <n v="3.03"/>
    <x v="0"/>
    <n v="15"/>
    <x v="2"/>
    <n v="2.6"/>
    <x v="0"/>
    <n v="0.5"/>
  </r>
  <r>
    <n v="1530"/>
    <x v="28"/>
    <x v="22"/>
    <x v="21"/>
    <x v="12"/>
    <x v="22"/>
    <n v="3.08"/>
    <x v="2"/>
    <n v="16.400000000000002"/>
    <x v="2"/>
    <n v="3.74"/>
    <x v="0"/>
    <n v="0.55000000000000004"/>
  </r>
  <r>
    <n v="1531"/>
    <x v="23"/>
    <x v="12"/>
    <x v="47"/>
    <x v="14"/>
    <x v="69"/>
    <n v="3"/>
    <x v="0"/>
    <n v="17.8"/>
    <x v="2"/>
    <n v="3.35"/>
    <x v="0"/>
    <n v="0.38"/>
  </r>
  <r>
    <n v="1532"/>
    <x v="11"/>
    <x v="23"/>
    <x v="23"/>
    <x v="34"/>
    <x v="93"/>
    <n v="2.98"/>
    <x v="0"/>
    <n v="17.3"/>
    <x v="0"/>
    <n v="2.1800000000000002"/>
    <x v="0"/>
    <n v="0.37"/>
  </r>
  <r>
    <n v="1533"/>
    <x v="24"/>
    <x v="8"/>
    <x v="35"/>
    <x v="1"/>
    <x v="67"/>
    <n v="3.3"/>
    <x v="2"/>
    <n v="18.8"/>
    <x v="2"/>
    <n v="3.72"/>
    <x v="0"/>
    <n v="0.53"/>
  </r>
  <r>
    <n v="1534"/>
    <x v="40"/>
    <x v="18"/>
    <x v="14"/>
    <x v="44"/>
    <x v="7"/>
    <n v="3.25"/>
    <x v="2"/>
    <n v="14.600000000000001"/>
    <x v="2"/>
    <n v="3.94"/>
    <x v="0"/>
    <n v="0.57999999999999996"/>
  </r>
  <r>
    <n v="1535"/>
    <x v="41"/>
    <x v="5"/>
    <x v="8"/>
    <x v="1"/>
    <x v="98"/>
    <n v="2.75"/>
    <x v="1"/>
    <n v="14.2"/>
    <x v="0"/>
    <n v="2.06"/>
    <x v="0"/>
    <n v="0.39"/>
  </r>
  <r>
    <n v="1536"/>
    <x v="14"/>
    <x v="22"/>
    <x v="49"/>
    <x v="35"/>
    <x v="42"/>
    <n v="3.26"/>
    <x v="0"/>
    <n v="16.600000000000001"/>
    <x v="2"/>
    <n v="2.59"/>
    <x v="0"/>
    <n v="0.4"/>
  </r>
  <r>
    <n v="1537"/>
    <x v="27"/>
    <x v="19"/>
    <x v="39"/>
    <x v="24"/>
    <x v="76"/>
    <n v="2.81"/>
    <x v="2"/>
    <n v="14.3"/>
    <x v="0"/>
    <n v="3.44"/>
    <x v="0"/>
    <n v="0.56999999999999995"/>
  </r>
  <r>
    <n v="1538"/>
    <x v="46"/>
    <x v="32"/>
    <x v="3"/>
    <x v="10"/>
    <x v="11"/>
    <n v="3.03"/>
    <x v="0"/>
    <n v="16.8"/>
    <x v="2"/>
    <n v="2.2999999999999998"/>
    <x v="0"/>
    <n v="0.43"/>
  </r>
  <r>
    <n v="1539"/>
    <x v="39"/>
    <x v="33"/>
    <x v="2"/>
    <x v="44"/>
    <x v="23"/>
    <n v="3.58"/>
    <x v="2"/>
    <n v="14.799999999999999"/>
    <x v="1"/>
    <n v="3.45"/>
    <x v="0"/>
    <n v="0.59"/>
  </r>
  <r>
    <n v="1540"/>
    <x v="23"/>
    <x v="35"/>
    <x v="13"/>
    <x v="24"/>
    <x v="78"/>
    <n v="3.38"/>
    <x v="0"/>
    <n v="17.399999999999999"/>
    <x v="2"/>
    <n v="3.45"/>
    <x v="0"/>
    <n v="0.39"/>
  </r>
  <r>
    <n v="1541"/>
    <x v="22"/>
    <x v="31"/>
    <x v="22"/>
    <x v="8"/>
    <x v="43"/>
    <n v="2.88"/>
    <x v="0"/>
    <n v="15.6"/>
    <x v="0"/>
    <n v="2.4900000000000002"/>
    <x v="0"/>
    <n v="0.39"/>
  </r>
  <r>
    <n v="1542"/>
    <x v="31"/>
    <x v="2"/>
    <x v="25"/>
    <x v="50"/>
    <x v="18"/>
    <n v="3.4"/>
    <x v="0"/>
    <n v="16.3"/>
    <x v="2"/>
    <n v="3.06"/>
    <x v="0"/>
    <n v="0.48"/>
  </r>
  <r>
    <n v="1543"/>
    <x v="38"/>
    <x v="40"/>
    <x v="3"/>
    <x v="38"/>
    <x v="77"/>
    <n v="2.71"/>
    <x v="1"/>
    <n v="16.799999999999997"/>
    <x v="0"/>
    <n v="2.7"/>
    <x v="0"/>
    <n v="0.32"/>
  </r>
  <r>
    <n v="1544"/>
    <x v="21"/>
    <x v="21"/>
    <x v="29"/>
    <x v="7"/>
    <x v="67"/>
    <n v="3.32"/>
    <x v="2"/>
    <n v="18"/>
    <x v="2"/>
    <n v="3.04"/>
    <x v="0"/>
    <n v="0.5"/>
  </r>
  <r>
    <n v="1545"/>
    <x v="39"/>
    <x v="34"/>
    <x v="36"/>
    <x v="25"/>
    <x v="37"/>
    <n v="2.99"/>
    <x v="2"/>
    <n v="16.5"/>
    <x v="0"/>
    <n v="3.17"/>
    <x v="0"/>
    <n v="0.53"/>
  </r>
  <r>
    <n v="1546"/>
    <x v="39"/>
    <x v="19"/>
    <x v="46"/>
    <x v="51"/>
    <x v="7"/>
    <n v="3.17"/>
    <x v="2"/>
    <n v="18.099999999999998"/>
    <x v="2"/>
    <n v="3.27"/>
    <x v="0"/>
    <n v="0.48"/>
  </r>
  <r>
    <n v="1547"/>
    <x v="11"/>
    <x v="25"/>
    <x v="6"/>
    <x v="42"/>
    <x v="40"/>
    <n v="2.89"/>
    <x v="2"/>
    <n v="18.399999999999999"/>
    <x v="0"/>
    <n v="1.75"/>
    <x v="0"/>
    <n v="0.35"/>
  </r>
  <r>
    <n v="1548"/>
    <x v="13"/>
    <x v="21"/>
    <x v="43"/>
    <x v="43"/>
    <x v="0"/>
    <n v="3.44"/>
    <x v="2"/>
    <n v="14.100000000000001"/>
    <x v="2"/>
    <n v="3.63"/>
    <x v="0"/>
    <n v="0.63"/>
  </r>
  <r>
    <n v="1549"/>
    <x v="7"/>
    <x v="11"/>
    <x v="37"/>
    <x v="34"/>
    <x v="52"/>
    <n v="2.9"/>
    <x v="2"/>
    <n v="17"/>
    <x v="0"/>
    <n v="3.57"/>
    <x v="0"/>
    <n v="0.49"/>
  </r>
  <r>
    <n v="1550"/>
    <x v="41"/>
    <x v="27"/>
    <x v="19"/>
    <x v="4"/>
    <x v="7"/>
    <n v="2.91"/>
    <x v="1"/>
    <n v="15.799999999999997"/>
    <x v="0"/>
    <n v="1.7"/>
    <x v="0"/>
    <n v="0.35"/>
  </r>
  <r>
    <n v="1551"/>
    <x v="42"/>
    <x v="18"/>
    <x v="4"/>
    <x v="57"/>
    <x v="15"/>
    <n v="3.24"/>
    <x v="2"/>
    <n v="17.5"/>
    <x v="2"/>
    <n v="4.25"/>
    <x v="0"/>
    <n v="0.56000000000000005"/>
  </r>
  <r>
    <n v="1552"/>
    <x v="9"/>
    <x v="10"/>
    <x v="42"/>
    <x v="6"/>
    <x v="0"/>
    <n v="2.99"/>
    <x v="2"/>
    <n v="18.5"/>
    <x v="0"/>
    <n v="2.6"/>
    <x v="0"/>
    <n v="0.42"/>
  </r>
  <r>
    <n v="1553"/>
    <x v="21"/>
    <x v="5"/>
    <x v="26"/>
    <x v="4"/>
    <x v="61"/>
    <n v="3.62"/>
    <x v="2"/>
    <n v="15.399999999999999"/>
    <x v="1"/>
    <n v="3.62"/>
    <x v="0"/>
    <n v="0.57999999999999996"/>
  </r>
  <r>
    <n v="1554"/>
    <x v="42"/>
    <x v="30"/>
    <x v="20"/>
    <x v="58"/>
    <x v="98"/>
    <n v="3.38"/>
    <x v="2"/>
    <n v="16.900000000000002"/>
    <x v="2"/>
    <n v="3.96"/>
    <x v="0"/>
    <n v="0.57999999999999996"/>
  </r>
  <r>
    <n v="1555"/>
    <x v="0"/>
    <x v="24"/>
    <x v="5"/>
    <x v="50"/>
    <x v="44"/>
    <n v="2.77"/>
    <x v="2"/>
    <n v="18.7"/>
    <x v="0"/>
    <n v="2.4300000000000002"/>
    <x v="0"/>
    <n v="0.37"/>
  </r>
  <r>
    <n v="1556"/>
    <x v="28"/>
    <x v="16"/>
    <x v="49"/>
    <x v="22"/>
    <x v="1"/>
    <n v="3.31"/>
    <x v="2"/>
    <n v="16.600000000000001"/>
    <x v="2"/>
    <n v="3.41"/>
    <x v="0"/>
    <n v="0.55000000000000004"/>
  </r>
  <r>
    <n v="1557"/>
    <x v="27"/>
    <x v="28"/>
    <x v="47"/>
    <x v="13"/>
    <x v="49"/>
    <n v="3.08"/>
    <x v="2"/>
    <n v="17.799999999999997"/>
    <x v="2"/>
    <n v="2.88"/>
    <x v="0"/>
    <n v="0.46"/>
  </r>
  <r>
    <n v="1558"/>
    <x v="25"/>
    <x v="26"/>
    <x v="21"/>
    <x v="4"/>
    <x v="6"/>
    <n v="2.84"/>
    <x v="0"/>
    <n v="16.400000000000002"/>
    <x v="0"/>
    <n v="1.66"/>
    <x v="0"/>
    <n v="0.38"/>
  </r>
  <r>
    <n v="1559"/>
    <x v="33"/>
    <x v="37"/>
    <x v="23"/>
    <x v="2"/>
    <x v="43"/>
    <n v="3.11"/>
    <x v="2"/>
    <n v="17.299999999999997"/>
    <x v="2"/>
    <n v="3.81"/>
    <x v="0"/>
    <n v="0.54"/>
  </r>
  <r>
    <n v="1560"/>
    <x v="7"/>
    <x v="28"/>
    <x v="31"/>
    <x v="53"/>
    <x v="72"/>
    <n v="3.06"/>
    <x v="2"/>
    <n v="16.100000000000001"/>
    <x v="2"/>
    <n v="3.85"/>
    <x v="0"/>
    <n v="0.52"/>
  </r>
  <r>
    <n v="1561"/>
    <x v="5"/>
    <x v="37"/>
    <x v="39"/>
    <x v="29"/>
    <x v="17"/>
    <n v="2.66"/>
    <x v="0"/>
    <n v="14.299999999999999"/>
    <x v="0"/>
    <n v="2.0099999999999998"/>
    <x v="0"/>
    <n v="0.42"/>
  </r>
  <r>
    <n v="1562"/>
    <x v="41"/>
    <x v="39"/>
    <x v="4"/>
    <x v="24"/>
    <x v="114"/>
    <n v="3"/>
    <x v="1"/>
    <n v="17.5"/>
    <x v="2"/>
    <n v="4.91"/>
    <x v="0"/>
    <n v="0.32"/>
  </r>
  <r>
    <n v="1563"/>
    <x v="37"/>
    <x v="15"/>
    <x v="16"/>
    <x v="35"/>
    <x v="24"/>
    <n v="2.91"/>
    <x v="2"/>
    <n v="18.899999999999999"/>
    <x v="0"/>
    <n v="1.85"/>
    <x v="0"/>
    <n v="0.31"/>
  </r>
  <r>
    <n v="1564"/>
    <x v="44"/>
    <x v="17"/>
    <x v="4"/>
    <x v="13"/>
    <x v="49"/>
    <n v="2.69"/>
    <x v="0"/>
    <n v="17.5"/>
    <x v="0"/>
    <n v="2.67"/>
    <x v="0"/>
    <n v="0.45"/>
  </r>
  <r>
    <n v="1565"/>
    <x v="33"/>
    <x v="40"/>
    <x v="42"/>
    <x v="32"/>
    <x v="47"/>
    <n v="3.55"/>
    <x v="2"/>
    <n v="18.5"/>
    <x v="1"/>
    <n v="3.7"/>
    <x v="0"/>
    <n v="0.51"/>
  </r>
  <r>
    <n v="1566"/>
    <x v="23"/>
    <x v="30"/>
    <x v="31"/>
    <x v="51"/>
    <x v="40"/>
    <n v="2.61"/>
    <x v="0"/>
    <n v="16.100000000000001"/>
    <x v="0"/>
    <n v="2.79"/>
    <x v="0"/>
    <n v="0.42"/>
  </r>
  <r>
    <n v="1567"/>
    <x v="5"/>
    <x v="6"/>
    <x v="28"/>
    <x v="38"/>
    <x v="98"/>
    <n v="2.92"/>
    <x v="0"/>
    <n v="15"/>
    <x v="0"/>
    <n v="1.73"/>
    <x v="0"/>
    <n v="0.4"/>
  </r>
  <r>
    <n v="1568"/>
    <x v="40"/>
    <x v="16"/>
    <x v="34"/>
    <x v="17"/>
    <x v="67"/>
    <n v="3.09"/>
    <x v="2"/>
    <n v="15.899999999999999"/>
    <x v="2"/>
    <n v="3.3"/>
    <x v="0"/>
    <n v="0.53"/>
  </r>
  <r>
    <n v="1569"/>
    <x v="15"/>
    <x v="33"/>
    <x v="16"/>
    <x v="10"/>
    <x v="43"/>
    <n v="3.54"/>
    <x v="2"/>
    <n v="18.899999999999999"/>
    <x v="1"/>
    <n v="2.84"/>
    <x v="0"/>
    <n v="0.46"/>
  </r>
  <r>
    <n v="1570"/>
    <x v="22"/>
    <x v="21"/>
    <x v="30"/>
    <x v="59"/>
    <x v="51"/>
    <n v="2.67"/>
    <x v="0"/>
    <n v="14.399999999999999"/>
    <x v="0"/>
    <n v="2.21"/>
    <x v="0"/>
    <n v="0.42"/>
  </r>
  <r>
    <n v="1571"/>
    <x v="20"/>
    <x v="2"/>
    <x v="16"/>
    <x v="30"/>
    <x v="30"/>
    <n v="3.65"/>
    <x v="2"/>
    <n v="18.899999999999999"/>
    <x v="1"/>
    <n v="3.35"/>
    <x v="0"/>
    <n v="0.51"/>
  </r>
  <r>
    <n v="1572"/>
    <x v="45"/>
    <x v="2"/>
    <x v="34"/>
    <x v="9"/>
    <x v="51"/>
    <n v="2.89"/>
    <x v="0"/>
    <n v="15.899999999999999"/>
    <x v="0"/>
    <n v="2.11"/>
    <x v="0"/>
    <n v="0.4"/>
  </r>
  <r>
    <n v="1573"/>
    <x v="38"/>
    <x v="5"/>
    <x v="45"/>
    <x v="28"/>
    <x v="16"/>
    <n v="2.57"/>
    <x v="1"/>
    <n v="15.2"/>
    <x v="0"/>
    <n v="4.2"/>
    <x v="0"/>
    <n v="0.36"/>
  </r>
  <r>
    <n v="1574"/>
    <x v="4"/>
    <x v="27"/>
    <x v="23"/>
    <x v="17"/>
    <x v="82"/>
    <n v="3.5"/>
    <x v="2"/>
    <n v="17.299999999999997"/>
    <x v="1"/>
    <n v="3.3"/>
    <x v="0"/>
    <n v="0.47"/>
  </r>
  <r>
    <n v="1575"/>
    <x v="1"/>
    <x v="21"/>
    <x v="21"/>
    <x v="9"/>
    <x v="76"/>
    <n v="2.25"/>
    <x v="1"/>
    <n v="16.399999999999999"/>
    <x v="3"/>
    <n v="1.22"/>
    <x v="1"/>
    <n v="0.32"/>
  </r>
  <r>
    <n v="1576"/>
    <x v="49"/>
    <x v="18"/>
    <x v="23"/>
    <x v="48"/>
    <x v="6"/>
    <n v="3.12"/>
    <x v="0"/>
    <n v="17.3"/>
    <x v="2"/>
    <n v="3.03"/>
    <x v="0"/>
    <n v="0.4"/>
  </r>
  <r>
    <n v="1577"/>
    <x v="33"/>
    <x v="17"/>
    <x v="31"/>
    <x v="47"/>
    <x v="39"/>
    <n v="3.34"/>
    <x v="2"/>
    <n v="16.100000000000001"/>
    <x v="2"/>
    <n v="3.96"/>
    <x v="0"/>
    <n v="0.57999999999999996"/>
  </r>
  <r>
    <n v="1578"/>
    <x v="38"/>
    <x v="14"/>
    <x v="8"/>
    <x v="1"/>
    <x v="23"/>
    <n v="2.8"/>
    <x v="1"/>
    <n v="14.200000000000001"/>
    <x v="0"/>
    <n v="1.54"/>
    <x v="0"/>
    <n v="0.38"/>
  </r>
  <r>
    <n v="1579"/>
    <x v="38"/>
    <x v="40"/>
    <x v="15"/>
    <x v="55"/>
    <x v="29"/>
    <n v="3.12"/>
    <x v="1"/>
    <n v="15.1"/>
    <x v="2"/>
    <n v="2.08"/>
    <x v="0"/>
    <n v="0.36"/>
  </r>
  <r>
    <n v="1580"/>
    <x v="2"/>
    <x v="10"/>
    <x v="15"/>
    <x v="16"/>
    <x v="43"/>
    <n v="3.02"/>
    <x v="1"/>
    <n v="15.099999999999998"/>
    <x v="2"/>
    <n v="1.68"/>
    <x v="0"/>
    <n v="0.34"/>
  </r>
  <r>
    <n v="1581"/>
    <x v="40"/>
    <x v="22"/>
    <x v="35"/>
    <x v="2"/>
    <x v="84"/>
    <n v="3.17"/>
    <x v="2"/>
    <n v="18.799999999999997"/>
    <x v="2"/>
    <n v="4.22"/>
    <x v="0"/>
    <n v="0.45"/>
  </r>
  <r>
    <n v="1582"/>
    <x v="19"/>
    <x v="14"/>
    <x v="49"/>
    <x v="16"/>
    <x v="46"/>
    <n v="2.86"/>
    <x v="0"/>
    <n v="16.600000000000001"/>
    <x v="0"/>
    <n v="2.76"/>
    <x v="0"/>
    <n v="0.43"/>
  </r>
  <r>
    <n v="1583"/>
    <x v="2"/>
    <x v="21"/>
    <x v="37"/>
    <x v="45"/>
    <x v="69"/>
    <n v="2.84"/>
    <x v="1"/>
    <n v="17"/>
    <x v="0"/>
    <n v="2.71"/>
    <x v="0"/>
    <n v="0.3"/>
  </r>
  <r>
    <n v="1584"/>
    <x v="32"/>
    <x v="14"/>
    <x v="10"/>
    <x v="1"/>
    <x v="12"/>
    <n v="3.51"/>
    <x v="2"/>
    <n v="18.3"/>
    <x v="1"/>
    <n v="3.28"/>
    <x v="0"/>
    <n v="0.51"/>
  </r>
  <r>
    <n v="1585"/>
    <x v="5"/>
    <x v="6"/>
    <x v="5"/>
    <x v="55"/>
    <x v="46"/>
    <n v="2.88"/>
    <x v="2"/>
    <n v="18.700000000000003"/>
    <x v="0"/>
    <n v="1.97"/>
    <x v="0"/>
    <n v="0.32"/>
  </r>
  <r>
    <n v="1586"/>
    <x v="39"/>
    <x v="25"/>
    <x v="28"/>
    <x v="16"/>
    <x v="19"/>
    <n v="3.53"/>
    <x v="2"/>
    <n v="15"/>
    <x v="1"/>
    <n v="3.32"/>
    <x v="0"/>
    <n v="0.57999999999999996"/>
  </r>
  <r>
    <n v="1587"/>
    <x v="13"/>
    <x v="6"/>
    <x v="39"/>
    <x v="45"/>
    <x v="0"/>
    <n v="3.63"/>
    <x v="2"/>
    <n v="14.300000000000002"/>
    <x v="1"/>
    <n v="3.55"/>
    <x v="0"/>
    <n v="0.62"/>
  </r>
  <r>
    <n v="1588"/>
    <x v="28"/>
    <x v="9"/>
    <x v="46"/>
    <x v="0"/>
    <x v="49"/>
    <n v="3.33"/>
    <x v="2"/>
    <n v="18.100000000000001"/>
    <x v="2"/>
    <n v="3.14"/>
    <x v="0"/>
    <n v="0.5"/>
  </r>
  <r>
    <n v="1589"/>
    <x v="42"/>
    <x v="15"/>
    <x v="9"/>
    <x v="28"/>
    <x v="30"/>
    <n v="3.9"/>
    <x v="2"/>
    <n v="14.9"/>
    <x v="1"/>
    <n v="4.22"/>
    <x v="0"/>
    <n v="0.66"/>
  </r>
  <r>
    <n v="1590"/>
    <x v="48"/>
    <x v="39"/>
    <x v="41"/>
    <x v="58"/>
    <x v="75"/>
    <n v="3.29"/>
    <x v="2"/>
    <n v="14.7"/>
    <x v="2"/>
    <n v="3.87"/>
    <x v="0"/>
    <n v="0.63"/>
  </r>
  <r>
    <n v="1591"/>
    <x v="5"/>
    <x v="17"/>
    <x v="33"/>
    <x v="51"/>
    <x v="77"/>
    <n v="2.84"/>
    <x v="0"/>
    <n v="17.600000000000001"/>
    <x v="0"/>
    <n v="2.64"/>
    <x v="0"/>
    <n v="0.34"/>
  </r>
  <r>
    <n v="1592"/>
    <x v="25"/>
    <x v="6"/>
    <x v="21"/>
    <x v="47"/>
    <x v="34"/>
    <n v="2.98"/>
    <x v="0"/>
    <n v="16.399999999999999"/>
    <x v="0"/>
    <n v="1.83"/>
    <x v="0"/>
    <n v="0.38"/>
  </r>
  <r>
    <n v="1593"/>
    <x v="46"/>
    <x v="16"/>
    <x v="34"/>
    <x v="17"/>
    <x v="8"/>
    <n v="3.04"/>
    <x v="0"/>
    <n v="15.9"/>
    <x v="2"/>
    <n v="2.78"/>
    <x v="0"/>
    <n v="0.45"/>
  </r>
  <r>
    <n v="1594"/>
    <x v="49"/>
    <x v="15"/>
    <x v="31"/>
    <x v="29"/>
    <x v="34"/>
    <n v="2.81"/>
    <x v="0"/>
    <n v="16.100000000000001"/>
    <x v="0"/>
    <n v="2.08"/>
    <x v="0"/>
    <n v="0.43"/>
  </r>
  <r>
    <n v="1595"/>
    <x v="37"/>
    <x v="22"/>
    <x v="31"/>
    <x v="10"/>
    <x v="53"/>
    <n v="2.63"/>
    <x v="1"/>
    <n v="16.100000000000001"/>
    <x v="0"/>
    <n v="2.79"/>
    <x v="0"/>
    <n v="0.37"/>
  </r>
  <r>
    <n v="1596"/>
    <x v="29"/>
    <x v="23"/>
    <x v="7"/>
    <x v="58"/>
    <x v="60"/>
    <n v="3.26"/>
    <x v="2"/>
    <n v="17.700000000000003"/>
    <x v="2"/>
    <n v="2.59"/>
    <x v="0"/>
    <n v="0.47"/>
  </r>
  <r>
    <n v="1597"/>
    <x v="24"/>
    <x v="17"/>
    <x v="1"/>
    <x v="53"/>
    <x v="17"/>
    <n v="3.33"/>
    <x v="2"/>
    <n v="16"/>
    <x v="2"/>
    <n v="4.29"/>
    <x v="0"/>
    <n v="0.62"/>
  </r>
  <r>
    <n v="1598"/>
    <x v="42"/>
    <x v="20"/>
    <x v="15"/>
    <x v="3"/>
    <x v="86"/>
    <n v="3.51"/>
    <x v="2"/>
    <n v="15.1"/>
    <x v="1"/>
    <n v="4.12"/>
    <x v="0"/>
    <n v="0.65"/>
  </r>
  <r>
    <n v="1599"/>
    <x v="31"/>
    <x v="6"/>
    <x v="41"/>
    <x v="12"/>
    <x v="10"/>
    <n v="3.34"/>
    <x v="0"/>
    <n v="14.7"/>
    <x v="2"/>
    <n v="3.4"/>
    <x v="0"/>
    <n v="0.54"/>
  </r>
  <r>
    <n v="1600"/>
    <x v="31"/>
    <x v="9"/>
    <x v="44"/>
    <x v="22"/>
    <x v="71"/>
    <n v="3.18"/>
    <x v="0"/>
    <n v="16.700000000000003"/>
    <x v="2"/>
    <n v="3.02"/>
    <x v="0"/>
    <n v="0.47"/>
  </r>
  <r>
    <n v="1601"/>
    <x v="12"/>
    <x v="19"/>
    <x v="36"/>
    <x v="29"/>
    <x v="84"/>
    <n v="2.82"/>
    <x v="1"/>
    <n v="16.5"/>
    <x v="0"/>
    <n v="3.19"/>
    <x v="0"/>
    <n v="0.3"/>
  </r>
  <r>
    <n v="1602"/>
    <x v="23"/>
    <x v="6"/>
    <x v="10"/>
    <x v="5"/>
    <x v="103"/>
    <n v="3.01"/>
    <x v="2"/>
    <n v="18.3"/>
    <x v="2"/>
    <n v="4.25"/>
    <x v="0"/>
    <n v="0.37"/>
  </r>
  <r>
    <n v="1603"/>
    <x v="13"/>
    <x v="32"/>
    <x v="45"/>
    <x v="17"/>
    <x v="63"/>
    <n v="3.02"/>
    <x v="2"/>
    <n v="15.2"/>
    <x v="2"/>
    <n v="3.59"/>
    <x v="0"/>
    <n v="0.59"/>
  </r>
  <r>
    <n v="1604"/>
    <x v="22"/>
    <x v="38"/>
    <x v="10"/>
    <x v="31"/>
    <x v="116"/>
    <n v="3.01"/>
    <x v="2"/>
    <n v="18.3"/>
    <x v="2"/>
    <n v="4.59"/>
    <x v="0"/>
    <n v="0.33"/>
  </r>
  <r>
    <n v="1605"/>
    <x v="41"/>
    <x v="2"/>
    <x v="4"/>
    <x v="44"/>
    <x v="85"/>
    <n v="2.92"/>
    <x v="1"/>
    <n v="17.5"/>
    <x v="0"/>
    <n v="2.74"/>
    <x v="0"/>
    <n v="0.32"/>
  </r>
  <r>
    <n v="1606"/>
    <x v="1"/>
    <x v="23"/>
    <x v="8"/>
    <x v="25"/>
    <x v="80"/>
    <n v="2.5299999999999998"/>
    <x v="1"/>
    <n v="14.2"/>
    <x v="0"/>
    <n v="1.63"/>
    <x v="0"/>
    <n v="0.37"/>
  </r>
  <r>
    <n v="1607"/>
    <x v="34"/>
    <x v="18"/>
    <x v="19"/>
    <x v="10"/>
    <x v="46"/>
    <n v="2.92"/>
    <x v="0"/>
    <n v="15.799999999999999"/>
    <x v="0"/>
    <n v="3.26"/>
    <x v="0"/>
    <n v="0.46"/>
  </r>
  <r>
    <n v="1608"/>
    <x v="29"/>
    <x v="13"/>
    <x v="46"/>
    <x v="50"/>
    <x v="49"/>
    <n v="3.11"/>
    <x v="2"/>
    <n v="18.100000000000001"/>
    <x v="2"/>
    <n v="2.75"/>
    <x v="0"/>
    <n v="0.46"/>
  </r>
  <r>
    <n v="1609"/>
    <x v="44"/>
    <x v="23"/>
    <x v="6"/>
    <x v="59"/>
    <x v="52"/>
    <n v="3.02"/>
    <x v="2"/>
    <n v="18.399999999999999"/>
    <x v="2"/>
    <n v="2.3199999999999998"/>
    <x v="0"/>
    <n v="0.42"/>
  </r>
  <r>
    <n v="1610"/>
    <x v="40"/>
    <x v="6"/>
    <x v="39"/>
    <x v="17"/>
    <x v="63"/>
    <n v="3.34"/>
    <x v="2"/>
    <n v="14.3"/>
    <x v="2"/>
    <n v="3.48"/>
    <x v="0"/>
    <n v="0.59"/>
  </r>
  <r>
    <n v="1611"/>
    <x v="27"/>
    <x v="24"/>
    <x v="8"/>
    <x v="18"/>
    <x v="1"/>
    <n v="3.4"/>
    <x v="2"/>
    <n v="14.2"/>
    <x v="2"/>
    <n v="3.18"/>
    <x v="0"/>
    <n v="0.57999999999999996"/>
  </r>
  <r>
    <n v="1612"/>
    <x v="43"/>
    <x v="19"/>
    <x v="3"/>
    <x v="7"/>
    <x v="12"/>
    <n v="3.37"/>
    <x v="2"/>
    <n v="16.8"/>
    <x v="2"/>
    <n v="3.97"/>
    <x v="0"/>
    <n v="0.6"/>
  </r>
  <r>
    <n v="1613"/>
    <x v="3"/>
    <x v="18"/>
    <x v="18"/>
    <x v="3"/>
    <x v="102"/>
    <n v="2.72"/>
    <x v="0"/>
    <n v="17.899999999999999"/>
    <x v="0"/>
    <n v="4.37"/>
    <x v="0"/>
    <n v="0.36"/>
  </r>
  <r>
    <n v="1614"/>
    <x v="33"/>
    <x v="27"/>
    <x v="38"/>
    <x v="42"/>
    <x v="52"/>
    <n v="3.37"/>
    <x v="2"/>
    <n v="18.599999999999998"/>
    <x v="2"/>
    <n v="3.22"/>
    <x v="0"/>
    <n v="0.51"/>
  </r>
  <r>
    <n v="1615"/>
    <x v="29"/>
    <x v="0"/>
    <x v="50"/>
    <x v="18"/>
    <x v="91"/>
    <n v="3.43"/>
    <x v="2"/>
    <n v="19"/>
    <x v="2"/>
    <n v="2.86"/>
    <x v="0"/>
    <n v="0.44"/>
  </r>
  <r>
    <n v="1616"/>
    <x v="26"/>
    <x v="3"/>
    <x v="47"/>
    <x v="27"/>
    <x v="104"/>
    <n v="2.98"/>
    <x v="1"/>
    <n v="17.799999999999997"/>
    <x v="0"/>
    <n v="3.63"/>
    <x v="0"/>
    <n v="0.31"/>
  </r>
  <r>
    <n v="1617"/>
    <x v="28"/>
    <x v="30"/>
    <x v="44"/>
    <x v="54"/>
    <x v="33"/>
    <n v="3.37"/>
    <x v="2"/>
    <n v="16.7"/>
    <x v="2"/>
    <n v="3.96"/>
    <x v="0"/>
    <n v="0.54"/>
  </r>
  <r>
    <n v="1618"/>
    <x v="37"/>
    <x v="17"/>
    <x v="20"/>
    <x v="31"/>
    <x v="78"/>
    <n v="2.91"/>
    <x v="1"/>
    <n v="16.899999999999999"/>
    <x v="0"/>
    <n v="3.14"/>
    <x v="0"/>
    <n v="0.35"/>
  </r>
  <r>
    <n v="1619"/>
    <x v="11"/>
    <x v="2"/>
    <x v="24"/>
    <x v="13"/>
    <x v="61"/>
    <n v="2.91"/>
    <x v="2"/>
    <n v="18.200000000000003"/>
    <x v="0"/>
    <n v="1.29"/>
    <x v="1"/>
    <n v="0.35"/>
  </r>
  <r>
    <n v="1620"/>
    <x v="37"/>
    <x v="12"/>
    <x v="26"/>
    <x v="50"/>
    <x v="12"/>
    <n v="2.98"/>
    <x v="1"/>
    <n v="15.399999999999999"/>
    <x v="0"/>
    <n v="1.52"/>
    <x v="0"/>
    <n v="0.38"/>
  </r>
  <r>
    <n v="1621"/>
    <x v="18"/>
    <x v="19"/>
    <x v="8"/>
    <x v="57"/>
    <x v="25"/>
    <n v="3.23"/>
    <x v="0"/>
    <n v="14.2"/>
    <x v="2"/>
    <n v="2.92"/>
    <x v="0"/>
    <n v="0.46"/>
  </r>
  <r>
    <n v="1622"/>
    <x v="34"/>
    <x v="13"/>
    <x v="24"/>
    <x v="20"/>
    <x v="4"/>
    <n v="3.07"/>
    <x v="2"/>
    <n v="18.2"/>
    <x v="2"/>
    <n v="2.81"/>
    <x v="0"/>
    <n v="0.4"/>
  </r>
  <r>
    <n v="1623"/>
    <x v="9"/>
    <x v="18"/>
    <x v="3"/>
    <x v="59"/>
    <x v="6"/>
    <n v="3.37"/>
    <x v="0"/>
    <n v="16.8"/>
    <x v="2"/>
    <n v="3.13"/>
    <x v="0"/>
    <n v="0.46"/>
  </r>
  <r>
    <n v="1624"/>
    <x v="30"/>
    <x v="18"/>
    <x v="48"/>
    <x v="59"/>
    <x v="20"/>
    <n v="3.71"/>
    <x v="2"/>
    <n v="16.2"/>
    <x v="1"/>
    <n v="4.0999999999999996"/>
    <x v="0"/>
    <n v="0.59"/>
  </r>
  <r>
    <n v="1625"/>
    <x v="9"/>
    <x v="17"/>
    <x v="10"/>
    <x v="46"/>
    <x v="49"/>
    <n v="3.36"/>
    <x v="2"/>
    <n v="18.3"/>
    <x v="2"/>
    <n v="2.67"/>
    <x v="0"/>
    <n v="0.42"/>
  </r>
  <r>
    <n v="1626"/>
    <x v="31"/>
    <x v="33"/>
    <x v="28"/>
    <x v="58"/>
    <x v="33"/>
    <n v="3.17"/>
    <x v="0"/>
    <n v="15.000000000000002"/>
    <x v="2"/>
    <n v="2.83"/>
    <x v="0"/>
    <n v="0.53"/>
  </r>
  <r>
    <n v="1627"/>
    <x v="49"/>
    <x v="3"/>
    <x v="28"/>
    <x v="4"/>
    <x v="98"/>
    <n v="2.89"/>
    <x v="0"/>
    <n v="15"/>
    <x v="0"/>
    <n v="2.29"/>
    <x v="0"/>
    <n v="0.47"/>
  </r>
  <r>
    <n v="1628"/>
    <x v="20"/>
    <x v="31"/>
    <x v="19"/>
    <x v="52"/>
    <x v="63"/>
    <n v="3.4"/>
    <x v="2"/>
    <n v="15.8"/>
    <x v="2"/>
    <n v="3.97"/>
    <x v="0"/>
    <n v="0.61"/>
  </r>
  <r>
    <n v="1629"/>
    <x v="49"/>
    <x v="33"/>
    <x v="5"/>
    <x v="26"/>
    <x v="91"/>
    <n v="3.17"/>
    <x v="2"/>
    <n v="18.7"/>
    <x v="2"/>
    <n v="1.91"/>
    <x v="0"/>
    <n v="0.37"/>
  </r>
  <r>
    <n v="1630"/>
    <x v="37"/>
    <x v="7"/>
    <x v="27"/>
    <x v="46"/>
    <x v="38"/>
    <n v="2.99"/>
    <x v="1"/>
    <n v="15.700000000000001"/>
    <x v="0"/>
    <n v="2.2400000000000002"/>
    <x v="0"/>
    <n v="0.38"/>
  </r>
  <r>
    <n v="1631"/>
    <x v="36"/>
    <x v="9"/>
    <x v="30"/>
    <x v="33"/>
    <x v="31"/>
    <n v="2.77"/>
    <x v="0"/>
    <n v="14.400000000000002"/>
    <x v="0"/>
    <n v="2.97"/>
    <x v="0"/>
    <n v="0.51"/>
  </r>
  <r>
    <n v="1632"/>
    <x v="49"/>
    <x v="37"/>
    <x v="33"/>
    <x v="16"/>
    <x v="41"/>
    <n v="2.97"/>
    <x v="0"/>
    <n v="17.600000000000001"/>
    <x v="0"/>
    <n v="3.24"/>
    <x v="0"/>
    <n v="0.4"/>
  </r>
  <r>
    <n v="1633"/>
    <x v="32"/>
    <x v="11"/>
    <x v="22"/>
    <x v="43"/>
    <x v="64"/>
    <n v="3.29"/>
    <x v="2"/>
    <n v="15.600000000000001"/>
    <x v="2"/>
    <n v="4.1500000000000004"/>
    <x v="0"/>
    <n v="0.6"/>
  </r>
  <r>
    <n v="1634"/>
    <x v="45"/>
    <x v="34"/>
    <x v="14"/>
    <x v="2"/>
    <x v="49"/>
    <n v="2.91"/>
    <x v="0"/>
    <n v="14.6"/>
    <x v="0"/>
    <n v="2.12"/>
    <x v="0"/>
    <n v="0.43"/>
  </r>
  <r>
    <n v="1635"/>
    <x v="34"/>
    <x v="35"/>
    <x v="14"/>
    <x v="50"/>
    <x v="9"/>
    <n v="3.51"/>
    <x v="0"/>
    <n v="14.6"/>
    <x v="1"/>
    <n v="2.71"/>
    <x v="0"/>
    <n v="0.5"/>
  </r>
  <r>
    <n v="1636"/>
    <x v="48"/>
    <x v="38"/>
    <x v="37"/>
    <x v="32"/>
    <x v="75"/>
    <n v="3.41"/>
    <x v="2"/>
    <n v="17"/>
    <x v="2"/>
    <n v="3.97"/>
    <x v="0"/>
    <n v="0.54"/>
  </r>
  <r>
    <n v="1637"/>
    <x v="39"/>
    <x v="9"/>
    <x v="21"/>
    <x v="31"/>
    <x v="67"/>
    <n v="3.73"/>
    <x v="2"/>
    <n v="16.399999999999999"/>
    <x v="1"/>
    <n v="3.15"/>
    <x v="0"/>
    <n v="0.53"/>
  </r>
  <r>
    <n v="1638"/>
    <x v="19"/>
    <x v="20"/>
    <x v="41"/>
    <x v="14"/>
    <x v="49"/>
    <n v="3.12"/>
    <x v="0"/>
    <n v="14.7"/>
    <x v="2"/>
    <n v="2.66"/>
    <x v="0"/>
    <n v="0.48"/>
  </r>
  <r>
    <n v="1639"/>
    <x v="34"/>
    <x v="37"/>
    <x v="22"/>
    <x v="18"/>
    <x v="7"/>
    <n v="3.27"/>
    <x v="0"/>
    <n v="15.600000000000001"/>
    <x v="2"/>
    <n v="2.85"/>
    <x v="0"/>
    <n v="0.47"/>
  </r>
  <r>
    <n v="1640"/>
    <x v="19"/>
    <x v="7"/>
    <x v="40"/>
    <x v="53"/>
    <x v="47"/>
    <n v="3.13"/>
    <x v="0"/>
    <n v="14"/>
    <x v="2"/>
    <n v="2.77"/>
    <x v="0"/>
    <n v="0.51"/>
  </r>
  <r>
    <n v="1641"/>
    <x v="25"/>
    <x v="0"/>
    <x v="8"/>
    <x v="53"/>
    <x v="34"/>
    <n v="3.17"/>
    <x v="0"/>
    <n v="14.2"/>
    <x v="2"/>
    <n v="2.39"/>
    <x v="0"/>
    <n v="0.44"/>
  </r>
  <r>
    <n v="1642"/>
    <x v="2"/>
    <x v="21"/>
    <x v="33"/>
    <x v="21"/>
    <x v="8"/>
    <n v="2.77"/>
    <x v="1"/>
    <n v="17.600000000000001"/>
    <x v="0"/>
    <n v="1.34"/>
    <x v="1"/>
    <n v="0.28999999999999998"/>
  </r>
  <r>
    <n v="1643"/>
    <x v="11"/>
    <x v="33"/>
    <x v="22"/>
    <x v="22"/>
    <x v="7"/>
    <n v="2.94"/>
    <x v="0"/>
    <n v="15.600000000000001"/>
    <x v="0"/>
    <n v="2.3199999999999998"/>
    <x v="0"/>
    <n v="0.41"/>
  </r>
  <r>
    <n v="1644"/>
    <x v="11"/>
    <x v="16"/>
    <x v="28"/>
    <x v="10"/>
    <x v="47"/>
    <n v="2.87"/>
    <x v="0"/>
    <n v="15.000000000000002"/>
    <x v="0"/>
    <n v="1.79"/>
    <x v="0"/>
    <n v="0.43"/>
  </r>
  <r>
    <n v="1645"/>
    <x v="6"/>
    <x v="21"/>
    <x v="9"/>
    <x v="31"/>
    <x v="23"/>
    <n v="3.01"/>
    <x v="0"/>
    <n v="14.9"/>
    <x v="2"/>
    <n v="2.87"/>
    <x v="0"/>
    <n v="0.54"/>
  </r>
  <r>
    <n v="1646"/>
    <x v="9"/>
    <x v="6"/>
    <x v="3"/>
    <x v="19"/>
    <x v="53"/>
    <n v="2.97"/>
    <x v="0"/>
    <n v="16.8"/>
    <x v="0"/>
    <n v="3.58"/>
    <x v="0"/>
    <n v="0.46"/>
  </r>
  <r>
    <n v="1647"/>
    <x v="15"/>
    <x v="22"/>
    <x v="29"/>
    <x v="10"/>
    <x v="90"/>
    <n v="3.38"/>
    <x v="2"/>
    <n v="18"/>
    <x v="2"/>
    <n v="3.47"/>
    <x v="0"/>
    <n v="0.48"/>
  </r>
  <r>
    <n v="1648"/>
    <x v="0"/>
    <x v="6"/>
    <x v="25"/>
    <x v="2"/>
    <x v="55"/>
    <n v="2.75"/>
    <x v="0"/>
    <n v="16.3"/>
    <x v="0"/>
    <n v="2.99"/>
    <x v="0"/>
    <n v="0.42"/>
  </r>
  <r>
    <n v="1649"/>
    <x v="35"/>
    <x v="1"/>
    <x v="3"/>
    <x v="10"/>
    <x v="64"/>
    <n v="2.87"/>
    <x v="1"/>
    <n v="16.8"/>
    <x v="0"/>
    <n v="1.48"/>
    <x v="1"/>
    <n v="0.35"/>
  </r>
  <r>
    <n v="1650"/>
    <x v="44"/>
    <x v="9"/>
    <x v="11"/>
    <x v="43"/>
    <x v="57"/>
    <n v="3.06"/>
    <x v="0"/>
    <n v="15.5"/>
    <x v="2"/>
    <n v="2.99"/>
    <x v="0"/>
    <n v="0.5"/>
  </r>
  <r>
    <n v="1651"/>
    <x v="45"/>
    <x v="16"/>
    <x v="39"/>
    <x v="14"/>
    <x v="80"/>
    <n v="2.65"/>
    <x v="0"/>
    <n v="14.299999999999999"/>
    <x v="0"/>
    <n v="2.3199999999999998"/>
    <x v="0"/>
    <n v="0.44"/>
  </r>
  <r>
    <n v="1652"/>
    <x v="1"/>
    <x v="17"/>
    <x v="10"/>
    <x v="33"/>
    <x v="41"/>
    <n v="2.79"/>
    <x v="2"/>
    <n v="18.299999999999997"/>
    <x v="0"/>
    <n v="2.54"/>
    <x v="0"/>
    <n v="0.28999999999999998"/>
  </r>
  <r>
    <n v="1653"/>
    <x v="9"/>
    <x v="4"/>
    <x v="50"/>
    <x v="12"/>
    <x v="46"/>
    <n v="3.23"/>
    <x v="2"/>
    <n v="19"/>
    <x v="2"/>
    <n v="3.01"/>
    <x v="0"/>
    <n v="0.41"/>
  </r>
  <r>
    <n v="1654"/>
    <x v="14"/>
    <x v="32"/>
    <x v="13"/>
    <x v="19"/>
    <x v="27"/>
    <n v="2.77"/>
    <x v="0"/>
    <n v="17.399999999999999"/>
    <x v="0"/>
    <n v="3.52"/>
    <x v="0"/>
    <n v="0.39"/>
  </r>
  <r>
    <n v="1655"/>
    <x v="22"/>
    <x v="40"/>
    <x v="20"/>
    <x v="42"/>
    <x v="72"/>
    <n v="3.4"/>
    <x v="0"/>
    <n v="16.899999999999999"/>
    <x v="2"/>
    <n v="2.5099999999999998"/>
    <x v="0"/>
    <n v="0.36"/>
  </r>
  <r>
    <n v="1656"/>
    <x v="42"/>
    <x v="21"/>
    <x v="49"/>
    <x v="10"/>
    <x v="20"/>
    <n v="3.56"/>
    <x v="2"/>
    <n v="16.600000000000001"/>
    <x v="1"/>
    <n v="3.78"/>
    <x v="0"/>
    <n v="0.59"/>
  </r>
  <r>
    <n v="1657"/>
    <x v="20"/>
    <x v="10"/>
    <x v="13"/>
    <x v="27"/>
    <x v="63"/>
    <n v="3.45"/>
    <x v="2"/>
    <n v="17.399999999999999"/>
    <x v="2"/>
    <n v="3.66"/>
    <x v="0"/>
    <n v="0.55000000000000004"/>
  </r>
  <r>
    <n v="1658"/>
    <x v="39"/>
    <x v="14"/>
    <x v="5"/>
    <x v="33"/>
    <x v="98"/>
    <n v="2.96"/>
    <x v="2"/>
    <n v="18.7"/>
    <x v="0"/>
    <n v="2.85"/>
    <x v="0"/>
    <n v="0.47"/>
  </r>
  <r>
    <n v="1659"/>
    <x v="21"/>
    <x v="28"/>
    <x v="27"/>
    <x v="29"/>
    <x v="74"/>
    <n v="3.74"/>
    <x v="2"/>
    <n v="15.7"/>
    <x v="1"/>
    <n v="3.48"/>
    <x v="0"/>
    <n v="0.56999999999999995"/>
  </r>
  <r>
    <n v="1660"/>
    <x v="33"/>
    <x v="14"/>
    <x v="13"/>
    <x v="9"/>
    <x v="33"/>
    <n v="3.46"/>
    <x v="2"/>
    <n v="17.399999999999999"/>
    <x v="2"/>
    <n v="3.61"/>
    <x v="0"/>
    <n v="0.54"/>
  </r>
  <r>
    <n v="1661"/>
    <x v="22"/>
    <x v="37"/>
    <x v="41"/>
    <x v="33"/>
    <x v="65"/>
    <n v="2.65"/>
    <x v="0"/>
    <n v="14.7"/>
    <x v="0"/>
    <n v="1.96"/>
    <x v="0"/>
    <n v="0.41"/>
  </r>
  <r>
    <n v="1662"/>
    <x v="23"/>
    <x v="8"/>
    <x v="46"/>
    <x v="9"/>
    <x v="42"/>
    <n v="2.93"/>
    <x v="2"/>
    <n v="18.100000000000001"/>
    <x v="0"/>
    <n v="2.4700000000000002"/>
    <x v="0"/>
    <n v="0.38"/>
  </r>
  <r>
    <n v="1663"/>
    <x v="45"/>
    <x v="6"/>
    <x v="32"/>
    <x v="48"/>
    <x v="60"/>
    <n v="2.8"/>
    <x v="0"/>
    <n v="17.100000000000001"/>
    <x v="0"/>
    <n v="2.1800000000000002"/>
    <x v="0"/>
    <n v="0.37"/>
  </r>
  <r>
    <n v="1664"/>
    <x v="38"/>
    <x v="21"/>
    <x v="1"/>
    <x v="10"/>
    <x v="42"/>
    <n v="2.77"/>
    <x v="1"/>
    <n v="16"/>
    <x v="0"/>
    <n v="1.79"/>
    <x v="0"/>
    <n v="0.34"/>
  </r>
  <r>
    <n v="1665"/>
    <x v="46"/>
    <x v="39"/>
    <x v="21"/>
    <x v="7"/>
    <x v="90"/>
    <n v="2.83"/>
    <x v="0"/>
    <n v="16.399999999999999"/>
    <x v="0"/>
    <n v="3.14"/>
    <x v="0"/>
    <n v="0.44"/>
  </r>
  <r>
    <n v="1666"/>
    <x v="45"/>
    <x v="5"/>
    <x v="8"/>
    <x v="41"/>
    <x v="15"/>
    <n v="3.03"/>
    <x v="0"/>
    <n v="14.2"/>
    <x v="2"/>
    <n v="2.59"/>
    <x v="0"/>
    <n v="0.44"/>
  </r>
  <r>
    <n v="1667"/>
    <x v="25"/>
    <x v="17"/>
    <x v="29"/>
    <x v="7"/>
    <x v="26"/>
    <n v="3.12"/>
    <x v="0"/>
    <n v="18"/>
    <x v="2"/>
    <n v="2.85"/>
    <x v="0"/>
    <n v="0.34"/>
  </r>
  <r>
    <n v="1668"/>
    <x v="35"/>
    <x v="16"/>
    <x v="28"/>
    <x v="44"/>
    <x v="7"/>
    <n v="2.88"/>
    <x v="1"/>
    <n v="15"/>
    <x v="0"/>
    <n v="2.2599999999999998"/>
    <x v="0"/>
    <n v="0.39"/>
  </r>
  <r>
    <n v="1669"/>
    <x v="49"/>
    <x v="5"/>
    <x v="7"/>
    <x v="16"/>
    <x v="14"/>
    <n v="2.63"/>
    <x v="0"/>
    <n v="17.700000000000003"/>
    <x v="0"/>
    <n v="3.84"/>
    <x v="0"/>
    <n v="0.4"/>
  </r>
  <r>
    <n v="1670"/>
    <x v="10"/>
    <x v="30"/>
    <x v="43"/>
    <x v="24"/>
    <x v="1"/>
    <n v="3.72"/>
    <x v="2"/>
    <n v="14.1"/>
    <x v="1"/>
    <n v="4.26"/>
    <x v="0"/>
    <n v="0.69"/>
  </r>
  <r>
    <n v="1671"/>
    <x v="13"/>
    <x v="29"/>
    <x v="10"/>
    <x v="41"/>
    <x v="47"/>
    <n v="3.55"/>
    <x v="2"/>
    <n v="18.3"/>
    <x v="1"/>
    <n v="3.26"/>
    <x v="0"/>
    <n v="0.49"/>
  </r>
  <r>
    <n v="1672"/>
    <x v="44"/>
    <x v="35"/>
    <x v="36"/>
    <x v="13"/>
    <x v="75"/>
    <n v="2.91"/>
    <x v="0"/>
    <n v="16.5"/>
    <x v="0"/>
    <n v="2.68"/>
    <x v="0"/>
    <n v="0.47"/>
  </r>
  <r>
    <n v="1673"/>
    <x v="38"/>
    <x v="33"/>
    <x v="17"/>
    <x v="5"/>
    <x v="72"/>
    <n v="2.9"/>
    <x v="1"/>
    <n v="14.500000000000002"/>
    <x v="0"/>
    <n v="2.66"/>
    <x v="0"/>
    <n v="0.37"/>
  </r>
  <r>
    <n v="1674"/>
    <x v="46"/>
    <x v="37"/>
    <x v="10"/>
    <x v="7"/>
    <x v="3"/>
    <n v="2.94"/>
    <x v="2"/>
    <n v="18.3"/>
    <x v="0"/>
    <n v="2.7"/>
    <x v="0"/>
    <n v="0.39"/>
  </r>
  <r>
    <n v="1675"/>
    <x v="41"/>
    <x v="35"/>
    <x v="45"/>
    <x v="18"/>
    <x v="44"/>
    <n v="2.89"/>
    <x v="1"/>
    <n v="15.2"/>
    <x v="0"/>
    <n v="2.44"/>
    <x v="0"/>
    <n v="0.37"/>
  </r>
  <r>
    <n v="1676"/>
    <x v="7"/>
    <x v="23"/>
    <x v="20"/>
    <x v="42"/>
    <x v="51"/>
    <n v="3.26"/>
    <x v="2"/>
    <n v="16.900000000000002"/>
    <x v="2"/>
    <n v="3.02"/>
    <x v="0"/>
    <n v="0.5"/>
  </r>
  <r>
    <n v="1677"/>
    <x v="8"/>
    <x v="30"/>
    <x v="29"/>
    <x v="52"/>
    <x v="110"/>
    <n v="2.69"/>
    <x v="1"/>
    <n v="18"/>
    <x v="0"/>
    <n v="4.08"/>
    <x v="0"/>
    <n v="0.28999999999999998"/>
  </r>
  <r>
    <n v="1678"/>
    <x v="29"/>
    <x v="27"/>
    <x v="31"/>
    <x v="45"/>
    <x v="74"/>
    <n v="3.44"/>
    <x v="2"/>
    <n v="16.100000000000001"/>
    <x v="2"/>
    <n v="2.91"/>
    <x v="0"/>
    <n v="0.52"/>
  </r>
  <r>
    <n v="1679"/>
    <x v="31"/>
    <x v="29"/>
    <x v="38"/>
    <x v="49"/>
    <x v="37"/>
    <n v="3.11"/>
    <x v="2"/>
    <n v="18.600000000000001"/>
    <x v="2"/>
    <n v="2.87"/>
    <x v="0"/>
    <n v="0.42"/>
  </r>
  <r>
    <n v="1680"/>
    <x v="29"/>
    <x v="17"/>
    <x v="37"/>
    <x v="16"/>
    <x v="82"/>
    <n v="3.39"/>
    <x v="2"/>
    <n v="17"/>
    <x v="2"/>
    <n v="3.39"/>
    <x v="0"/>
    <n v="0.49"/>
  </r>
  <r>
    <n v="1681"/>
    <x v="14"/>
    <x v="37"/>
    <x v="26"/>
    <x v="37"/>
    <x v="49"/>
    <n v="3.54"/>
    <x v="0"/>
    <n v="15.4"/>
    <x v="1"/>
    <n v="2.14"/>
    <x v="0"/>
    <n v="0.44"/>
  </r>
  <r>
    <n v="1682"/>
    <x v="20"/>
    <x v="39"/>
    <x v="31"/>
    <x v="41"/>
    <x v="51"/>
    <n v="3.46"/>
    <x v="2"/>
    <n v="16.099999999999998"/>
    <x v="2"/>
    <n v="4.28"/>
    <x v="0"/>
    <n v="0.6"/>
  </r>
  <r>
    <n v="1683"/>
    <x v="25"/>
    <x v="1"/>
    <x v="16"/>
    <x v="13"/>
    <x v="11"/>
    <n v="2.97"/>
    <x v="2"/>
    <n v="18.899999999999999"/>
    <x v="0"/>
    <n v="1.1200000000000001"/>
    <x v="1"/>
    <n v="0.33"/>
  </r>
  <r>
    <n v="1684"/>
    <x v="46"/>
    <x v="39"/>
    <x v="30"/>
    <x v="0"/>
    <x v="76"/>
    <n v="3.19"/>
    <x v="0"/>
    <n v="14.399999999999999"/>
    <x v="2"/>
    <n v="2.92"/>
    <x v="0"/>
    <n v="0.5"/>
  </r>
  <r>
    <n v="1685"/>
    <x v="2"/>
    <x v="27"/>
    <x v="49"/>
    <x v="14"/>
    <x v="48"/>
    <n v="3.15"/>
    <x v="1"/>
    <n v="16.600000000000001"/>
    <x v="2"/>
    <n v="3.13"/>
    <x v="0"/>
    <n v="0.31"/>
  </r>
  <r>
    <n v="1686"/>
    <x v="50"/>
    <x v="10"/>
    <x v="41"/>
    <x v="52"/>
    <x v="33"/>
    <n v="3.36"/>
    <x v="0"/>
    <n v="14.700000000000001"/>
    <x v="2"/>
    <n v="2.65"/>
    <x v="0"/>
    <n v="0.51"/>
  </r>
  <r>
    <n v="1687"/>
    <x v="2"/>
    <x v="27"/>
    <x v="20"/>
    <x v="30"/>
    <x v="40"/>
    <n v="2.5"/>
    <x v="1"/>
    <n v="16.899999999999999"/>
    <x v="0"/>
    <n v="1.34"/>
    <x v="1"/>
    <n v="0.3"/>
  </r>
  <r>
    <n v="1688"/>
    <x v="20"/>
    <x v="30"/>
    <x v="22"/>
    <x v="60"/>
    <x v="54"/>
    <n v="3.7"/>
    <x v="2"/>
    <n v="15.6"/>
    <x v="1"/>
    <n v="4.54"/>
    <x v="0"/>
    <n v="0.62"/>
  </r>
  <r>
    <n v="1689"/>
    <x v="20"/>
    <x v="30"/>
    <x v="42"/>
    <x v="15"/>
    <x v="55"/>
    <n v="3.19"/>
    <x v="2"/>
    <n v="18.5"/>
    <x v="2"/>
    <n v="4.16"/>
    <x v="0"/>
    <n v="0.52"/>
  </r>
  <r>
    <n v="1690"/>
    <x v="31"/>
    <x v="6"/>
    <x v="35"/>
    <x v="31"/>
    <x v="85"/>
    <n v="3.07"/>
    <x v="2"/>
    <n v="18.8"/>
    <x v="2"/>
    <n v="3.3"/>
    <x v="0"/>
    <n v="0.42"/>
  </r>
  <r>
    <n v="1691"/>
    <x v="28"/>
    <x v="27"/>
    <x v="26"/>
    <x v="52"/>
    <x v="25"/>
    <n v="3.24"/>
    <x v="2"/>
    <n v="15.399999999999999"/>
    <x v="2"/>
    <n v="3.57"/>
    <x v="0"/>
    <n v="0.59"/>
  </r>
  <r>
    <n v="1692"/>
    <x v="11"/>
    <x v="10"/>
    <x v="43"/>
    <x v="4"/>
    <x v="19"/>
    <n v="2.9"/>
    <x v="0"/>
    <n v="14.099999999999998"/>
    <x v="0"/>
    <n v="1.99"/>
    <x v="0"/>
    <n v="0.45"/>
  </r>
  <r>
    <n v="1693"/>
    <x v="12"/>
    <x v="4"/>
    <x v="13"/>
    <x v="38"/>
    <x v="73"/>
    <n v="2.89"/>
    <x v="1"/>
    <n v="17.399999999999999"/>
    <x v="0"/>
    <n v="3.2"/>
    <x v="0"/>
    <n v="0.28999999999999998"/>
  </r>
  <r>
    <n v="1694"/>
    <x v="13"/>
    <x v="15"/>
    <x v="1"/>
    <x v="20"/>
    <x v="33"/>
    <n v="3.29"/>
    <x v="2"/>
    <n v="16"/>
    <x v="2"/>
    <n v="3.33"/>
    <x v="0"/>
    <n v="0.56000000000000005"/>
  </r>
  <r>
    <n v="1695"/>
    <x v="27"/>
    <x v="25"/>
    <x v="48"/>
    <x v="32"/>
    <x v="62"/>
    <n v="3.4"/>
    <x v="2"/>
    <n v="16.200000000000003"/>
    <x v="2"/>
    <n v="3.51"/>
    <x v="0"/>
    <n v="0.51"/>
  </r>
  <r>
    <n v="1696"/>
    <x v="33"/>
    <x v="22"/>
    <x v="38"/>
    <x v="58"/>
    <x v="91"/>
    <n v="3.56"/>
    <x v="2"/>
    <n v="18.600000000000001"/>
    <x v="1"/>
    <n v="3.66"/>
    <x v="0"/>
    <n v="0.51"/>
  </r>
  <r>
    <n v="1697"/>
    <x v="17"/>
    <x v="10"/>
    <x v="3"/>
    <x v="30"/>
    <x v="52"/>
    <n v="3.03"/>
    <x v="0"/>
    <n v="16.799999999999997"/>
    <x v="2"/>
    <n v="2.2999999999999998"/>
    <x v="0"/>
    <n v="0.45"/>
  </r>
  <r>
    <n v="1698"/>
    <x v="4"/>
    <x v="10"/>
    <x v="24"/>
    <x v="26"/>
    <x v="74"/>
    <n v="3.22"/>
    <x v="2"/>
    <n v="18.2"/>
    <x v="2"/>
    <n v="2.37"/>
    <x v="0"/>
    <n v="0.45"/>
  </r>
  <r>
    <n v="1699"/>
    <x v="6"/>
    <x v="5"/>
    <x v="6"/>
    <x v="48"/>
    <x v="34"/>
    <n v="2.93"/>
    <x v="2"/>
    <n v="18.399999999999999"/>
    <x v="0"/>
    <n v="3.11"/>
    <x v="0"/>
    <n v="0.43"/>
  </r>
  <r>
    <n v="1700"/>
    <x v="37"/>
    <x v="33"/>
    <x v="1"/>
    <x v="42"/>
    <x v="61"/>
    <n v="2.78"/>
    <x v="1"/>
    <n v="16"/>
    <x v="0"/>
    <n v="1.36"/>
    <x v="1"/>
    <n v="0.37"/>
  </r>
  <r>
    <n v="1701"/>
    <x v="38"/>
    <x v="7"/>
    <x v="32"/>
    <x v="31"/>
    <x v="44"/>
    <n v="2.35"/>
    <x v="1"/>
    <n v="17.100000000000001"/>
    <x v="3"/>
    <n v="1.92"/>
    <x v="0"/>
    <n v="0.32"/>
  </r>
  <r>
    <n v="1702"/>
    <x v="32"/>
    <x v="26"/>
    <x v="4"/>
    <x v="42"/>
    <x v="35"/>
    <n v="3.24"/>
    <x v="2"/>
    <n v="17.5"/>
    <x v="2"/>
    <n v="3.61"/>
    <x v="0"/>
    <n v="0.53"/>
  </r>
  <r>
    <n v="1703"/>
    <x v="13"/>
    <x v="26"/>
    <x v="47"/>
    <x v="7"/>
    <x v="19"/>
    <n v="3.49"/>
    <x v="2"/>
    <n v="17.8"/>
    <x v="2"/>
    <n v="3.03"/>
    <x v="0"/>
    <n v="0.5"/>
  </r>
  <r>
    <n v="1704"/>
    <x v="12"/>
    <x v="32"/>
    <x v="23"/>
    <x v="31"/>
    <x v="101"/>
    <n v="2.64"/>
    <x v="1"/>
    <n v="17.299999999999997"/>
    <x v="0"/>
    <n v="2.87"/>
    <x v="0"/>
    <n v="0.28999999999999998"/>
  </r>
  <r>
    <n v="1705"/>
    <x v="27"/>
    <x v="23"/>
    <x v="1"/>
    <x v="23"/>
    <x v="35"/>
    <n v="3.26"/>
    <x v="2"/>
    <n v="15.999999999999998"/>
    <x v="2"/>
    <n v="3.14"/>
    <x v="0"/>
    <n v="0.51"/>
  </r>
  <r>
    <n v="1706"/>
    <x v="34"/>
    <x v="38"/>
    <x v="48"/>
    <x v="8"/>
    <x v="8"/>
    <n v="2.75"/>
    <x v="0"/>
    <n v="16.200000000000003"/>
    <x v="0"/>
    <n v="3.04"/>
    <x v="0"/>
    <n v="0.45"/>
  </r>
  <r>
    <n v="1707"/>
    <x v="6"/>
    <x v="20"/>
    <x v="31"/>
    <x v="5"/>
    <x v="8"/>
    <n v="3.25"/>
    <x v="0"/>
    <n v="16.100000000000001"/>
    <x v="2"/>
    <n v="3.25"/>
    <x v="0"/>
    <n v="0.5"/>
  </r>
  <r>
    <n v="1708"/>
    <x v="11"/>
    <x v="11"/>
    <x v="20"/>
    <x v="35"/>
    <x v="81"/>
    <n v="2.77"/>
    <x v="0"/>
    <n v="16.899999999999999"/>
    <x v="0"/>
    <n v="3.06"/>
    <x v="0"/>
    <n v="0.38"/>
  </r>
  <r>
    <n v="1709"/>
    <x v="18"/>
    <x v="20"/>
    <x v="19"/>
    <x v="15"/>
    <x v="6"/>
    <n v="3.14"/>
    <x v="0"/>
    <n v="15.8"/>
    <x v="2"/>
    <n v="2"/>
    <x v="0"/>
    <n v="0.42"/>
  </r>
  <r>
    <n v="1710"/>
    <x v="27"/>
    <x v="9"/>
    <x v="16"/>
    <x v="1"/>
    <x v="6"/>
    <n v="3.48"/>
    <x v="2"/>
    <n v="18.899999999999999"/>
    <x v="2"/>
    <n v="2.5099999999999998"/>
    <x v="0"/>
    <n v="0.43"/>
  </r>
  <r>
    <n v="1711"/>
    <x v="0"/>
    <x v="0"/>
    <x v="9"/>
    <x v="10"/>
    <x v="93"/>
    <n v="2.88"/>
    <x v="0"/>
    <n v="14.899999999999999"/>
    <x v="0"/>
    <n v="2.29"/>
    <x v="0"/>
    <n v="0.46"/>
  </r>
  <r>
    <n v="1712"/>
    <x v="14"/>
    <x v="35"/>
    <x v="4"/>
    <x v="37"/>
    <x v="82"/>
    <n v="2.87"/>
    <x v="0"/>
    <n v="17.5"/>
    <x v="0"/>
    <n v="2.25"/>
    <x v="0"/>
    <n v="0.38"/>
  </r>
  <r>
    <n v="1713"/>
    <x v="35"/>
    <x v="2"/>
    <x v="42"/>
    <x v="54"/>
    <x v="74"/>
    <n v="2.88"/>
    <x v="2"/>
    <n v="18.5"/>
    <x v="0"/>
    <n v="1.28"/>
    <x v="1"/>
    <n v="0.31"/>
  </r>
  <r>
    <n v="1714"/>
    <x v="15"/>
    <x v="13"/>
    <x v="19"/>
    <x v="31"/>
    <x v="67"/>
    <n v="3.46"/>
    <x v="2"/>
    <n v="15.799999999999999"/>
    <x v="2"/>
    <n v="3.22"/>
    <x v="0"/>
    <n v="0.54"/>
  </r>
  <r>
    <n v="1715"/>
    <x v="3"/>
    <x v="32"/>
    <x v="36"/>
    <x v="38"/>
    <x v="76"/>
    <n v="2.8"/>
    <x v="0"/>
    <n v="16.5"/>
    <x v="0"/>
    <n v="1.77"/>
    <x v="0"/>
    <n v="0.39"/>
  </r>
  <r>
    <n v="1716"/>
    <x v="38"/>
    <x v="39"/>
    <x v="7"/>
    <x v="53"/>
    <x v="117"/>
    <n v="2.5299999999999998"/>
    <x v="1"/>
    <n v="17.7"/>
    <x v="0"/>
    <n v="5.41"/>
    <x v="0"/>
    <n v="0.31"/>
  </r>
  <r>
    <n v="1717"/>
    <x v="26"/>
    <x v="10"/>
    <x v="35"/>
    <x v="8"/>
    <x v="90"/>
    <n v="2.95"/>
    <x v="2"/>
    <n v="18.8"/>
    <x v="0"/>
    <n v="1.26"/>
    <x v="1"/>
    <n v="0.28999999999999998"/>
  </r>
  <r>
    <n v="1718"/>
    <x v="36"/>
    <x v="28"/>
    <x v="21"/>
    <x v="29"/>
    <x v="54"/>
    <n v="3.03"/>
    <x v="0"/>
    <n v="16.399999999999999"/>
    <x v="2"/>
    <n v="2.86"/>
    <x v="0"/>
    <n v="0.45"/>
  </r>
  <r>
    <n v="1719"/>
    <x v="44"/>
    <x v="30"/>
    <x v="40"/>
    <x v="52"/>
    <x v="37"/>
    <n v="3.43"/>
    <x v="0"/>
    <n v="14"/>
    <x v="2"/>
    <n v="3.1"/>
    <x v="0"/>
    <n v="0.56000000000000005"/>
  </r>
  <r>
    <n v="1720"/>
    <x v="23"/>
    <x v="10"/>
    <x v="44"/>
    <x v="33"/>
    <x v="36"/>
    <n v="2.83"/>
    <x v="0"/>
    <n v="16.7"/>
    <x v="0"/>
    <n v="1.93"/>
    <x v="0"/>
    <n v="0.41"/>
  </r>
  <r>
    <n v="1721"/>
    <x v="26"/>
    <x v="23"/>
    <x v="0"/>
    <x v="22"/>
    <x v="43"/>
    <n v="2.74"/>
    <x v="1"/>
    <n v="15.3"/>
    <x v="0"/>
    <n v="1.91"/>
    <x v="0"/>
    <n v="0.36"/>
  </r>
  <r>
    <n v="1722"/>
    <x v="24"/>
    <x v="19"/>
    <x v="44"/>
    <x v="39"/>
    <x v="40"/>
    <n v="3.32"/>
    <x v="2"/>
    <n v="16.7"/>
    <x v="2"/>
    <n v="4.5"/>
    <x v="0"/>
    <n v="0.59"/>
  </r>
  <r>
    <n v="1723"/>
    <x v="49"/>
    <x v="32"/>
    <x v="8"/>
    <x v="10"/>
    <x v="75"/>
    <n v="3.09"/>
    <x v="0"/>
    <n v="14.200000000000001"/>
    <x v="2"/>
    <n v="2.2999999999999998"/>
    <x v="0"/>
    <n v="0.49"/>
  </r>
  <r>
    <n v="1724"/>
    <x v="8"/>
    <x v="17"/>
    <x v="31"/>
    <x v="6"/>
    <x v="29"/>
    <n v="3.04"/>
    <x v="1"/>
    <n v="16.099999999999998"/>
    <x v="2"/>
    <n v="1.97"/>
    <x v="0"/>
    <n v="0.32"/>
  </r>
  <r>
    <n v="1725"/>
    <x v="32"/>
    <x v="22"/>
    <x v="18"/>
    <x v="2"/>
    <x v="3"/>
    <n v="3.29"/>
    <x v="2"/>
    <n v="17.899999999999999"/>
    <x v="2"/>
    <n v="4.12"/>
    <x v="0"/>
    <n v="0.52"/>
  </r>
  <r>
    <n v="1726"/>
    <x v="50"/>
    <x v="35"/>
    <x v="7"/>
    <x v="7"/>
    <x v="71"/>
    <n v="3.4"/>
    <x v="0"/>
    <n v="17.7"/>
    <x v="2"/>
    <n v="2.4900000000000002"/>
    <x v="0"/>
    <n v="0.42"/>
  </r>
  <r>
    <n v="1727"/>
    <x v="8"/>
    <x v="30"/>
    <x v="14"/>
    <x v="9"/>
    <x v="17"/>
    <n v="2.9"/>
    <x v="1"/>
    <n v="14.6"/>
    <x v="0"/>
    <n v="2.13"/>
    <x v="0"/>
    <n v="0.36"/>
  </r>
  <r>
    <n v="1728"/>
    <x v="23"/>
    <x v="15"/>
    <x v="15"/>
    <x v="8"/>
    <x v="9"/>
    <n v="2.4900000000000002"/>
    <x v="0"/>
    <n v="15.100000000000001"/>
    <x v="3"/>
    <n v="2.2999999999999998"/>
    <x v="0"/>
    <n v="0.45"/>
  </r>
  <r>
    <n v="1729"/>
    <x v="15"/>
    <x v="40"/>
    <x v="23"/>
    <x v="0"/>
    <x v="43"/>
    <n v="3.52"/>
    <x v="2"/>
    <n v="17.299999999999997"/>
    <x v="1"/>
    <n v="3.35"/>
    <x v="0"/>
    <n v="0.5"/>
  </r>
  <r>
    <n v="1730"/>
    <x v="18"/>
    <x v="4"/>
    <x v="37"/>
    <x v="48"/>
    <x v="29"/>
    <n v="2.83"/>
    <x v="0"/>
    <n v="17"/>
    <x v="0"/>
    <n v="2.69"/>
    <x v="0"/>
    <n v="0.39"/>
  </r>
  <r>
    <n v="1731"/>
    <x v="22"/>
    <x v="21"/>
    <x v="3"/>
    <x v="53"/>
    <x v="27"/>
    <n v="3.29"/>
    <x v="0"/>
    <n v="16.8"/>
    <x v="2"/>
    <n v="3.41"/>
    <x v="0"/>
    <n v="0.36"/>
  </r>
  <r>
    <n v="1732"/>
    <x v="17"/>
    <x v="1"/>
    <x v="33"/>
    <x v="19"/>
    <x v="90"/>
    <n v="3.12"/>
    <x v="0"/>
    <n v="17.600000000000001"/>
    <x v="2"/>
    <n v="3.1"/>
    <x v="0"/>
    <n v="0.43"/>
  </r>
  <r>
    <n v="1733"/>
    <x v="10"/>
    <x v="24"/>
    <x v="31"/>
    <x v="42"/>
    <x v="88"/>
    <n v="3.69"/>
    <x v="2"/>
    <n v="16.100000000000001"/>
    <x v="1"/>
    <n v="3.99"/>
    <x v="0"/>
    <n v="0.6"/>
  </r>
  <r>
    <n v="1734"/>
    <x v="47"/>
    <x v="28"/>
    <x v="10"/>
    <x v="36"/>
    <x v="3"/>
    <n v="2.66"/>
    <x v="2"/>
    <n v="18.3"/>
    <x v="0"/>
    <n v="2.34"/>
    <x v="0"/>
    <n v="0.31"/>
  </r>
  <r>
    <n v="1735"/>
    <x v="22"/>
    <x v="20"/>
    <x v="39"/>
    <x v="0"/>
    <x v="52"/>
    <n v="2.5"/>
    <x v="0"/>
    <n v="14.3"/>
    <x v="0"/>
    <n v="1.69"/>
    <x v="0"/>
    <n v="0.43"/>
  </r>
  <r>
    <n v="1736"/>
    <x v="18"/>
    <x v="35"/>
    <x v="1"/>
    <x v="48"/>
    <x v="22"/>
    <n v="3.41"/>
    <x v="0"/>
    <n v="16"/>
    <x v="2"/>
    <n v="2.62"/>
    <x v="0"/>
    <n v="0.41"/>
  </r>
  <r>
    <n v="1737"/>
    <x v="10"/>
    <x v="23"/>
    <x v="14"/>
    <x v="14"/>
    <x v="39"/>
    <n v="3.6"/>
    <x v="2"/>
    <n v="14.6"/>
    <x v="1"/>
    <n v="4.22"/>
    <x v="0"/>
    <n v="0.66"/>
  </r>
  <r>
    <n v="1738"/>
    <x v="49"/>
    <x v="0"/>
    <x v="20"/>
    <x v="26"/>
    <x v="52"/>
    <n v="3.11"/>
    <x v="0"/>
    <n v="16.899999999999999"/>
    <x v="2"/>
    <n v="1.94"/>
    <x v="0"/>
    <n v="0.41"/>
  </r>
  <r>
    <n v="1739"/>
    <x v="40"/>
    <x v="0"/>
    <x v="47"/>
    <x v="50"/>
    <x v="89"/>
    <n v="2.93"/>
    <x v="2"/>
    <n v="17.799999999999997"/>
    <x v="0"/>
    <n v="2.96"/>
    <x v="0"/>
    <n v="0.48"/>
  </r>
  <r>
    <n v="1740"/>
    <x v="13"/>
    <x v="9"/>
    <x v="27"/>
    <x v="18"/>
    <x v="60"/>
    <n v="3.37"/>
    <x v="2"/>
    <n v="15.700000000000001"/>
    <x v="2"/>
    <n v="3.38"/>
    <x v="0"/>
    <n v="0.56999999999999995"/>
  </r>
  <r>
    <n v="1741"/>
    <x v="36"/>
    <x v="25"/>
    <x v="37"/>
    <x v="2"/>
    <x v="46"/>
    <n v="3.11"/>
    <x v="0"/>
    <n v="17"/>
    <x v="2"/>
    <n v="2.89"/>
    <x v="0"/>
    <n v="0.44"/>
  </r>
  <r>
    <n v="1742"/>
    <x v="39"/>
    <x v="37"/>
    <x v="12"/>
    <x v="52"/>
    <x v="57"/>
    <n v="3.42"/>
    <x v="2"/>
    <n v="17.2"/>
    <x v="2"/>
    <n v="3.18"/>
    <x v="0"/>
    <n v="0.51"/>
  </r>
  <r>
    <n v="1743"/>
    <x v="49"/>
    <x v="9"/>
    <x v="25"/>
    <x v="7"/>
    <x v="80"/>
    <n v="3.05"/>
    <x v="0"/>
    <n v="16.299999999999997"/>
    <x v="2"/>
    <n v="2.1"/>
    <x v="0"/>
    <n v="0.43"/>
  </r>
  <r>
    <n v="1744"/>
    <x v="35"/>
    <x v="30"/>
    <x v="39"/>
    <x v="26"/>
    <x v="17"/>
    <n v="2.65"/>
    <x v="1"/>
    <n v="14.3"/>
    <x v="0"/>
    <n v="2.2400000000000002"/>
    <x v="0"/>
    <n v="0.41"/>
  </r>
  <r>
    <n v="1745"/>
    <x v="29"/>
    <x v="37"/>
    <x v="17"/>
    <x v="58"/>
    <x v="93"/>
    <n v="3.12"/>
    <x v="2"/>
    <n v="14.5"/>
    <x v="2"/>
    <n v="3.17"/>
    <x v="0"/>
    <n v="0.56999999999999995"/>
  </r>
  <r>
    <n v="1746"/>
    <x v="42"/>
    <x v="10"/>
    <x v="41"/>
    <x v="5"/>
    <x v="9"/>
    <n v="3.73"/>
    <x v="2"/>
    <n v="14.700000000000003"/>
    <x v="1"/>
    <n v="4.2699999999999996"/>
    <x v="0"/>
    <n v="0.67"/>
  </r>
  <r>
    <n v="1747"/>
    <x v="11"/>
    <x v="8"/>
    <x v="33"/>
    <x v="41"/>
    <x v="64"/>
    <n v="2.79"/>
    <x v="0"/>
    <n v="17.600000000000001"/>
    <x v="0"/>
    <n v="2.29"/>
    <x v="0"/>
    <n v="0.36"/>
  </r>
  <r>
    <n v="1748"/>
    <x v="25"/>
    <x v="16"/>
    <x v="48"/>
    <x v="60"/>
    <x v="53"/>
    <n v="2.8"/>
    <x v="0"/>
    <n v="16.2"/>
    <x v="0"/>
    <n v="3.13"/>
    <x v="0"/>
    <n v="0.38"/>
  </r>
  <r>
    <n v="1749"/>
    <x v="19"/>
    <x v="37"/>
    <x v="6"/>
    <x v="50"/>
    <x v="40"/>
    <n v="3.28"/>
    <x v="2"/>
    <n v="18.399999999999999"/>
    <x v="2"/>
    <n v="2.35"/>
    <x v="0"/>
    <n v="0.39"/>
  </r>
  <r>
    <n v="1750"/>
    <x v="15"/>
    <x v="38"/>
    <x v="8"/>
    <x v="47"/>
    <x v="88"/>
    <n v="3.48"/>
    <x v="2"/>
    <n v="14.2"/>
    <x v="2"/>
    <n v="3.9"/>
    <x v="0"/>
    <n v="0.61"/>
  </r>
  <r>
    <n v="1751"/>
    <x v="30"/>
    <x v="18"/>
    <x v="39"/>
    <x v="23"/>
    <x v="38"/>
    <n v="3.57"/>
    <x v="2"/>
    <n v="14.299999999999999"/>
    <x v="1"/>
    <n v="4.26"/>
    <x v="0"/>
    <n v="0.66"/>
  </r>
  <r>
    <n v="1752"/>
    <x v="10"/>
    <x v="6"/>
    <x v="1"/>
    <x v="11"/>
    <x v="75"/>
    <n v="3.82"/>
    <x v="2"/>
    <n v="16"/>
    <x v="1"/>
    <n v="3.81"/>
    <x v="0"/>
    <n v="0.61"/>
  </r>
  <r>
    <n v="1753"/>
    <x v="10"/>
    <x v="11"/>
    <x v="36"/>
    <x v="50"/>
    <x v="75"/>
    <n v="3.53"/>
    <x v="2"/>
    <n v="16.5"/>
    <x v="1"/>
    <n v="4.03"/>
    <x v="0"/>
    <n v="0.59"/>
  </r>
  <r>
    <n v="1754"/>
    <x v="30"/>
    <x v="0"/>
    <x v="5"/>
    <x v="4"/>
    <x v="74"/>
    <n v="3.7"/>
    <x v="2"/>
    <n v="18.7"/>
    <x v="1"/>
    <n v="3.28"/>
    <x v="0"/>
    <n v="0.51"/>
  </r>
  <r>
    <n v="1755"/>
    <x v="2"/>
    <x v="17"/>
    <x v="25"/>
    <x v="57"/>
    <x v="17"/>
    <n v="2.8"/>
    <x v="1"/>
    <n v="16.299999999999997"/>
    <x v="0"/>
    <n v="1.91"/>
    <x v="0"/>
    <n v="0.31"/>
  </r>
  <r>
    <n v="1756"/>
    <x v="9"/>
    <x v="8"/>
    <x v="17"/>
    <x v="46"/>
    <x v="18"/>
    <n v="2.99"/>
    <x v="0"/>
    <n v="14.500000000000002"/>
    <x v="0"/>
    <n v="3.47"/>
    <x v="0"/>
    <n v="0.53"/>
  </r>
  <r>
    <n v="1757"/>
    <x v="49"/>
    <x v="7"/>
    <x v="32"/>
    <x v="13"/>
    <x v="15"/>
    <n v="2.84"/>
    <x v="0"/>
    <n v="17.100000000000001"/>
    <x v="0"/>
    <n v="2.0499999999999998"/>
    <x v="0"/>
    <n v="0.41"/>
  </r>
  <r>
    <n v="1758"/>
    <x v="20"/>
    <x v="6"/>
    <x v="0"/>
    <x v="25"/>
    <x v="52"/>
    <n v="3.43"/>
    <x v="2"/>
    <n v="15.3"/>
    <x v="2"/>
    <n v="3.88"/>
    <x v="0"/>
    <n v="0.63"/>
  </r>
  <r>
    <n v="1759"/>
    <x v="2"/>
    <x v="31"/>
    <x v="36"/>
    <x v="50"/>
    <x v="81"/>
    <n v="3.01"/>
    <x v="1"/>
    <n v="16.5"/>
    <x v="2"/>
    <n v="2.74"/>
    <x v="0"/>
    <n v="0.31"/>
  </r>
  <r>
    <n v="1760"/>
    <x v="40"/>
    <x v="27"/>
    <x v="36"/>
    <x v="12"/>
    <x v="18"/>
    <n v="3.06"/>
    <x v="2"/>
    <n v="16.5"/>
    <x v="2"/>
    <n v="3.43"/>
    <x v="0"/>
    <n v="0.52"/>
  </r>
  <r>
    <n v="1761"/>
    <x v="36"/>
    <x v="6"/>
    <x v="29"/>
    <x v="45"/>
    <x v="87"/>
    <n v="3.13"/>
    <x v="0"/>
    <n v="18"/>
    <x v="2"/>
    <n v="3.12"/>
    <x v="0"/>
    <n v="0.41"/>
  </r>
  <r>
    <n v="1762"/>
    <x v="25"/>
    <x v="28"/>
    <x v="15"/>
    <x v="15"/>
    <x v="42"/>
    <n v="2.85"/>
    <x v="0"/>
    <n v="15.100000000000001"/>
    <x v="0"/>
    <n v="2.54"/>
    <x v="0"/>
    <n v="0.41"/>
  </r>
  <r>
    <n v="1763"/>
    <x v="25"/>
    <x v="5"/>
    <x v="15"/>
    <x v="44"/>
    <x v="41"/>
    <n v="3.02"/>
    <x v="0"/>
    <n v="15.100000000000001"/>
    <x v="2"/>
    <n v="3.53"/>
    <x v="0"/>
    <n v="0.41"/>
  </r>
  <r>
    <n v="1764"/>
    <x v="7"/>
    <x v="25"/>
    <x v="9"/>
    <x v="39"/>
    <x v="34"/>
    <n v="2.65"/>
    <x v="2"/>
    <n v="14.899999999999999"/>
    <x v="0"/>
    <n v="3.45"/>
    <x v="0"/>
    <n v="0.56000000000000005"/>
  </r>
  <r>
    <n v="1765"/>
    <x v="3"/>
    <x v="8"/>
    <x v="10"/>
    <x v="3"/>
    <x v="16"/>
    <n v="3.02"/>
    <x v="2"/>
    <n v="18.299999999999997"/>
    <x v="2"/>
    <n v="3.81"/>
    <x v="0"/>
    <n v="0.36"/>
  </r>
  <r>
    <n v="1766"/>
    <x v="29"/>
    <x v="24"/>
    <x v="26"/>
    <x v="31"/>
    <x v="98"/>
    <n v="2.86"/>
    <x v="2"/>
    <n v="15.400000000000002"/>
    <x v="0"/>
    <n v="3.12"/>
    <x v="0"/>
    <n v="0.54"/>
  </r>
  <r>
    <n v="1767"/>
    <x v="3"/>
    <x v="9"/>
    <x v="16"/>
    <x v="19"/>
    <x v="94"/>
    <n v="3.1"/>
    <x v="2"/>
    <n v="18.899999999999999"/>
    <x v="2"/>
    <n v="4.17"/>
    <x v="0"/>
    <n v="0.34"/>
  </r>
  <r>
    <n v="1768"/>
    <x v="15"/>
    <x v="31"/>
    <x v="2"/>
    <x v="1"/>
    <x v="22"/>
    <n v="3.27"/>
    <x v="2"/>
    <n v="14.799999999999999"/>
    <x v="2"/>
    <n v="3.63"/>
    <x v="0"/>
    <n v="0.57999999999999996"/>
  </r>
  <r>
    <n v="1769"/>
    <x v="4"/>
    <x v="10"/>
    <x v="37"/>
    <x v="2"/>
    <x v="17"/>
    <n v="3.8"/>
    <x v="2"/>
    <n v="17"/>
    <x v="1"/>
    <n v="2.89"/>
    <x v="0"/>
    <n v="0.48"/>
  </r>
  <r>
    <n v="1770"/>
    <x v="9"/>
    <x v="32"/>
    <x v="39"/>
    <x v="42"/>
    <x v="18"/>
    <n v="3.3"/>
    <x v="0"/>
    <n v="14.3"/>
    <x v="2"/>
    <n v="3.1"/>
    <x v="0"/>
    <n v="0.54"/>
  </r>
  <r>
    <n v="1771"/>
    <x v="33"/>
    <x v="16"/>
    <x v="39"/>
    <x v="39"/>
    <x v="33"/>
    <n v="3.4"/>
    <x v="2"/>
    <n v="14.3"/>
    <x v="2"/>
    <n v="4.07"/>
    <x v="0"/>
    <n v="0.66"/>
  </r>
  <r>
    <n v="1772"/>
    <x v="48"/>
    <x v="14"/>
    <x v="0"/>
    <x v="17"/>
    <x v="61"/>
    <n v="3.03"/>
    <x v="2"/>
    <n v="15.299999999999999"/>
    <x v="2"/>
    <n v="3.77"/>
    <x v="0"/>
    <n v="0.6"/>
  </r>
  <r>
    <n v="1773"/>
    <x v="45"/>
    <x v="20"/>
    <x v="24"/>
    <x v="11"/>
    <x v="81"/>
    <n v="2.78"/>
    <x v="2"/>
    <n v="18.2"/>
    <x v="0"/>
    <n v="2.4"/>
    <x v="0"/>
    <n v="0.35"/>
  </r>
  <r>
    <n v="1774"/>
    <x v="40"/>
    <x v="24"/>
    <x v="48"/>
    <x v="17"/>
    <x v="40"/>
    <n v="3.02"/>
    <x v="2"/>
    <n v="16.2"/>
    <x v="2"/>
    <n v="3.68"/>
    <x v="0"/>
    <n v="0.52"/>
  </r>
  <r>
    <n v="1775"/>
    <x v="21"/>
    <x v="24"/>
    <x v="19"/>
    <x v="23"/>
    <x v="33"/>
    <n v="3.41"/>
    <x v="2"/>
    <n v="15.8"/>
    <x v="2"/>
    <n v="3.54"/>
    <x v="0"/>
    <n v="0.56999999999999995"/>
  </r>
  <r>
    <n v="1776"/>
    <x v="4"/>
    <x v="13"/>
    <x v="46"/>
    <x v="6"/>
    <x v="23"/>
    <n v="3.17"/>
    <x v="2"/>
    <n v="18.100000000000001"/>
    <x v="2"/>
    <n v="2.94"/>
    <x v="0"/>
    <n v="0.45"/>
  </r>
  <r>
    <n v="1777"/>
    <x v="16"/>
    <x v="40"/>
    <x v="23"/>
    <x v="36"/>
    <x v="12"/>
    <n v="3.53"/>
    <x v="2"/>
    <n v="17.3"/>
    <x v="1"/>
    <n v="3.42"/>
    <x v="0"/>
    <n v="0.51"/>
  </r>
  <r>
    <n v="1778"/>
    <x v="46"/>
    <x v="20"/>
    <x v="32"/>
    <x v="22"/>
    <x v="42"/>
    <n v="3.23"/>
    <x v="0"/>
    <n v="17.100000000000001"/>
    <x v="2"/>
    <n v="2.67"/>
    <x v="0"/>
    <n v="0.42"/>
  </r>
  <r>
    <n v="1779"/>
    <x v="27"/>
    <x v="2"/>
    <x v="13"/>
    <x v="52"/>
    <x v="47"/>
    <n v="3.32"/>
    <x v="2"/>
    <n v="17.399999999999999"/>
    <x v="2"/>
    <n v="2.64"/>
    <x v="0"/>
    <n v="0.47"/>
  </r>
  <r>
    <n v="1780"/>
    <x v="48"/>
    <x v="15"/>
    <x v="5"/>
    <x v="49"/>
    <x v="31"/>
    <n v="3.77"/>
    <x v="2"/>
    <n v="18.7"/>
    <x v="1"/>
    <n v="3.76"/>
    <x v="0"/>
    <n v="0.49"/>
  </r>
  <r>
    <n v="1781"/>
    <x v="16"/>
    <x v="1"/>
    <x v="27"/>
    <x v="58"/>
    <x v="31"/>
    <n v="3.26"/>
    <x v="2"/>
    <n v="15.700000000000001"/>
    <x v="2"/>
    <n v="3.5"/>
    <x v="0"/>
    <n v="0.56000000000000005"/>
  </r>
  <r>
    <n v="1782"/>
    <x v="33"/>
    <x v="40"/>
    <x v="38"/>
    <x v="59"/>
    <x v="98"/>
    <n v="3.25"/>
    <x v="2"/>
    <n v="18.600000000000001"/>
    <x v="2"/>
    <n v="3.57"/>
    <x v="0"/>
    <n v="0.51"/>
  </r>
  <r>
    <n v="1783"/>
    <x v="48"/>
    <x v="5"/>
    <x v="41"/>
    <x v="35"/>
    <x v="33"/>
    <n v="3.64"/>
    <x v="2"/>
    <n v="14.7"/>
    <x v="1"/>
    <n v="3.84"/>
    <x v="0"/>
    <n v="0.63"/>
  </r>
  <r>
    <n v="1784"/>
    <x v="19"/>
    <x v="40"/>
    <x v="33"/>
    <x v="7"/>
    <x v="24"/>
    <n v="3.08"/>
    <x v="0"/>
    <n v="17.599999999999998"/>
    <x v="2"/>
    <n v="3.03"/>
    <x v="0"/>
    <n v="0.4"/>
  </r>
  <r>
    <n v="1785"/>
    <x v="9"/>
    <x v="16"/>
    <x v="28"/>
    <x v="52"/>
    <x v="93"/>
    <n v="3.03"/>
    <x v="0"/>
    <n v="15"/>
    <x v="2"/>
    <n v="2.7"/>
    <x v="0"/>
    <n v="0.51"/>
  </r>
  <r>
    <n v="1786"/>
    <x v="1"/>
    <x v="1"/>
    <x v="38"/>
    <x v="18"/>
    <x v="73"/>
    <n v="2.91"/>
    <x v="2"/>
    <n v="18.600000000000001"/>
    <x v="0"/>
    <n v="2.89"/>
    <x v="0"/>
    <n v="0.28000000000000003"/>
  </r>
  <r>
    <n v="1787"/>
    <x v="40"/>
    <x v="37"/>
    <x v="14"/>
    <x v="22"/>
    <x v="74"/>
    <n v="2.9"/>
    <x v="2"/>
    <n v="14.600000000000001"/>
    <x v="0"/>
    <n v="3.34"/>
    <x v="0"/>
    <n v="0.57999999999999996"/>
  </r>
  <r>
    <n v="1788"/>
    <x v="9"/>
    <x v="1"/>
    <x v="30"/>
    <x v="24"/>
    <x v="36"/>
    <n v="3.39"/>
    <x v="0"/>
    <n v="14.399999999999999"/>
    <x v="2"/>
    <n v="2.93"/>
    <x v="0"/>
    <n v="0.53"/>
  </r>
  <r>
    <n v="1789"/>
    <x v="34"/>
    <x v="9"/>
    <x v="39"/>
    <x v="12"/>
    <x v="105"/>
    <n v="3.25"/>
    <x v="0"/>
    <n v="14.3"/>
    <x v="2"/>
    <n v="3.16"/>
    <x v="0"/>
    <n v="0.51"/>
  </r>
  <r>
    <n v="1790"/>
    <x v="0"/>
    <x v="38"/>
    <x v="50"/>
    <x v="0"/>
    <x v="68"/>
    <n v="2.85"/>
    <x v="2"/>
    <n v="19"/>
    <x v="0"/>
    <n v="4.1500000000000004"/>
    <x v="0"/>
    <n v="0.36"/>
  </r>
  <r>
    <n v="1791"/>
    <x v="36"/>
    <x v="18"/>
    <x v="22"/>
    <x v="45"/>
    <x v="28"/>
    <n v="2.75"/>
    <x v="0"/>
    <n v="15.600000000000001"/>
    <x v="0"/>
    <n v="3.51"/>
    <x v="0"/>
    <n v="0.47"/>
  </r>
  <r>
    <n v="1792"/>
    <x v="35"/>
    <x v="37"/>
    <x v="47"/>
    <x v="51"/>
    <x v="85"/>
    <n v="2.98"/>
    <x v="1"/>
    <n v="17.8"/>
    <x v="0"/>
    <n v="2.52"/>
    <x v="0"/>
    <n v="0.33"/>
  </r>
  <r>
    <n v="1793"/>
    <x v="5"/>
    <x v="14"/>
    <x v="24"/>
    <x v="8"/>
    <x v="44"/>
    <n v="2.81"/>
    <x v="2"/>
    <n v="18.2"/>
    <x v="0"/>
    <n v="1.97"/>
    <x v="0"/>
    <n v="0.33"/>
  </r>
  <r>
    <n v="1794"/>
    <x v="34"/>
    <x v="11"/>
    <x v="1"/>
    <x v="16"/>
    <x v="53"/>
    <n v="3.15"/>
    <x v="0"/>
    <n v="16"/>
    <x v="2"/>
    <n v="3.57"/>
    <x v="0"/>
    <n v="0.46"/>
  </r>
  <r>
    <n v="1795"/>
    <x v="17"/>
    <x v="3"/>
    <x v="30"/>
    <x v="20"/>
    <x v="15"/>
    <n v="2.78"/>
    <x v="0"/>
    <n v="14.399999999999999"/>
    <x v="0"/>
    <n v="2.68"/>
    <x v="0"/>
    <n v="0.53"/>
  </r>
  <r>
    <n v="1796"/>
    <x v="10"/>
    <x v="34"/>
    <x v="33"/>
    <x v="50"/>
    <x v="86"/>
    <n v="3.76"/>
    <x v="2"/>
    <n v="17.599999999999998"/>
    <x v="1"/>
    <n v="3.81"/>
    <x v="0"/>
    <n v="0.55000000000000004"/>
  </r>
  <r>
    <n v="1797"/>
    <x v="46"/>
    <x v="10"/>
    <x v="9"/>
    <x v="44"/>
    <x v="67"/>
    <n v="2.87"/>
    <x v="0"/>
    <n v="14.9"/>
    <x v="0"/>
    <n v="2.63"/>
    <x v="0"/>
    <n v="0.48"/>
  </r>
  <r>
    <n v="1798"/>
    <x v="3"/>
    <x v="28"/>
    <x v="26"/>
    <x v="25"/>
    <x v="28"/>
    <n v="3.18"/>
    <x v="0"/>
    <n v="15.399999999999999"/>
    <x v="2"/>
    <n v="2.95"/>
    <x v="0"/>
    <n v="0.42"/>
  </r>
  <r>
    <n v="1799"/>
    <x v="12"/>
    <x v="20"/>
    <x v="46"/>
    <x v="17"/>
    <x v="102"/>
    <n v="2.63"/>
    <x v="2"/>
    <n v="18.100000000000001"/>
    <x v="0"/>
    <n v="3.83"/>
    <x v="0"/>
    <n v="0.28000000000000003"/>
  </r>
  <r>
    <n v="1800"/>
    <x v="36"/>
    <x v="39"/>
    <x v="43"/>
    <x v="33"/>
    <x v="19"/>
    <n v="2.84"/>
    <x v="0"/>
    <n v="14.100000000000001"/>
    <x v="0"/>
    <n v="3.08"/>
    <x v="0"/>
    <n v="0.52"/>
  </r>
  <r>
    <n v="1801"/>
    <x v="18"/>
    <x v="17"/>
    <x v="3"/>
    <x v="23"/>
    <x v="43"/>
    <n v="2.93"/>
    <x v="0"/>
    <n v="16.799999999999997"/>
    <x v="0"/>
    <n v="2.25"/>
    <x v="0"/>
    <n v="0.39"/>
  </r>
  <r>
    <n v="1802"/>
    <x v="32"/>
    <x v="19"/>
    <x v="32"/>
    <x v="21"/>
    <x v="22"/>
    <n v="3.32"/>
    <x v="2"/>
    <n v="17.100000000000001"/>
    <x v="2"/>
    <n v="3.83"/>
    <x v="0"/>
    <n v="0.54"/>
  </r>
  <r>
    <n v="1803"/>
    <x v="29"/>
    <x v="29"/>
    <x v="22"/>
    <x v="28"/>
    <x v="82"/>
    <n v="3.23"/>
    <x v="2"/>
    <n v="15.600000000000001"/>
    <x v="2"/>
    <n v="3.81"/>
    <x v="0"/>
    <n v="0.53"/>
  </r>
  <r>
    <n v="1804"/>
    <x v="28"/>
    <x v="0"/>
    <x v="30"/>
    <x v="25"/>
    <x v="62"/>
    <n v="3.71"/>
    <x v="2"/>
    <n v="14.399999999999999"/>
    <x v="1"/>
    <n v="3.97"/>
    <x v="0"/>
    <n v="0.63"/>
  </r>
  <r>
    <n v="1805"/>
    <x v="17"/>
    <x v="29"/>
    <x v="44"/>
    <x v="50"/>
    <x v="67"/>
    <n v="3.09"/>
    <x v="0"/>
    <n v="16.7"/>
    <x v="2"/>
    <n v="2.57"/>
    <x v="0"/>
    <n v="0.46"/>
  </r>
  <r>
    <n v="1806"/>
    <x v="20"/>
    <x v="10"/>
    <x v="43"/>
    <x v="27"/>
    <x v="62"/>
    <n v="3.5"/>
    <x v="2"/>
    <n v="14.099999999999998"/>
    <x v="1"/>
    <n v="4.26"/>
    <x v="0"/>
    <n v="0.68"/>
  </r>
  <r>
    <n v="1807"/>
    <x v="11"/>
    <x v="31"/>
    <x v="6"/>
    <x v="3"/>
    <x v="110"/>
    <n v="3.21"/>
    <x v="2"/>
    <n v="18.399999999999999"/>
    <x v="2"/>
    <n v="4.37"/>
    <x v="0"/>
    <n v="0.35"/>
  </r>
  <r>
    <n v="1808"/>
    <x v="30"/>
    <x v="25"/>
    <x v="50"/>
    <x v="27"/>
    <x v="46"/>
    <n v="3.52"/>
    <x v="2"/>
    <n v="19"/>
    <x v="1"/>
    <n v="3.75"/>
    <x v="0"/>
    <n v="0.5"/>
  </r>
  <r>
    <n v="1809"/>
    <x v="26"/>
    <x v="24"/>
    <x v="36"/>
    <x v="5"/>
    <x v="32"/>
    <n v="2.61"/>
    <x v="1"/>
    <n v="16.5"/>
    <x v="0"/>
    <n v="4.05"/>
    <x v="0"/>
    <n v="0.33"/>
  </r>
  <r>
    <n v="1810"/>
    <x v="27"/>
    <x v="35"/>
    <x v="36"/>
    <x v="20"/>
    <x v="34"/>
    <n v="3.13"/>
    <x v="2"/>
    <n v="16.5"/>
    <x v="2"/>
    <n v="2.83"/>
    <x v="0"/>
    <n v="0.5"/>
  </r>
  <r>
    <n v="1811"/>
    <x v="42"/>
    <x v="22"/>
    <x v="21"/>
    <x v="1"/>
    <x v="33"/>
    <n v="3.62"/>
    <x v="2"/>
    <n v="16.400000000000002"/>
    <x v="1"/>
    <n v="4.0599999999999996"/>
    <x v="0"/>
    <n v="0.6"/>
  </r>
  <r>
    <n v="1812"/>
    <x v="0"/>
    <x v="35"/>
    <x v="38"/>
    <x v="40"/>
    <x v="72"/>
    <n v="3.05"/>
    <x v="2"/>
    <n v="18.600000000000001"/>
    <x v="2"/>
    <n v="2.2799999999999998"/>
    <x v="0"/>
    <n v="0.37"/>
  </r>
  <r>
    <n v="1813"/>
    <x v="11"/>
    <x v="4"/>
    <x v="25"/>
    <x v="51"/>
    <x v="72"/>
    <n v="3"/>
    <x v="0"/>
    <n v="16.299999999999997"/>
    <x v="2"/>
    <n v="2.73"/>
    <x v="0"/>
    <n v="0.39"/>
  </r>
  <r>
    <n v="1814"/>
    <x v="4"/>
    <x v="40"/>
    <x v="44"/>
    <x v="33"/>
    <x v="61"/>
    <n v="3.12"/>
    <x v="2"/>
    <n v="16.7"/>
    <x v="2"/>
    <n v="3.01"/>
    <x v="0"/>
    <n v="0.49"/>
  </r>
  <r>
    <n v="1815"/>
    <x v="17"/>
    <x v="37"/>
    <x v="13"/>
    <x v="40"/>
    <x v="57"/>
    <n v="3.18"/>
    <x v="0"/>
    <n v="17.399999999999999"/>
    <x v="2"/>
    <n v="2.4900000000000002"/>
    <x v="0"/>
    <n v="0.44"/>
  </r>
  <r>
    <n v="1816"/>
    <x v="38"/>
    <x v="6"/>
    <x v="17"/>
    <x v="17"/>
    <x v="24"/>
    <n v="2.9"/>
    <x v="1"/>
    <n v="14.5"/>
    <x v="0"/>
    <n v="2.89"/>
    <x v="0"/>
    <n v="0.37"/>
  </r>
  <r>
    <n v="1817"/>
    <x v="24"/>
    <x v="0"/>
    <x v="38"/>
    <x v="47"/>
    <x v="56"/>
    <n v="3.69"/>
    <x v="2"/>
    <n v="18.599999999999998"/>
    <x v="1"/>
    <n v="3.97"/>
    <x v="0"/>
    <n v="0.53"/>
  </r>
  <r>
    <n v="1818"/>
    <x v="19"/>
    <x v="6"/>
    <x v="19"/>
    <x v="47"/>
    <x v="36"/>
    <n v="2.98"/>
    <x v="0"/>
    <n v="15.8"/>
    <x v="0"/>
    <n v="2.4300000000000002"/>
    <x v="0"/>
    <n v="0.45"/>
  </r>
  <r>
    <n v="1819"/>
    <x v="8"/>
    <x v="21"/>
    <x v="46"/>
    <x v="11"/>
    <x v="14"/>
    <n v="2.69"/>
    <x v="2"/>
    <n v="18.100000000000001"/>
    <x v="0"/>
    <n v="2.94"/>
    <x v="0"/>
    <n v="0.28999999999999998"/>
  </r>
  <r>
    <n v="1820"/>
    <x v="14"/>
    <x v="31"/>
    <x v="10"/>
    <x v="39"/>
    <x v="95"/>
    <n v="2.58"/>
    <x v="2"/>
    <n v="18.3"/>
    <x v="0"/>
    <n v="5.24"/>
    <x v="0"/>
    <n v="0.37"/>
  </r>
  <r>
    <n v="1821"/>
    <x v="36"/>
    <x v="0"/>
    <x v="6"/>
    <x v="6"/>
    <x v="33"/>
    <n v="3.27"/>
    <x v="2"/>
    <n v="18.399999999999999"/>
    <x v="2"/>
    <n v="2.54"/>
    <x v="0"/>
    <n v="0.4"/>
  </r>
  <r>
    <n v="1822"/>
    <x v="27"/>
    <x v="10"/>
    <x v="42"/>
    <x v="7"/>
    <x v="49"/>
    <n v="3.5"/>
    <x v="2"/>
    <n v="18.5"/>
    <x v="1"/>
    <n v="2.42"/>
    <x v="0"/>
    <n v="0.44"/>
  </r>
  <r>
    <n v="1823"/>
    <x v="40"/>
    <x v="32"/>
    <x v="2"/>
    <x v="5"/>
    <x v="98"/>
    <n v="3.34"/>
    <x v="2"/>
    <n v="14.8"/>
    <x v="2"/>
    <n v="3.49"/>
    <x v="0"/>
    <n v="0.56999999999999995"/>
  </r>
  <r>
    <n v="1824"/>
    <x v="0"/>
    <x v="29"/>
    <x v="34"/>
    <x v="46"/>
    <x v="36"/>
    <n v="3.42"/>
    <x v="0"/>
    <n v="15.900000000000002"/>
    <x v="2"/>
    <n v="2.57"/>
    <x v="0"/>
    <n v="0.43"/>
  </r>
  <r>
    <n v="1825"/>
    <x v="50"/>
    <x v="10"/>
    <x v="37"/>
    <x v="17"/>
    <x v="40"/>
    <n v="2.82"/>
    <x v="0"/>
    <n v="17"/>
    <x v="0"/>
    <n v="2.98"/>
    <x v="0"/>
    <n v="0.44"/>
  </r>
  <r>
    <n v="1826"/>
    <x v="15"/>
    <x v="15"/>
    <x v="5"/>
    <x v="22"/>
    <x v="82"/>
    <n v="3.06"/>
    <x v="2"/>
    <n v="18.7"/>
    <x v="2"/>
    <n v="3.21"/>
    <x v="0"/>
    <n v="0.46"/>
  </r>
  <r>
    <n v="1827"/>
    <x v="11"/>
    <x v="9"/>
    <x v="10"/>
    <x v="44"/>
    <x v="97"/>
    <n v="2.89"/>
    <x v="2"/>
    <n v="18.300000000000004"/>
    <x v="0"/>
    <n v="3.74"/>
    <x v="0"/>
    <n v="0.35"/>
  </r>
  <r>
    <n v="1828"/>
    <x v="23"/>
    <x v="16"/>
    <x v="21"/>
    <x v="44"/>
    <x v="40"/>
    <n v="2.78"/>
    <x v="0"/>
    <n v="16.399999999999999"/>
    <x v="0"/>
    <n v="2.66"/>
    <x v="0"/>
    <n v="0.41"/>
  </r>
  <r>
    <n v="1829"/>
    <x v="39"/>
    <x v="37"/>
    <x v="7"/>
    <x v="29"/>
    <x v="43"/>
    <n v="2.87"/>
    <x v="2"/>
    <n v="17.699999999999996"/>
    <x v="0"/>
    <n v="3.23"/>
    <x v="0"/>
    <n v="0.49"/>
  </r>
  <r>
    <n v="1830"/>
    <x v="25"/>
    <x v="37"/>
    <x v="16"/>
    <x v="47"/>
    <x v="3"/>
    <n v="2.92"/>
    <x v="2"/>
    <n v="18.899999999999999"/>
    <x v="0"/>
    <n v="2.2400000000000002"/>
    <x v="0"/>
    <n v="0.33"/>
  </r>
  <r>
    <n v="1831"/>
    <x v="37"/>
    <x v="39"/>
    <x v="27"/>
    <x v="47"/>
    <x v="64"/>
    <n v="2.88"/>
    <x v="1"/>
    <n v="15.7"/>
    <x v="0"/>
    <n v="2.54"/>
    <x v="0"/>
    <n v="0.38"/>
  </r>
  <r>
    <n v="1832"/>
    <x v="5"/>
    <x v="20"/>
    <x v="11"/>
    <x v="18"/>
    <x v="43"/>
    <n v="3.17"/>
    <x v="0"/>
    <n v="15.5"/>
    <x v="2"/>
    <n v="2.0499999999999998"/>
    <x v="0"/>
    <n v="0.39"/>
  </r>
  <r>
    <n v="1833"/>
    <x v="30"/>
    <x v="31"/>
    <x v="43"/>
    <x v="26"/>
    <x v="35"/>
    <n v="3.5"/>
    <x v="2"/>
    <n v="14.1"/>
    <x v="1"/>
    <n v="4.24"/>
    <x v="0"/>
    <n v="0.67"/>
  </r>
  <r>
    <n v="1834"/>
    <x v="15"/>
    <x v="40"/>
    <x v="3"/>
    <x v="53"/>
    <x v="87"/>
    <n v="3.32"/>
    <x v="2"/>
    <n v="16.8"/>
    <x v="2"/>
    <n v="4.21"/>
    <x v="0"/>
    <n v="0.51"/>
  </r>
  <r>
    <n v="1835"/>
    <x v="0"/>
    <x v="15"/>
    <x v="32"/>
    <x v="15"/>
    <x v="7"/>
    <n v="3.23"/>
    <x v="0"/>
    <n v="17.100000000000001"/>
    <x v="2"/>
    <n v="2.2000000000000002"/>
    <x v="0"/>
    <n v="0.4"/>
  </r>
  <r>
    <n v="1836"/>
    <x v="8"/>
    <x v="24"/>
    <x v="24"/>
    <x v="1"/>
    <x v="13"/>
    <n v="2.83"/>
    <x v="2"/>
    <n v="18.2"/>
    <x v="0"/>
    <n v="2.41"/>
    <x v="0"/>
    <n v="0.28999999999999998"/>
  </r>
  <r>
    <n v="1837"/>
    <x v="26"/>
    <x v="33"/>
    <x v="33"/>
    <x v="2"/>
    <x v="84"/>
    <n v="2.75"/>
    <x v="1"/>
    <n v="17.599999999999998"/>
    <x v="0"/>
    <n v="3.1"/>
    <x v="0"/>
    <n v="0.31"/>
  </r>
  <r>
    <n v="1838"/>
    <x v="36"/>
    <x v="14"/>
    <x v="13"/>
    <x v="44"/>
    <x v="85"/>
    <n v="3.1"/>
    <x v="0"/>
    <n v="17.400000000000002"/>
    <x v="2"/>
    <n v="3.44"/>
    <x v="0"/>
    <n v="0.43"/>
  </r>
  <r>
    <n v="1839"/>
    <x v="0"/>
    <x v="33"/>
    <x v="15"/>
    <x v="58"/>
    <x v="23"/>
    <n v="2.77"/>
    <x v="0"/>
    <n v="15.100000000000001"/>
    <x v="0"/>
    <n v="2.09"/>
    <x v="0"/>
    <n v="0.46"/>
  </r>
  <r>
    <n v="1840"/>
    <x v="11"/>
    <x v="4"/>
    <x v="47"/>
    <x v="22"/>
    <x v="83"/>
    <n v="3.04"/>
    <x v="0"/>
    <n v="17.8"/>
    <x v="2"/>
    <n v="4.24"/>
    <x v="0"/>
    <n v="0.36"/>
  </r>
  <r>
    <n v="1841"/>
    <x v="17"/>
    <x v="32"/>
    <x v="39"/>
    <x v="24"/>
    <x v="61"/>
    <n v="3.36"/>
    <x v="0"/>
    <n v="14.299999999999999"/>
    <x v="2"/>
    <n v="2.89"/>
    <x v="0"/>
    <n v="0.53"/>
  </r>
  <r>
    <n v="1842"/>
    <x v="44"/>
    <x v="19"/>
    <x v="7"/>
    <x v="39"/>
    <x v="59"/>
    <n v="3.27"/>
    <x v="0"/>
    <n v="17.7"/>
    <x v="2"/>
    <n v="4.4400000000000004"/>
    <x v="0"/>
    <n v="0.44"/>
  </r>
  <r>
    <n v="1843"/>
    <x v="3"/>
    <x v="15"/>
    <x v="35"/>
    <x v="22"/>
    <x v="48"/>
    <n v="3.17"/>
    <x v="2"/>
    <n v="18.8"/>
    <x v="2"/>
    <n v="3.09"/>
    <x v="0"/>
    <n v="0.35"/>
  </r>
  <r>
    <n v="1844"/>
    <x v="34"/>
    <x v="27"/>
    <x v="32"/>
    <x v="43"/>
    <x v="90"/>
    <n v="3.24"/>
    <x v="0"/>
    <n v="17.100000000000001"/>
    <x v="2"/>
    <n v="2.89"/>
    <x v="0"/>
    <n v="0.43"/>
  </r>
  <r>
    <n v="1845"/>
    <x v="49"/>
    <x v="32"/>
    <x v="39"/>
    <x v="5"/>
    <x v="50"/>
    <n v="2.64"/>
    <x v="0"/>
    <n v="14.3"/>
    <x v="0"/>
    <n v="2.91"/>
    <x v="0"/>
    <n v="0.49"/>
  </r>
  <r>
    <n v="1846"/>
    <x v="50"/>
    <x v="18"/>
    <x v="13"/>
    <x v="36"/>
    <x v="8"/>
    <n v="3.14"/>
    <x v="0"/>
    <n v="17.399999999999999"/>
    <x v="2"/>
    <n v="3.09"/>
    <x v="0"/>
    <n v="0.43"/>
  </r>
  <r>
    <n v="1847"/>
    <x v="44"/>
    <x v="6"/>
    <x v="33"/>
    <x v="45"/>
    <x v="44"/>
    <n v="3.39"/>
    <x v="0"/>
    <n v="17.600000000000001"/>
    <x v="2"/>
    <n v="3.07"/>
    <x v="0"/>
    <n v="0.44"/>
  </r>
  <r>
    <n v="1848"/>
    <x v="42"/>
    <x v="6"/>
    <x v="37"/>
    <x v="47"/>
    <x v="39"/>
    <n v="3.39"/>
    <x v="2"/>
    <n v="17.000000000000004"/>
    <x v="2"/>
    <n v="4.03"/>
    <x v="0"/>
    <n v="0.57999999999999996"/>
  </r>
  <r>
    <n v="1849"/>
    <x v="19"/>
    <x v="9"/>
    <x v="47"/>
    <x v="9"/>
    <x v="49"/>
    <n v="3.34"/>
    <x v="0"/>
    <n v="17.8"/>
    <x v="2"/>
    <n v="2.02"/>
    <x v="0"/>
    <n v="0.4"/>
  </r>
  <r>
    <n v="1850"/>
    <x v="13"/>
    <x v="22"/>
    <x v="26"/>
    <x v="9"/>
    <x v="25"/>
    <n v="3.36"/>
    <x v="2"/>
    <n v="15.4"/>
    <x v="2"/>
    <n v="3.75"/>
    <x v="0"/>
    <n v="0.57999999999999996"/>
  </r>
  <r>
    <n v="1851"/>
    <x v="14"/>
    <x v="5"/>
    <x v="50"/>
    <x v="56"/>
    <x v="97"/>
    <n v="3.15"/>
    <x v="2"/>
    <n v="19"/>
    <x v="2"/>
    <n v="3.73"/>
    <x v="0"/>
    <n v="0.35"/>
  </r>
  <r>
    <n v="1852"/>
    <x v="37"/>
    <x v="23"/>
    <x v="7"/>
    <x v="25"/>
    <x v="87"/>
    <n v="2.48"/>
    <x v="1"/>
    <n v="17.700000000000003"/>
    <x v="3"/>
    <n v="2.52"/>
    <x v="0"/>
    <n v="0.33"/>
  </r>
  <r>
    <n v="1853"/>
    <x v="36"/>
    <x v="14"/>
    <x v="18"/>
    <x v="16"/>
    <x v="81"/>
    <n v="3.22"/>
    <x v="0"/>
    <n v="17.899999999999999"/>
    <x v="2"/>
    <n v="3.1"/>
    <x v="0"/>
    <n v="0.41"/>
  </r>
  <r>
    <n v="1854"/>
    <x v="13"/>
    <x v="6"/>
    <x v="26"/>
    <x v="38"/>
    <x v="51"/>
    <n v="3.17"/>
    <x v="2"/>
    <n v="15.4"/>
    <x v="2"/>
    <n v="3.5"/>
    <x v="0"/>
    <n v="0.57999999999999996"/>
  </r>
  <r>
    <n v="1855"/>
    <x v="47"/>
    <x v="2"/>
    <x v="9"/>
    <x v="27"/>
    <x v="76"/>
    <n v="2.81"/>
    <x v="1"/>
    <n v="14.899999999999999"/>
    <x v="0"/>
    <n v="1.92"/>
    <x v="0"/>
    <n v="0.38"/>
  </r>
  <r>
    <n v="1856"/>
    <x v="47"/>
    <x v="15"/>
    <x v="44"/>
    <x v="59"/>
    <x v="37"/>
    <n v="2.82"/>
    <x v="1"/>
    <n v="16.7"/>
    <x v="0"/>
    <n v="1.26"/>
    <x v="1"/>
    <n v="0.34"/>
  </r>
  <r>
    <n v="1857"/>
    <x v="39"/>
    <x v="21"/>
    <x v="22"/>
    <x v="28"/>
    <x v="17"/>
    <n v="3.51"/>
    <x v="2"/>
    <n v="15.6"/>
    <x v="1"/>
    <n v="3.65"/>
    <x v="0"/>
    <n v="0.56000000000000005"/>
  </r>
  <r>
    <n v="1858"/>
    <x v="12"/>
    <x v="18"/>
    <x v="41"/>
    <x v="50"/>
    <x v="54"/>
    <n v="2.4700000000000002"/>
    <x v="1"/>
    <n v="14.7"/>
    <x v="3"/>
    <n v="2.4500000000000002"/>
    <x v="0"/>
    <n v="0.34"/>
  </r>
  <r>
    <n v="1859"/>
    <x v="45"/>
    <x v="27"/>
    <x v="28"/>
    <x v="45"/>
    <x v="80"/>
    <n v="2.79"/>
    <x v="0"/>
    <n v="15"/>
    <x v="0"/>
    <n v="1.94"/>
    <x v="0"/>
    <n v="0.42"/>
  </r>
  <r>
    <n v="1860"/>
    <x v="50"/>
    <x v="34"/>
    <x v="18"/>
    <x v="16"/>
    <x v="42"/>
    <n v="3.07"/>
    <x v="0"/>
    <n v="17.899999999999999"/>
    <x v="2"/>
    <n v="2.63"/>
    <x v="0"/>
    <n v="0.42"/>
  </r>
  <r>
    <n v="1861"/>
    <x v="25"/>
    <x v="36"/>
    <x v="29"/>
    <x v="38"/>
    <x v="6"/>
    <n v="2.88"/>
    <x v="0"/>
    <n v="18"/>
    <x v="0"/>
    <n v="1.18"/>
    <x v="1"/>
    <n v="0.34"/>
  </r>
  <r>
    <n v="1862"/>
    <x v="27"/>
    <x v="15"/>
    <x v="43"/>
    <x v="19"/>
    <x v="75"/>
    <n v="3.3"/>
    <x v="2"/>
    <n v="14.1"/>
    <x v="2"/>
    <n v="3.29"/>
    <x v="0"/>
    <n v="0.57999999999999996"/>
  </r>
  <r>
    <n v="1863"/>
    <x v="16"/>
    <x v="29"/>
    <x v="46"/>
    <x v="10"/>
    <x v="91"/>
    <n v="3.29"/>
    <x v="2"/>
    <n v="18.100000000000001"/>
    <x v="2"/>
    <n v="3.31"/>
    <x v="0"/>
    <n v="0.49"/>
  </r>
  <r>
    <n v="1864"/>
    <x v="9"/>
    <x v="36"/>
    <x v="37"/>
    <x v="35"/>
    <x v="30"/>
    <n v="3.44"/>
    <x v="0"/>
    <n v="17"/>
    <x v="2"/>
    <n v="2.44"/>
    <x v="0"/>
    <n v="0.45"/>
  </r>
  <r>
    <n v="1865"/>
    <x v="23"/>
    <x v="37"/>
    <x v="11"/>
    <x v="54"/>
    <x v="33"/>
    <n v="3.33"/>
    <x v="0"/>
    <n v="15.5"/>
    <x v="2"/>
    <n v="2.73"/>
    <x v="0"/>
    <n v="0.44"/>
  </r>
  <r>
    <n v="1866"/>
    <x v="38"/>
    <x v="40"/>
    <x v="36"/>
    <x v="28"/>
    <x v="100"/>
    <n v="2.86"/>
    <x v="1"/>
    <n v="16.5"/>
    <x v="0"/>
    <n v="4.68"/>
    <x v="0"/>
    <n v="0.33"/>
  </r>
  <r>
    <n v="1867"/>
    <x v="45"/>
    <x v="3"/>
    <x v="16"/>
    <x v="16"/>
    <x v="97"/>
    <n v="3.49"/>
    <x v="2"/>
    <n v="18.899999999999999"/>
    <x v="2"/>
    <n v="3.49"/>
    <x v="0"/>
    <n v="0.33"/>
  </r>
  <r>
    <n v="1868"/>
    <x v="20"/>
    <x v="12"/>
    <x v="20"/>
    <x v="13"/>
    <x v="56"/>
    <n v="3.54"/>
    <x v="2"/>
    <n v="16.900000000000002"/>
    <x v="1"/>
    <n v="3.96"/>
    <x v="0"/>
    <n v="0.56999999999999995"/>
  </r>
  <r>
    <n v="1869"/>
    <x v="13"/>
    <x v="40"/>
    <x v="10"/>
    <x v="50"/>
    <x v="57"/>
    <n v="3.62"/>
    <x v="2"/>
    <n v="18.3"/>
    <x v="1"/>
    <n v="3.33"/>
    <x v="0"/>
    <n v="0.49"/>
  </r>
  <r>
    <n v="1870"/>
    <x v="39"/>
    <x v="25"/>
    <x v="43"/>
    <x v="18"/>
    <x v="89"/>
    <n v="3.36"/>
    <x v="2"/>
    <n v="14.1"/>
    <x v="2"/>
    <n v="3.49"/>
    <x v="0"/>
    <n v="0.62"/>
  </r>
  <r>
    <n v="1871"/>
    <x v="41"/>
    <x v="10"/>
    <x v="7"/>
    <x v="59"/>
    <x v="80"/>
    <n v="2.85"/>
    <x v="1"/>
    <n v="17.699999999999996"/>
    <x v="0"/>
    <n v="0.97"/>
    <x v="1"/>
    <n v="0.32"/>
  </r>
  <r>
    <n v="1872"/>
    <x v="6"/>
    <x v="6"/>
    <x v="12"/>
    <x v="11"/>
    <x v="71"/>
    <n v="3.23"/>
    <x v="0"/>
    <n v="17.2"/>
    <x v="2"/>
    <n v="2.93"/>
    <x v="0"/>
    <n v="0.47"/>
  </r>
  <r>
    <n v="1873"/>
    <x v="27"/>
    <x v="15"/>
    <x v="22"/>
    <x v="24"/>
    <x v="61"/>
    <n v="3.52"/>
    <x v="2"/>
    <n v="15.6"/>
    <x v="1"/>
    <n v="3.08"/>
    <x v="0"/>
    <n v="0.53"/>
  </r>
  <r>
    <n v="1874"/>
    <x v="36"/>
    <x v="3"/>
    <x v="15"/>
    <x v="40"/>
    <x v="20"/>
    <n v="3.1"/>
    <x v="0"/>
    <n v="15.1"/>
    <x v="2"/>
    <n v="2.5499999999999998"/>
    <x v="0"/>
    <n v="0.49"/>
  </r>
  <r>
    <n v="1875"/>
    <x v="49"/>
    <x v="7"/>
    <x v="24"/>
    <x v="49"/>
    <x v="22"/>
    <n v="2.99"/>
    <x v="2"/>
    <n v="18.200000000000003"/>
    <x v="0"/>
    <n v="2.4300000000000002"/>
    <x v="0"/>
    <n v="0.38"/>
  </r>
  <r>
    <n v="1876"/>
    <x v="15"/>
    <x v="16"/>
    <x v="41"/>
    <x v="58"/>
    <x v="105"/>
    <n v="3.38"/>
    <x v="2"/>
    <n v="14.700000000000001"/>
    <x v="2"/>
    <n v="3.59"/>
    <x v="0"/>
    <n v="0.59"/>
  </r>
  <r>
    <n v="1877"/>
    <x v="3"/>
    <x v="27"/>
    <x v="6"/>
    <x v="52"/>
    <x v="24"/>
    <n v="2.9"/>
    <x v="2"/>
    <n v="18.400000000000002"/>
    <x v="0"/>
    <n v="2.3199999999999998"/>
    <x v="0"/>
    <n v="0.35"/>
  </r>
  <r>
    <n v="1878"/>
    <x v="6"/>
    <x v="14"/>
    <x v="19"/>
    <x v="54"/>
    <x v="10"/>
    <n v="3.4"/>
    <x v="0"/>
    <n v="15.799999999999999"/>
    <x v="2"/>
    <n v="3.51"/>
    <x v="0"/>
    <n v="0.51"/>
  </r>
  <r>
    <n v="1879"/>
    <x v="1"/>
    <x v="32"/>
    <x v="41"/>
    <x v="58"/>
    <x v="76"/>
    <n v="2.82"/>
    <x v="1"/>
    <n v="14.7"/>
    <x v="0"/>
    <n v="1.34"/>
    <x v="1"/>
    <n v="0.36"/>
  </r>
  <r>
    <n v="1880"/>
    <x v="14"/>
    <x v="4"/>
    <x v="2"/>
    <x v="37"/>
    <x v="17"/>
    <n v="2.85"/>
    <x v="0"/>
    <n v="14.8"/>
    <x v="0"/>
    <n v="2.5499999999999998"/>
    <x v="0"/>
    <n v="0.45"/>
  </r>
  <r>
    <n v="1881"/>
    <x v="10"/>
    <x v="16"/>
    <x v="11"/>
    <x v="60"/>
    <x v="23"/>
    <n v="3.19"/>
    <x v="2"/>
    <n v="15.499999999999998"/>
    <x v="2"/>
    <n v="4.12"/>
    <x v="0"/>
    <n v="0.63"/>
  </r>
  <r>
    <n v="1882"/>
    <x v="20"/>
    <x v="5"/>
    <x v="33"/>
    <x v="37"/>
    <x v="76"/>
    <n v="3.38"/>
    <x v="2"/>
    <n v="17.599999999999998"/>
    <x v="2"/>
    <n v="3.76"/>
    <x v="0"/>
    <n v="0.55000000000000004"/>
  </r>
  <r>
    <n v="1883"/>
    <x v="45"/>
    <x v="40"/>
    <x v="1"/>
    <x v="19"/>
    <x v="14"/>
    <n v="2.91"/>
    <x v="0"/>
    <n v="16"/>
    <x v="0"/>
    <n v="3.96"/>
    <x v="0"/>
    <n v="0.39"/>
  </r>
  <r>
    <n v="1884"/>
    <x v="15"/>
    <x v="9"/>
    <x v="20"/>
    <x v="30"/>
    <x v="65"/>
    <n v="3.18"/>
    <x v="2"/>
    <n v="16.900000000000002"/>
    <x v="2"/>
    <n v="2.96"/>
    <x v="0"/>
    <n v="0.51"/>
  </r>
  <r>
    <n v="1885"/>
    <x v="23"/>
    <x v="26"/>
    <x v="5"/>
    <x v="8"/>
    <x v="76"/>
    <n v="3.04"/>
    <x v="2"/>
    <n v="18.7"/>
    <x v="2"/>
    <n v="1.43"/>
    <x v="1"/>
    <n v="0.36"/>
  </r>
  <r>
    <n v="1886"/>
    <x v="37"/>
    <x v="28"/>
    <x v="26"/>
    <x v="19"/>
    <x v="78"/>
    <n v="2.92"/>
    <x v="1"/>
    <n v="15.4"/>
    <x v="0"/>
    <n v="3.56"/>
    <x v="0"/>
    <n v="0.38"/>
  </r>
  <r>
    <n v="1887"/>
    <x v="28"/>
    <x v="20"/>
    <x v="26"/>
    <x v="5"/>
    <x v="60"/>
    <n v="3.56"/>
    <x v="2"/>
    <n v="15.4"/>
    <x v="1"/>
    <n v="3.73"/>
    <x v="0"/>
    <n v="0.59"/>
  </r>
  <r>
    <n v="1888"/>
    <x v="48"/>
    <x v="39"/>
    <x v="16"/>
    <x v="4"/>
    <x v="13"/>
    <n v="3.61"/>
    <x v="2"/>
    <n v="18.899999999999999"/>
    <x v="1"/>
    <n v="4.22"/>
    <x v="0"/>
    <n v="0.49"/>
  </r>
  <r>
    <n v="1889"/>
    <x v="47"/>
    <x v="9"/>
    <x v="30"/>
    <x v="29"/>
    <x v="76"/>
    <n v="2.98"/>
    <x v="1"/>
    <n v="14.399999999999999"/>
    <x v="0"/>
    <n v="1.68"/>
    <x v="0"/>
    <n v="0.4"/>
  </r>
  <r>
    <n v="1890"/>
    <x v="26"/>
    <x v="21"/>
    <x v="44"/>
    <x v="54"/>
    <x v="74"/>
    <n v="2.77"/>
    <x v="1"/>
    <n v="16.7"/>
    <x v="0"/>
    <n v="1.62"/>
    <x v="0"/>
    <n v="0.33"/>
  </r>
  <r>
    <n v="1891"/>
    <x v="41"/>
    <x v="40"/>
    <x v="16"/>
    <x v="20"/>
    <x v="110"/>
    <n v="2.97"/>
    <x v="2"/>
    <n v="18.899999999999999"/>
    <x v="0"/>
    <n v="3.98"/>
    <x v="0"/>
    <n v="0.3"/>
  </r>
  <r>
    <n v="1892"/>
    <x v="6"/>
    <x v="25"/>
    <x v="25"/>
    <x v="19"/>
    <x v="71"/>
    <n v="3.12"/>
    <x v="0"/>
    <n v="16.3"/>
    <x v="2"/>
    <n v="3.27"/>
    <x v="0"/>
    <n v="0.49"/>
  </r>
  <r>
    <n v="1893"/>
    <x v="46"/>
    <x v="36"/>
    <x v="2"/>
    <x v="51"/>
    <x v="18"/>
    <n v="2.95"/>
    <x v="0"/>
    <n v="14.799999999999999"/>
    <x v="0"/>
    <n v="2.8"/>
    <x v="0"/>
    <n v="0.49"/>
  </r>
  <r>
    <n v="1894"/>
    <x v="36"/>
    <x v="33"/>
    <x v="14"/>
    <x v="30"/>
    <x v="25"/>
    <n v="3.04"/>
    <x v="0"/>
    <n v="14.600000000000001"/>
    <x v="2"/>
    <n v="2.68"/>
    <x v="0"/>
    <n v="0.51"/>
  </r>
  <r>
    <n v="1895"/>
    <x v="10"/>
    <x v="39"/>
    <x v="16"/>
    <x v="8"/>
    <x v="64"/>
    <n v="3.25"/>
    <x v="2"/>
    <n v="18.899999999999999"/>
    <x v="2"/>
    <n v="3.91"/>
    <x v="0"/>
    <n v="0.51"/>
  </r>
  <r>
    <n v="1896"/>
    <x v="14"/>
    <x v="8"/>
    <x v="21"/>
    <x v="20"/>
    <x v="90"/>
    <n v="2.83"/>
    <x v="0"/>
    <n v="16.399999999999999"/>
    <x v="0"/>
    <n v="2.68"/>
    <x v="0"/>
    <n v="0.41"/>
  </r>
  <r>
    <n v="1897"/>
    <x v="17"/>
    <x v="33"/>
    <x v="32"/>
    <x v="18"/>
    <x v="71"/>
    <n v="3.05"/>
    <x v="0"/>
    <n v="17.100000000000001"/>
    <x v="2"/>
    <n v="2.73"/>
    <x v="0"/>
    <n v="0.44"/>
  </r>
  <r>
    <n v="1898"/>
    <x v="39"/>
    <x v="15"/>
    <x v="27"/>
    <x v="24"/>
    <x v="60"/>
    <n v="3.1"/>
    <x v="2"/>
    <n v="15.7"/>
    <x v="2"/>
    <n v="3.34"/>
    <x v="0"/>
    <n v="0.55000000000000004"/>
  </r>
  <r>
    <n v="1899"/>
    <x v="31"/>
    <x v="32"/>
    <x v="49"/>
    <x v="35"/>
    <x v="60"/>
    <n v="3.75"/>
    <x v="0"/>
    <n v="16.600000000000001"/>
    <x v="1"/>
    <n v="2.54"/>
    <x v="0"/>
    <n v="0.48"/>
  </r>
  <r>
    <n v="1900"/>
    <x v="15"/>
    <x v="31"/>
    <x v="0"/>
    <x v="44"/>
    <x v="54"/>
    <n v="3.22"/>
    <x v="2"/>
    <n v="15.3"/>
    <x v="2"/>
    <n v="3.94"/>
    <x v="0"/>
    <n v="0.56000000000000005"/>
  </r>
  <r>
    <n v="1901"/>
    <x v="1"/>
    <x v="2"/>
    <x v="8"/>
    <x v="5"/>
    <x v="50"/>
    <n v="2.5299999999999998"/>
    <x v="1"/>
    <n v="14.2"/>
    <x v="0"/>
    <n v="2.2400000000000002"/>
    <x v="0"/>
    <n v="0.37"/>
  </r>
  <r>
    <n v="1902"/>
    <x v="36"/>
    <x v="10"/>
    <x v="8"/>
    <x v="4"/>
    <x v="9"/>
    <n v="3.06"/>
    <x v="0"/>
    <n v="14.2"/>
    <x v="2"/>
    <n v="2.69"/>
    <x v="0"/>
    <n v="0.52"/>
  </r>
  <r>
    <n v="1903"/>
    <x v="23"/>
    <x v="21"/>
    <x v="13"/>
    <x v="57"/>
    <x v="65"/>
    <n v="3.05"/>
    <x v="0"/>
    <n v="17.399999999999999"/>
    <x v="2"/>
    <n v="2.15"/>
    <x v="0"/>
    <n v="0.39"/>
  </r>
  <r>
    <n v="1904"/>
    <x v="18"/>
    <x v="28"/>
    <x v="35"/>
    <x v="36"/>
    <x v="72"/>
    <n v="3.2"/>
    <x v="2"/>
    <n v="18.799999999999997"/>
    <x v="2"/>
    <n v="2.44"/>
    <x v="0"/>
    <n v="0.35"/>
  </r>
  <r>
    <n v="1905"/>
    <x v="34"/>
    <x v="17"/>
    <x v="49"/>
    <x v="36"/>
    <x v="60"/>
    <n v="2.83"/>
    <x v="0"/>
    <n v="16.600000000000001"/>
    <x v="0"/>
    <n v="2.56"/>
    <x v="0"/>
    <n v="0.44"/>
  </r>
  <r>
    <n v="1906"/>
    <x v="0"/>
    <x v="17"/>
    <x v="46"/>
    <x v="26"/>
    <x v="28"/>
    <n v="2.94"/>
    <x v="2"/>
    <n v="18.100000000000001"/>
    <x v="0"/>
    <n v="2.59"/>
    <x v="0"/>
    <n v="0.38"/>
  </r>
  <r>
    <n v="1907"/>
    <x v="36"/>
    <x v="1"/>
    <x v="35"/>
    <x v="42"/>
    <x v="49"/>
    <n v="3.26"/>
    <x v="2"/>
    <n v="18.8"/>
    <x v="2"/>
    <n v="1.81"/>
    <x v="0"/>
    <n v="0.39"/>
  </r>
  <r>
    <n v="1908"/>
    <x v="33"/>
    <x v="20"/>
    <x v="30"/>
    <x v="14"/>
    <x v="89"/>
    <n v="3.57"/>
    <x v="2"/>
    <n v="14.4"/>
    <x v="1"/>
    <n v="3.97"/>
    <x v="0"/>
    <n v="0.65"/>
  </r>
  <r>
    <n v="1909"/>
    <x v="50"/>
    <x v="18"/>
    <x v="50"/>
    <x v="25"/>
    <x v="115"/>
    <n v="3.07"/>
    <x v="2"/>
    <n v="19"/>
    <x v="2"/>
    <n v="4.76"/>
    <x v="0"/>
    <n v="0.39"/>
  </r>
  <r>
    <n v="1910"/>
    <x v="37"/>
    <x v="18"/>
    <x v="17"/>
    <x v="60"/>
    <x v="58"/>
    <n v="2.79"/>
    <x v="1"/>
    <n v="14.5"/>
    <x v="0"/>
    <n v="4.26"/>
    <x v="0"/>
    <n v="0.41"/>
  </r>
  <r>
    <n v="1911"/>
    <x v="39"/>
    <x v="4"/>
    <x v="30"/>
    <x v="47"/>
    <x v="31"/>
    <n v="3.57"/>
    <x v="2"/>
    <n v="14.399999999999999"/>
    <x v="1"/>
    <n v="3.9"/>
    <x v="0"/>
    <n v="0.6"/>
  </r>
  <r>
    <n v="1912"/>
    <x v="12"/>
    <x v="2"/>
    <x v="14"/>
    <x v="41"/>
    <x v="35"/>
    <n v="2.98"/>
    <x v="1"/>
    <n v="14.6"/>
    <x v="0"/>
    <n v="2.1"/>
    <x v="0"/>
    <n v="0.34"/>
  </r>
  <r>
    <n v="1913"/>
    <x v="29"/>
    <x v="29"/>
    <x v="17"/>
    <x v="25"/>
    <x v="63"/>
    <n v="3.06"/>
    <x v="2"/>
    <n v="14.500000000000002"/>
    <x v="2"/>
    <n v="3.26"/>
    <x v="0"/>
    <n v="0.56999999999999995"/>
  </r>
  <r>
    <n v="1914"/>
    <x v="20"/>
    <x v="4"/>
    <x v="18"/>
    <x v="35"/>
    <x v="17"/>
    <n v="3.47"/>
    <x v="2"/>
    <n v="17.899999999999999"/>
    <x v="2"/>
    <n v="3.77"/>
    <x v="0"/>
    <n v="0.54"/>
  </r>
  <r>
    <n v="1915"/>
    <x v="16"/>
    <x v="25"/>
    <x v="47"/>
    <x v="60"/>
    <x v="3"/>
    <n v="3.29"/>
    <x v="2"/>
    <n v="17.8"/>
    <x v="2"/>
    <n v="3.95"/>
    <x v="0"/>
    <n v="0.49"/>
  </r>
  <r>
    <n v="1916"/>
    <x v="30"/>
    <x v="37"/>
    <x v="21"/>
    <x v="10"/>
    <x v="12"/>
    <n v="3.7"/>
    <x v="2"/>
    <n v="16.399999999999999"/>
    <x v="1"/>
    <n v="3.64"/>
    <x v="0"/>
    <n v="0.57999999999999996"/>
  </r>
  <r>
    <n v="1917"/>
    <x v="46"/>
    <x v="34"/>
    <x v="21"/>
    <x v="31"/>
    <x v="76"/>
    <n v="2.79"/>
    <x v="0"/>
    <n v="16.400000000000002"/>
    <x v="0"/>
    <n v="2.27"/>
    <x v="0"/>
    <n v="0.44"/>
  </r>
  <r>
    <n v="1918"/>
    <x v="47"/>
    <x v="12"/>
    <x v="22"/>
    <x v="9"/>
    <x v="12"/>
    <n v="2.94"/>
    <x v="1"/>
    <n v="15.600000000000001"/>
    <x v="0"/>
    <n v="1.47"/>
    <x v="1"/>
    <n v="0.37"/>
  </r>
  <r>
    <n v="1919"/>
    <x v="50"/>
    <x v="7"/>
    <x v="39"/>
    <x v="20"/>
    <x v="35"/>
    <n v="2.84"/>
    <x v="0"/>
    <n v="14.299999999999999"/>
    <x v="0"/>
    <n v="2.9"/>
    <x v="0"/>
    <n v="0.52"/>
  </r>
  <r>
    <n v="1920"/>
    <x v="24"/>
    <x v="8"/>
    <x v="29"/>
    <x v="56"/>
    <x v="6"/>
    <n v="3.68"/>
    <x v="2"/>
    <n v="18"/>
    <x v="1"/>
    <n v="3.83"/>
    <x v="0"/>
    <n v="0.55000000000000004"/>
  </r>
  <r>
    <n v="1921"/>
    <x v="1"/>
    <x v="2"/>
    <x v="31"/>
    <x v="35"/>
    <x v="67"/>
    <n v="2.79"/>
    <x v="1"/>
    <n v="16.100000000000001"/>
    <x v="0"/>
    <n v="0.88"/>
    <x v="1"/>
    <n v="0.33"/>
  </r>
  <r>
    <n v="1922"/>
    <x v="8"/>
    <x v="21"/>
    <x v="26"/>
    <x v="10"/>
    <x v="71"/>
    <n v="3.21"/>
    <x v="1"/>
    <n v="15.399999999999999"/>
    <x v="2"/>
    <n v="1.62"/>
    <x v="0"/>
    <n v="0.34"/>
  </r>
  <r>
    <n v="1923"/>
    <x v="16"/>
    <x v="22"/>
    <x v="18"/>
    <x v="43"/>
    <x v="85"/>
    <n v="3.53"/>
    <x v="2"/>
    <n v="17.900000000000002"/>
    <x v="1"/>
    <n v="4.12"/>
    <x v="0"/>
    <n v="0.49"/>
  </r>
  <r>
    <n v="1924"/>
    <x v="28"/>
    <x v="24"/>
    <x v="31"/>
    <x v="8"/>
    <x v="33"/>
    <n v="3.29"/>
    <x v="2"/>
    <n v="16.100000000000001"/>
    <x v="2"/>
    <n v="3.58"/>
    <x v="0"/>
    <n v="0.56999999999999995"/>
  </r>
  <r>
    <n v="1925"/>
    <x v="25"/>
    <x v="5"/>
    <x v="43"/>
    <x v="40"/>
    <x v="61"/>
    <n v="2.73"/>
    <x v="0"/>
    <n v="14.100000000000001"/>
    <x v="0"/>
    <n v="2.25"/>
    <x v="0"/>
    <n v="0.44"/>
  </r>
  <r>
    <n v="1926"/>
    <x v="45"/>
    <x v="14"/>
    <x v="13"/>
    <x v="43"/>
    <x v="101"/>
    <n v="3.09"/>
    <x v="0"/>
    <n v="17.399999999999999"/>
    <x v="2"/>
    <n v="3.4"/>
    <x v="0"/>
    <n v="0.36"/>
  </r>
  <r>
    <n v="1927"/>
    <x v="45"/>
    <x v="18"/>
    <x v="11"/>
    <x v="7"/>
    <x v="72"/>
    <n v="2.99"/>
    <x v="0"/>
    <n v="15.499999999999998"/>
    <x v="0"/>
    <n v="2.94"/>
    <x v="0"/>
    <n v="0.41"/>
  </r>
  <r>
    <n v="1928"/>
    <x v="26"/>
    <x v="15"/>
    <x v="16"/>
    <x v="18"/>
    <x v="97"/>
    <n v="2.66"/>
    <x v="2"/>
    <n v="18.899999999999999"/>
    <x v="0"/>
    <n v="3.24"/>
    <x v="0"/>
    <n v="0.28999999999999998"/>
  </r>
  <r>
    <n v="1929"/>
    <x v="30"/>
    <x v="20"/>
    <x v="38"/>
    <x v="36"/>
    <x v="9"/>
    <n v="3.67"/>
    <x v="2"/>
    <n v="18.600000000000001"/>
    <x v="1"/>
    <n v="3.55"/>
    <x v="0"/>
    <n v="0.51"/>
  </r>
  <r>
    <n v="1930"/>
    <x v="6"/>
    <x v="33"/>
    <x v="40"/>
    <x v="44"/>
    <x v="52"/>
    <n v="3.2"/>
    <x v="0"/>
    <n v="14"/>
    <x v="2"/>
    <n v="3.12"/>
    <x v="0"/>
    <n v="0.56999999999999995"/>
  </r>
  <r>
    <n v="1931"/>
    <x v="4"/>
    <x v="6"/>
    <x v="35"/>
    <x v="28"/>
    <x v="66"/>
    <n v="3.28"/>
    <x v="2"/>
    <n v="18.8"/>
    <x v="2"/>
    <n v="4.3899999999999997"/>
    <x v="0"/>
    <n v="0.43"/>
  </r>
  <r>
    <n v="1932"/>
    <x v="44"/>
    <x v="9"/>
    <x v="35"/>
    <x v="0"/>
    <x v="90"/>
    <n v="3"/>
    <x v="2"/>
    <n v="18.8"/>
    <x v="2"/>
    <n v="2.66"/>
    <x v="0"/>
    <n v="0.41"/>
  </r>
  <r>
    <n v="1933"/>
    <x v="20"/>
    <x v="37"/>
    <x v="34"/>
    <x v="40"/>
    <x v="88"/>
    <n v="3.46"/>
    <x v="2"/>
    <n v="15.899999999999999"/>
    <x v="2"/>
    <n v="3.92"/>
    <x v="0"/>
    <n v="0.6"/>
  </r>
  <r>
    <n v="1934"/>
    <x v="32"/>
    <x v="37"/>
    <x v="14"/>
    <x v="24"/>
    <x v="12"/>
    <n v="3.69"/>
    <x v="2"/>
    <n v="14.600000000000001"/>
    <x v="1"/>
    <n v="3.85"/>
    <x v="0"/>
    <n v="0.64"/>
  </r>
  <r>
    <n v="1935"/>
    <x v="11"/>
    <x v="39"/>
    <x v="28"/>
    <x v="10"/>
    <x v="46"/>
    <n v="2.81"/>
    <x v="0"/>
    <n v="15.000000000000002"/>
    <x v="0"/>
    <n v="2.93"/>
    <x v="0"/>
    <n v="0.43"/>
  </r>
  <r>
    <n v="1936"/>
    <x v="30"/>
    <x v="10"/>
    <x v="48"/>
    <x v="11"/>
    <x v="9"/>
    <n v="3.28"/>
    <x v="2"/>
    <n v="16.2"/>
    <x v="2"/>
    <n v="3.73"/>
    <x v="0"/>
    <n v="0.59"/>
  </r>
  <r>
    <n v="1937"/>
    <x v="36"/>
    <x v="37"/>
    <x v="30"/>
    <x v="14"/>
    <x v="50"/>
    <n v="2.75"/>
    <x v="0"/>
    <n v="14.399999999999999"/>
    <x v="0"/>
    <n v="3.06"/>
    <x v="0"/>
    <n v="0.51"/>
  </r>
  <r>
    <n v="1938"/>
    <x v="50"/>
    <x v="6"/>
    <x v="21"/>
    <x v="44"/>
    <x v="28"/>
    <n v="2.93"/>
    <x v="0"/>
    <n v="16.400000000000002"/>
    <x v="0"/>
    <n v="3.3"/>
    <x v="0"/>
    <n v="0.46"/>
  </r>
  <r>
    <n v="1939"/>
    <x v="17"/>
    <x v="19"/>
    <x v="46"/>
    <x v="53"/>
    <x v="104"/>
    <n v="3.06"/>
    <x v="2"/>
    <n v="18.100000000000001"/>
    <x v="2"/>
    <n v="4.47"/>
    <x v="0"/>
    <n v="0.42"/>
  </r>
  <r>
    <n v="1940"/>
    <x v="4"/>
    <x v="20"/>
    <x v="22"/>
    <x v="4"/>
    <x v="75"/>
    <n v="3.52"/>
    <x v="2"/>
    <n v="15.6"/>
    <x v="1"/>
    <n v="2.82"/>
    <x v="0"/>
    <n v="0.52"/>
  </r>
  <r>
    <n v="1941"/>
    <x v="0"/>
    <x v="24"/>
    <x v="19"/>
    <x v="7"/>
    <x v="17"/>
    <n v="2.99"/>
    <x v="0"/>
    <n v="15.8"/>
    <x v="0"/>
    <n v="2.2999999999999998"/>
    <x v="0"/>
    <n v="0.44"/>
  </r>
  <r>
    <n v="1942"/>
    <x v="27"/>
    <x v="28"/>
    <x v="16"/>
    <x v="46"/>
    <x v="76"/>
    <n v="3.19"/>
    <x v="2"/>
    <n v="18.899999999999999"/>
    <x v="2"/>
    <n v="2.89"/>
    <x v="0"/>
    <n v="0.43"/>
  </r>
  <r>
    <n v="1943"/>
    <x v="22"/>
    <x v="26"/>
    <x v="26"/>
    <x v="33"/>
    <x v="9"/>
    <n v="2.79"/>
    <x v="0"/>
    <n v="15.400000000000002"/>
    <x v="0"/>
    <n v="1.98"/>
    <x v="0"/>
    <n v="0.4"/>
  </r>
  <r>
    <n v="1944"/>
    <x v="17"/>
    <x v="5"/>
    <x v="4"/>
    <x v="31"/>
    <x v="13"/>
    <n v="3"/>
    <x v="0"/>
    <n v="17.5"/>
    <x v="2"/>
    <n v="3.59"/>
    <x v="0"/>
    <n v="0.43"/>
  </r>
  <r>
    <n v="1945"/>
    <x v="35"/>
    <x v="40"/>
    <x v="15"/>
    <x v="43"/>
    <x v="26"/>
    <n v="2.89"/>
    <x v="1"/>
    <n v="15.1"/>
    <x v="0"/>
    <n v="3.39"/>
    <x v="0"/>
    <n v="0.38"/>
  </r>
  <r>
    <n v="1946"/>
    <x v="24"/>
    <x v="17"/>
    <x v="6"/>
    <x v="30"/>
    <x v="34"/>
    <n v="3.43"/>
    <x v="2"/>
    <n v="18.400000000000002"/>
    <x v="2"/>
    <n v="3.7"/>
    <x v="0"/>
    <n v="0.54"/>
  </r>
  <r>
    <n v="1947"/>
    <x v="30"/>
    <x v="34"/>
    <x v="34"/>
    <x v="43"/>
    <x v="36"/>
    <n v="3.25"/>
    <x v="2"/>
    <n v="15.899999999999999"/>
    <x v="2"/>
    <n v="3.78"/>
    <x v="0"/>
    <n v="0.6"/>
  </r>
  <r>
    <n v="1948"/>
    <x v="7"/>
    <x v="20"/>
    <x v="8"/>
    <x v="44"/>
    <x v="15"/>
    <n v="3.28"/>
    <x v="2"/>
    <n v="14.200000000000001"/>
    <x v="2"/>
    <n v="3.35"/>
    <x v="0"/>
    <n v="0.59"/>
  </r>
  <r>
    <n v="1949"/>
    <x v="2"/>
    <x v="9"/>
    <x v="11"/>
    <x v="59"/>
    <x v="61"/>
    <n v="2.64"/>
    <x v="1"/>
    <n v="15.5"/>
    <x v="0"/>
    <n v="1.31"/>
    <x v="1"/>
    <n v="0.33"/>
  </r>
  <r>
    <n v="1950"/>
    <x v="17"/>
    <x v="17"/>
    <x v="41"/>
    <x v="56"/>
    <x v="60"/>
    <n v="2.98"/>
    <x v="0"/>
    <n v="14.700000000000001"/>
    <x v="0"/>
    <n v="2.73"/>
    <x v="0"/>
    <n v="0.52"/>
  </r>
  <r>
    <n v="1951"/>
    <x v="21"/>
    <x v="32"/>
    <x v="15"/>
    <x v="22"/>
    <x v="52"/>
    <n v="3.24"/>
    <x v="2"/>
    <n v="15.100000000000001"/>
    <x v="2"/>
    <n v="3.52"/>
    <x v="0"/>
    <n v="0.6"/>
  </r>
  <r>
    <n v="1952"/>
    <x v="9"/>
    <x v="22"/>
    <x v="49"/>
    <x v="31"/>
    <x v="72"/>
    <n v="3.31"/>
    <x v="0"/>
    <n v="16.600000000000001"/>
    <x v="2"/>
    <n v="3.27"/>
    <x v="0"/>
    <n v="0.46"/>
  </r>
  <r>
    <n v="1953"/>
    <x v="45"/>
    <x v="2"/>
    <x v="24"/>
    <x v="59"/>
    <x v="37"/>
    <n v="2.73"/>
    <x v="2"/>
    <n v="18.2"/>
    <x v="0"/>
    <n v="1.3"/>
    <x v="1"/>
    <n v="0.35"/>
  </r>
  <r>
    <n v="1954"/>
    <x v="8"/>
    <x v="37"/>
    <x v="39"/>
    <x v="28"/>
    <x v="41"/>
    <n v="2.95"/>
    <x v="1"/>
    <n v="14.3"/>
    <x v="0"/>
    <n v="3.33"/>
    <x v="0"/>
    <n v="0.36"/>
  </r>
  <r>
    <n v="1955"/>
    <x v="31"/>
    <x v="14"/>
    <x v="14"/>
    <x v="53"/>
    <x v="6"/>
    <n v="3.42"/>
    <x v="0"/>
    <n v="14.600000000000001"/>
    <x v="2"/>
    <n v="3.25"/>
    <x v="0"/>
    <n v="0.54"/>
  </r>
  <r>
    <n v="1956"/>
    <x v="29"/>
    <x v="0"/>
    <x v="9"/>
    <x v="28"/>
    <x v="65"/>
    <n v="3.48"/>
    <x v="2"/>
    <n v="14.900000000000002"/>
    <x v="2"/>
    <n v="3.42"/>
    <x v="0"/>
    <n v="0.56000000000000005"/>
  </r>
  <r>
    <n v="1957"/>
    <x v="36"/>
    <x v="37"/>
    <x v="13"/>
    <x v="56"/>
    <x v="42"/>
    <n v="2.88"/>
    <x v="0"/>
    <n v="17.399999999999999"/>
    <x v="0"/>
    <n v="2.67"/>
    <x v="0"/>
    <n v="0.43"/>
  </r>
  <r>
    <n v="1958"/>
    <x v="24"/>
    <x v="31"/>
    <x v="30"/>
    <x v="15"/>
    <x v="15"/>
    <n v="3.09"/>
    <x v="2"/>
    <n v="14.4"/>
    <x v="2"/>
    <n v="4.2699999999999996"/>
    <x v="0"/>
    <n v="0.69"/>
  </r>
  <r>
    <n v="1959"/>
    <x v="4"/>
    <x v="10"/>
    <x v="12"/>
    <x v="10"/>
    <x v="37"/>
    <n v="2.86"/>
    <x v="2"/>
    <n v="17.2"/>
    <x v="0"/>
    <n v="2.56"/>
    <x v="0"/>
    <n v="0.47"/>
  </r>
  <r>
    <n v="1960"/>
    <x v="20"/>
    <x v="10"/>
    <x v="42"/>
    <x v="17"/>
    <x v="64"/>
    <n v="3.19"/>
    <x v="2"/>
    <n v="18.5"/>
    <x v="2"/>
    <n v="3.78"/>
    <x v="0"/>
    <n v="0.52"/>
  </r>
  <r>
    <n v="1961"/>
    <x v="19"/>
    <x v="31"/>
    <x v="34"/>
    <x v="24"/>
    <x v="26"/>
    <n v="3.02"/>
    <x v="0"/>
    <n v="15.9"/>
    <x v="2"/>
    <n v="3.85"/>
    <x v="0"/>
    <n v="0.45"/>
  </r>
  <r>
    <n v="1962"/>
    <x v="18"/>
    <x v="33"/>
    <x v="49"/>
    <x v="48"/>
    <x v="89"/>
    <n v="2.99"/>
    <x v="0"/>
    <n v="16.600000000000001"/>
    <x v="0"/>
    <n v="2.5"/>
    <x v="0"/>
    <n v="0.4"/>
  </r>
  <r>
    <n v="1963"/>
    <x v="33"/>
    <x v="29"/>
    <x v="35"/>
    <x v="41"/>
    <x v="47"/>
    <n v="3.59"/>
    <x v="2"/>
    <n v="18.8"/>
    <x v="1"/>
    <n v="3.48"/>
    <x v="0"/>
    <n v="0.5"/>
  </r>
  <r>
    <n v="1964"/>
    <x v="30"/>
    <x v="22"/>
    <x v="17"/>
    <x v="22"/>
    <x v="12"/>
    <n v="3.24"/>
    <x v="2"/>
    <n v="14.5"/>
    <x v="2"/>
    <n v="4"/>
    <x v="0"/>
    <n v="0.66"/>
  </r>
  <r>
    <n v="1965"/>
    <x v="24"/>
    <x v="8"/>
    <x v="8"/>
    <x v="39"/>
    <x v="1"/>
    <n v="3.54"/>
    <x v="2"/>
    <n v="14.2"/>
    <x v="1"/>
    <n v="4.3899999999999997"/>
    <x v="0"/>
    <n v="0.7"/>
  </r>
  <r>
    <n v="1966"/>
    <x v="36"/>
    <x v="22"/>
    <x v="11"/>
    <x v="27"/>
    <x v="72"/>
    <n v="3.48"/>
    <x v="0"/>
    <n v="15.5"/>
    <x v="2"/>
    <n v="3.36"/>
    <x v="0"/>
    <n v="0.48"/>
  </r>
  <r>
    <n v="1967"/>
    <x v="44"/>
    <x v="19"/>
    <x v="8"/>
    <x v="39"/>
    <x v="7"/>
    <n v="3.04"/>
    <x v="0"/>
    <n v="14.2"/>
    <x v="2"/>
    <n v="3.58"/>
    <x v="0"/>
    <n v="0.55000000000000004"/>
  </r>
  <r>
    <n v="1968"/>
    <x v="19"/>
    <x v="22"/>
    <x v="36"/>
    <x v="21"/>
    <x v="37"/>
    <n v="2.92"/>
    <x v="0"/>
    <n v="16.5"/>
    <x v="0"/>
    <n v="2.65"/>
    <x v="0"/>
    <n v="0.43"/>
  </r>
  <r>
    <n v="1969"/>
    <x v="15"/>
    <x v="32"/>
    <x v="38"/>
    <x v="1"/>
    <x v="61"/>
    <n v="3.38"/>
    <x v="2"/>
    <n v="18.599999999999998"/>
    <x v="2"/>
    <n v="2.75"/>
    <x v="0"/>
    <n v="0.46"/>
  </r>
  <r>
    <n v="1970"/>
    <x v="45"/>
    <x v="13"/>
    <x v="12"/>
    <x v="21"/>
    <x v="49"/>
    <n v="2.84"/>
    <x v="0"/>
    <n v="17.2"/>
    <x v="0"/>
    <n v="1.97"/>
    <x v="0"/>
    <n v="0.37"/>
  </r>
  <r>
    <n v="1971"/>
    <x v="41"/>
    <x v="32"/>
    <x v="10"/>
    <x v="1"/>
    <x v="44"/>
    <n v="2.81"/>
    <x v="2"/>
    <n v="18.3"/>
    <x v="0"/>
    <n v="1.73"/>
    <x v="0"/>
    <n v="0.31"/>
  </r>
  <r>
    <n v="1972"/>
    <x v="36"/>
    <x v="26"/>
    <x v="21"/>
    <x v="20"/>
    <x v="65"/>
    <n v="3.29"/>
    <x v="0"/>
    <n v="16.400000000000002"/>
    <x v="2"/>
    <n v="2.2599999999999998"/>
    <x v="0"/>
    <n v="0.45"/>
  </r>
  <r>
    <n v="1973"/>
    <x v="31"/>
    <x v="27"/>
    <x v="42"/>
    <x v="36"/>
    <x v="47"/>
    <n v="3.03"/>
    <x v="2"/>
    <n v="18.5"/>
    <x v="2"/>
    <n v="2.39"/>
    <x v="0"/>
    <n v="0.43"/>
  </r>
  <r>
    <n v="1974"/>
    <x v="13"/>
    <x v="24"/>
    <x v="42"/>
    <x v="23"/>
    <x v="6"/>
    <n v="3.31"/>
    <x v="2"/>
    <n v="18.5"/>
    <x v="2"/>
    <n v="3.1"/>
    <x v="0"/>
    <n v="0.48"/>
  </r>
  <r>
    <n v="1975"/>
    <x v="33"/>
    <x v="7"/>
    <x v="8"/>
    <x v="43"/>
    <x v="10"/>
    <n v="3.32"/>
    <x v="2"/>
    <n v="14.2"/>
    <x v="2"/>
    <n v="4.16"/>
    <x v="0"/>
    <n v="0.66"/>
  </r>
  <r>
    <n v="1976"/>
    <x v="6"/>
    <x v="21"/>
    <x v="12"/>
    <x v="32"/>
    <x v="89"/>
    <n v="3.42"/>
    <x v="0"/>
    <n v="17.2"/>
    <x v="2"/>
    <n v="3"/>
    <x v="0"/>
    <n v="0.47"/>
  </r>
  <r>
    <n v="1977"/>
    <x v="50"/>
    <x v="35"/>
    <x v="40"/>
    <x v="29"/>
    <x v="36"/>
    <n v="3.14"/>
    <x v="0"/>
    <n v="14"/>
    <x v="2"/>
    <n v="2.67"/>
    <x v="0"/>
    <n v="0.54"/>
  </r>
  <r>
    <n v="1978"/>
    <x v="28"/>
    <x v="34"/>
    <x v="15"/>
    <x v="11"/>
    <x v="39"/>
    <n v="3.1"/>
    <x v="2"/>
    <n v="15.1"/>
    <x v="2"/>
    <n v="3.67"/>
    <x v="0"/>
    <n v="0.6"/>
  </r>
  <r>
    <n v="1979"/>
    <x v="45"/>
    <x v="23"/>
    <x v="17"/>
    <x v="24"/>
    <x v="29"/>
    <n v="2.97"/>
    <x v="0"/>
    <n v="14.5"/>
    <x v="0"/>
    <n v="2.21"/>
    <x v="0"/>
    <n v="0.43"/>
  </r>
  <r>
    <n v="1980"/>
    <x v="27"/>
    <x v="9"/>
    <x v="5"/>
    <x v="9"/>
    <x v="34"/>
    <n v="3.43"/>
    <x v="2"/>
    <n v="18.7"/>
    <x v="2"/>
    <n v="2.54"/>
    <x v="0"/>
    <n v="0.44"/>
  </r>
  <r>
    <n v="1981"/>
    <x v="50"/>
    <x v="12"/>
    <x v="36"/>
    <x v="7"/>
    <x v="63"/>
    <n v="3.02"/>
    <x v="0"/>
    <n v="16.5"/>
    <x v="2"/>
    <n v="2.27"/>
    <x v="0"/>
    <n v="0.45"/>
  </r>
  <r>
    <n v="1982"/>
    <x v="35"/>
    <x v="40"/>
    <x v="43"/>
    <x v="24"/>
    <x v="4"/>
    <n v="2.71"/>
    <x v="1"/>
    <n v="14.1"/>
    <x v="0"/>
    <n v="3.11"/>
    <x v="0"/>
    <n v="0.41"/>
  </r>
  <r>
    <n v="1983"/>
    <x v="45"/>
    <x v="21"/>
    <x v="34"/>
    <x v="24"/>
    <x v="28"/>
    <n v="3.07"/>
    <x v="0"/>
    <n v="15.899999999999999"/>
    <x v="2"/>
    <n v="2.75"/>
    <x v="0"/>
    <n v="0.4"/>
  </r>
  <r>
    <n v="1984"/>
    <x v="25"/>
    <x v="28"/>
    <x v="39"/>
    <x v="55"/>
    <x v="20"/>
    <n v="3.06"/>
    <x v="0"/>
    <n v="14.3"/>
    <x v="2"/>
    <n v="2.41"/>
    <x v="0"/>
    <n v="0.43"/>
  </r>
  <r>
    <n v="1985"/>
    <x v="40"/>
    <x v="11"/>
    <x v="20"/>
    <x v="30"/>
    <x v="50"/>
    <n v="3.23"/>
    <x v="2"/>
    <n v="16.900000000000002"/>
    <x v="2"/>
    <n v="3.4"/>
    <x v="0"/>
    <n v="0.5"/>
  </r>
  <r>
    <n v="1986"/>
    <x v="6"/>
    <x v="17"/>
    <x v="15"/>
    <x v="36"/>
    <x v="38"/>
    <n v="2.93"/>
    <x v="0"/>
    <n v="15.100000000000001"/>
    <x v="0"/>
    <n v="3.34"/>
    <x v="0"/>
    <n v="0.53"/>
  </r>
  <r>
    <n v="1987"/>
    <x v="18"/>
    <x v="23"/>
    <x v="42"/>
    <x v="55"/>
    <x v="61"/>
    <n v="2.9"/>
    <x v="2"/>
    <n v="18.5"/>
    <x v="0"/>
    <n v="1.51"/>
    <x v="0"/>
    <n v="0.36"/>
  </r>
  <r>
    <n v="1988"/>
    <x v="30"/>
    <x v="24"/>
    <x v="33"/>
    <x v="7"/>
    <x v="67"/>
    <n v="3.86"/>
    <x v="2"/>
    <n v="17.600000000000001"/>
    <x v="1"/>
    <n v="3.51"/>
    <x v="0"/>
    <n v="0.54"/>
  </r>
  <r>
    <n v="1989"/>
    <x v="34"/>
    <x v="29"/>
    <x v="11"/>
    <x v="47"/>
    <x v="19"/>
    <n v="3.28"/>
    <x v="0"/>
    <n v="15.5"/>
    <x v="2"/>
    <n v="2.66"/>
    <x v="0"/>
    <n v="0.47"/>
  </r>
  <r>
    <n v="1990"/>
    <x v="49"/>
    <x v="33"/>
    <x v="49"/>
    <x v="49"/>
    <x v="38"/>
    <n v="2.85"/>
    <x v="0"/>
    <n v="16.599999999999998"/>
    <x v="0"/>
    <n v="2.84"/>
    <x v="0"/>
    <n v="0.42"/>
  </r>
  <r>
    <n v="1991"/>
    <x v="15"/>
    <x v="0"/>
    <x v="2"/>
    <x v="4"/>
    <x v="10"/>
    <n v="3.26"/>
    <x v="2"/>
    <n v="14.799999999999997"/>
    <x v="2"/>
    <n v="3.58"/>
    <x v="0"/>
    <n v="0.57999999999999996"/>
  </r>
  <r>
    <n v="1992"/>
    <x v="45"/>
    <x v="24"/>
    <x v="16"/>
    <x v="37"/>
    <x v="48"/>
    <n v="3.21"/>
    <x v="2"/>
    <n v="18.899999999999999"/>
    <x v="2"/>
    <n v="2.96"/>
    <x v="0"/>
    <n v="0.33"/>
  </r>
  <r>
    <n v="1993"/>
    <x v="50"/>
    <x v="3"/>
    <x v="43"/>
    <x v="50"/>
    <x v="18"/>
    <n v="3.04"/>
    <x v="0"/>
    <n v="14.1"/>
    <x v="2"/>
    <n v="3.05"/>
    <x v="0"/>
    <n v="0.53"/>
  </r>
  <r>
    <n v="1994"/>
    <x v="19"/>
    <x v="29"/>
    <x v="28"/>
    <x v="37"/>
    <x v="63"/>
    <n v="2.85"/>
    <x v="0"/>
    <n v="15"/>
    <x v="0"/>
    <n v="2.4"/>
    <x v="0"/>
    <n v="0.47"/>
  </r>
  <r>
    <n v="1995"/>
    <x v="31"/>
    <x v="23"/>
    <x v="28"/>
    <x v="19"/>
    <x v="74"/>
    <n v="3.08"/>
    <x v="0"/>
    <n v="15"/>
    <x v="2"/>
    <n v="3.07"/>
    <x v="0"/>
    <n v="0.53"/>
  </r>
  <r>
    <n v="1996"/>
    <x v="3"/>
    <x v="39"/>
    <x v="49"/>
    <x v="11"/>
    <x v="78"/>
    <n v="3.32"/>
    <x v="0"/>
    <n v="16.600000000000001"/>
    <x v="2"/>
    <n v="3.59"/>
    <x v="0"/>
    <n v="0.39"/>
  </r>
  <r>
    <n v="1997"/>
    <x v="45"/>
    <x v="27"/>
    <x v="45"/>
    <x v="18"/>
    <x v="2"/>
    <n v="2.65"/>
    <x v="0"/>
    <n v="15.2"/>
    <x v="0"/>
    <n v="2.1"/>
    <x v="0"/>
    <n v="0.41"/>
  </r>
  <r>
    <n v="1998"/>
    <x v="25"/>
    <x v="38"/>
    <x v="47"/>
    <x v="44"/>
    <x v="114"/>
    <n v="3.14"/>
    <x v="0"/>
    <n v="17.8"/>
    <x v="2"/>
    <n v="5.05"/>
    <x v="0"/>
    <n v="0.35"/>
  </r>
  <r>
    <n v="1999"/>
    <x v="4"/>
    <x v="5"/>
    <x v="21"/>
    <x v="38"/>
    <x v="80"/>
    <n v="3.04"/>
    <x v="2"/>
    <n v="16.399999999999999"/>
    <x v="2"/>
    <n v="3.05"/>
    <x v="0"/>
    <n v="0.49"/>
  </r>
  <r>
    <n v="2000"/>
    <x v="21"/>
    <x v="13"/>
    <x v="44"/>
    <x v="37"/>
    <x v="47"/>
    <n v="3.58"/>
    <x v="2"/>
    <n v="16.7"/>
    <x v="1"/>
    <n v="3.28"/>
    <x v="0"/>
    <n v="0.5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C64441-8DA9-44F7-8B4B-8835FB8BD2DF}" name="Kpi 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A11" firstHeaderRow="1" firstDataRow="1" firstDataCol="0"/>
  <pivotFields count="13">
    <pivotField dataField="1" showAll="0"/>
    <pivotField showAll="0"/>
    <pivotField showAll="0"/>
    <pivotField showAll="0"/>
    <pivotField showAll="0"/>
    <pivotField showAll="0"/>
    <pivotField showAll="0"/>
    <pivotField showAll="0">
      <items count="4">
        <item x="2"/>
        <item x="1"/>
        <item x="0"/>
        <item t="default"/>
      </items>
    </pivotField>
    <pivotField showAll="0"/>
    <pivotField showAll="0">
      <items count="5">
        <item x="2"/>
        <item x="0"/>
        <item x="3"/>
        <item x="1"/>
        <item t="default"/>
      </items>
    </pivotField>
    <pivotField showAll="0"/>
    <pivotField showAll="0">
      <items count="3">
        <item x="1"/>
        <item x="0"/>
        <item t="default"/>
      </items>
    </pivotField>
    <pivotField numFmtId="2" showAll="0"/>
  </pivotFields>
  <rowItems count="1">
    <i/>
  </rowItems>
  <colItems count="1">
    <i/>
  </colItems>
  <dataFields count="1">
    <dataField name="number of student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34ADE2-36AD-44C3-9DA6-187A54AA8056}" name="average gpa of sleep hour"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I16:J21" firstHeaderRow="1" firstDataRow="1" firstDataCol="1"/>
  <pivotFields count="13">
    <pivotField compact="0" outline="0" showAll="0"/>
    <pivotField compact="0" outline="0" showAll="0"/>
    <pivotField compact="0" outline="0" showAll="0"/>
    <pivotField axis="axisRow" compact="0" outline="0" showAll="0">
      <items count="8">
        <item x="0"/>
        <item x="1"/>
        <item x="2"/>
        <item x="3"/>
        <item x="4"/>
        <item x="5"/>
        <item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numFmtId="9" outline="0" showAll="0"/>
  </pivotFields>
  <rowFields count="1">
    <field x="3"/>
  </rowFields>
  <rowItems count="5">
    <i>
      <x v="1"/>
    </i>
    <i>
      <x v="2"/>
    </i>
    <i>
      <x v="3"/>
    </i>
    <i>
      <x v="4"/>
    </i>
    <i>
      <x v="5"/>
    </i>
  </rowItems>
  <colItems count="1">
    <i/>
  </colItems>
  <dataFields count="1">
    <dataField name="Average of GPA" fld="6" subtotal="average" baseField="1"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571CCE-05A0-46DB-A756-EC063E8B7155}"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M7:AN13" firstHeaderRow="1" firstDataRow="1" firstDataCol="1"/>
  <pivotFields count="13">
    <pivotField compact="0" outline="0" showAll="0"/>
    <pivotField compact="0" outline="0" showAll="0"/>
    <pivotField compact="0" outline="0" showAll="0"/>
    <pivotField compact="0" outline="0" showAll="0"/>
    <pivotField axis="axisRow" compact="0" outline="0" showAll="0">
      <items count="9">
        <item x="0"/>
        <item x="1"/>
        <item x="2"/>
        <item x="3"/>
        <item x="4"/>
        <item x="5"/>
        <item x="6"/>
        <item x="7"/>
        <item t="default"/>
      </items>
    </pivotField>
    <pivotField compact="0" outline="0" showAll="0"/>
    <pivotField dataField="1" compact="0" outline="0" showAll="0"/>
    <pivotField compact="0" outline="0" showAll="0">
      <items count="4">
        <item x="2"/>
        <item x="1"/>
        <item x="0"/>
        <item t="default"/>
      </items>
    </pivotField>
    <pivotField compact="0" outline="0" showAll="0"/>
    <pivotField compact="0" outline="0" showAll="0">
      <items count="5">
        <item x="2"/>
        <item x="0"/>
        <item x="3"/>
        <item x="1"/>
        <item t="default"/>
      </items>
    </pivotField>
    <pivotField compact="0" outline="0" showAll="0"/>
    <pivotField compact="0" outline="0" showAll="0">
      <items count="3">
        <item x="1"/>
        <item x="0"/>
        <item t="default"/>
      </items>
    </pivotField>
    <pivotField compact="0" numFmtId="9" outline="0" showAll="0"/>
  </pivotFields>
  <rowFields count="1">
    <field x="4"/>
  </rowFields>
  <rowItems count="6">
    <i>
      <x v="1"/>
    </i>
    <i>
      <x v="2"/>
    </i>
    <i>
      <x v="3"/>
    </i>
    <i>
      <x v="4"/>
    </i>
    <i>
      <x v="5"/>
    </i>
    <i>
      <x v="6"/>
    </i>
  </rowItems>
  <colItems count="1">
    <i/>
  </colItems>
  <dataFields count="1">
    <dataField name="Average of GPA" fld="6" subtotal="average" baseField="1"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D8B015-FC0A-4494-AF4C-D5D5AB64E9B4}" name="Physical activity and gpa"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V7:X14" firstHeaderRow="0" firstDataRow="1" firstDataCol="1"/>
  <pivotFields count="13">
    <pivotField compact="0" outline="0" showAll="0"/>
    <pivotField compact="0" outline="0" showAll="0"/>
    <pivotField compact="0" outline="0" showAll="0"/>
    <pivotField compact="0" outline="0" showAll="0"/>
    <pivotField compact="0" outline="0" showAll="0"/>
    <pivotField axis="axisRow" compact="0" outline="0" showAll="0">
      <items count="9">
        <item x="0"/>
        <item x="1"/>
        <item x="2"/>
        <item x="3"/>
        <item x="4"/>
        <item x="5"/>
        <item x="6"/>
        <item x="7"/>
        <item t="default"/>
      </items>
    </pivotField>
    <pivotField dataField="1" compact="0" outline="0" showAll="0"/>
    <pivotField compact="0" outline="0" showAll="0">
      <items count="4">
        <item x="2"/>
        <item x="1"/>
        <item x="0"/>
        <item t="default"/>
      </items>
    </pivotField>
    <pivotField compact="0" outline="0" showAll="0"/>
    <pivotField compact="0" outline="0" showAll="0">
      <items count="5">
        <item x="2"/>
        <item x="0"/>
        <item x="3"/>
        <item x="1"/>
        <item t="default"/>
      </items>
    </pivotField>
    <pivotField compact="0" outline="0" showAll="0"/>
    <pivotField compact="0" outline="0" showAll="0">
      <items count="3">
        <item x="1"/>
        <item x="0"/>
        <item t="default"/>
      </items>
    </pivotField>
    <pivotField compact="0" numFmtId="9" outline="0" showAll="0"/>
  </pivotFields>
  <rowFields count="1">
    <field x="5"/>
  </rowFields>
  <rowItems count="7">
    <i>
      <x v="1"/>
    </i>
    <i>
      <x v="2"/>
    </i>
    <i>
      <x v="3"/>
    </i>
    <i>
      <x v="4"/>
    </i>
    <i>
      <x v="5"/>
    </i>
    <i>
      <x v="6"/>
    </i>
    <i>
      <x v="7"/>
    </i>
  </rowItems>
  <colFields count="1">
    <field x="-2"/>
  </colFields>
  <colItems count="2">
    <i>
      <x/>
    </i>
    <i i="1">
      <x v="1"/>
    </i>
  </colItems>
  <dataFields count="2">
    <dataField name="Average of GPA" fld="6" subtotal="average" baseField="1" baseItem="0" numFmtId="2"/>
    <dataField name="Number of Stds" fld="6" subtotal="count" baseField="5"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99426A-B9A4-494D-BAEE-C4FC68A12CE5}" name="Average gpa of social hour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I7:J13" firstHeaderRow="1" firstDataRow="1" firstDataCol="1"/>
  <pivotFields count="13">
    <pivotField compact="0" outline="0" showAll="0"/>
    <pivotField compact="0" outline="0" showAll="0"/>
    <pivotField compact="0" outline="0" showAll="0"/>
    <pivotField compact="0" outline="0" showAll="0"/>
    <pivotField axis="axisRow" compact="0" outline="0" showAll="0">
      <items count="9">
        <item x="0"/>
        <item x="1"/>
        <item x="2"/>
        <item x="3"/>
        <item x="4"/>
        <item x="5"/>
        <item x="6"/>
        <item x="7"/>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numFmtId="9" outline="0" showAll="0"/>
  </pivotFields>
  <rowFields count="1">
    <field x="4"/>
  </rowFields>
  <rowItems count="6">
    <i>
      <x v="1"/>
    </i>
    <i>
      <x v="2"/>
    </i>
    <i>
      <x v="3"/>
    </i>
    <i>
      <x v="4"/>
    </i>
    <i>
      <x v="5"/>
    </i>
    <i>
      <x v="6"/>
    </i>
  </rowItems>
  <colItems count="1">
    <i/>
  </colItems>
  <dataFields count="1">
    <dataField name="Average of GPA" fld="6" subtotal="average" baseField="1"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9F55CF-D07D-4891-A41D-24DA03ABA310}"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6:A17" firstHeaderRow="1" firstDataRow="1" firstDataCol="0"/>
  <pivotFields count="13">
    <pivotField showAll="0"/>
    <pivotField dataField="1" showAll="0"/>
    <pivotField showAll="0"/>
    <pivotField showAll="0"/>
    <pivotField showAll="0"/>
    <pivotField showAll="0"/>
    <pivotField showAll="0"/>
    <pivotField showAll="0">
      <items count="4">
        <item x="2"/>
        <item x="1"/>
        <item x="0"/>
        <item t="default"/>
      </items>
    </pivotField>
    <pivotField showAll="0"/>
    <pivotField showAll="0">
      <items count="5">
        <item x="2"/>
        <item x="0"/>
        <item x="3"/>
        <item x="1"/>
        <item t="default"/>
      </items>
    </pivotField>
    <pivotField showAll="0"/>
    <pivotField showAll="0">
      <items count="3">
        <item x="1"/>
        <item x="0"/>
        <item t="default"/>
      </items>
    </pivotField>
    <pivotField numFmtId="2" showAll="0"/>
  </pivotFields>
  <rowItems count="1">
    <i/>
  </rowItems>
  <colItems count="1">
    <i/>
  </colItems>
  <dataFields count="1">
    <dataField name="Average of Study_Hours_Per_Day" fld="1" subtotal="average" baseField="0" baseItem="0" numFmtId="164"/>
  </dataFields>
  <formats count="2">
    <format dxfId="1">
      <pivotArea outline="0" fieldPosition="0">
        <references count="1">
          <reference field="4294967294" count="1">
            <x v="0"/>
          </reference>
        </references>
      </pivotArea>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6F225C8-C13B-4CF4-8C25-D8991F55FD42}"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A7:BF10" firstHeaderRow="0" firstDataRow="1" firstDataCol="1"/>
  <pivotFields count="13">
    <pivotField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outline="0" showAll="0"/>
    <pivotField axis="axisRow" compact="0" outline="0" showAll="0">
      <items count="4">
        <item x="2"/>
        <item x="0"/>
        <item x="1"/>
        <item t="default"/>
      </items>
    </pivotField>
    <pivotField compact="0" outline="0" showAll="0"/>
    <pivotField compact="0" outline="0" showAll="0"/>
    <pivotField compact="0" outline="0" showAll="0"/>
    <pivotField compact="0" outline="0" showAll="0"/>
    <pivotField compact="0" numFmtId="9" outline="0" showAll="0"/>
  </pivotFields>
  <rowFields count="1">
    <field x="7"/>
  </rowFields>
  <rowItems count="3">
    <i>
      <x/>
    </i>
    <i>
      <x v="1"/>
    </i>
    <i>
      <x v="2"/>
    </i>
  </rowItems>
  <colFields count="1">
    <field x="-2"/>
  </colFields>
  <colItems count="5">
    <i>
      <x/>
    </i>
    <i i="1">
      <x v="1"/>
    </i>
    <i i="2">
      <x v="2"/>
    </i>
    <i i="3">
      <x v="3"/>
    </i>
    <i i="4">
      <x v="4"/>
    </i>
  </colItems>
  <dataFields count="5">
    <dataField name="Average Study_Hours" fld="1" subtotal="average" baseField="7" baseItem="0" numFmtId="2"/>
    <dataField name="Average Extracurricular_Hours" fld="2" subtotal="average" baseField="7" baseItem="0" numFmtId="2"/>
    <dataField name="Average Sleep_Hours" fld="3" subtotal="average" baseField="7" baseItem="0" numFmtId="2"/>
    <dataField name="Average Social_Hour" fld="4" subtotal="average" baseField="7" baseItem="0" numFmtId="2"/>
    <dataField name="Average Physical_Activity_Hours" fld="5" subtotal="average" baseField="7"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5829206-18BC-4550-964A-2D62AB68FFD2}"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U8:AW13" firstHeaderRow="1" firstDataRow="2" firstDataCol="1"/>
  <pivotFields count="13">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2"/>
        <item x="1"/>
        <item x="0"/>
        <item t="default"/>
      </items>
    </pivotField>
    <pivotField compact="0" outline="0" showAll="0"/>
    <pivotField axis="axisRow" compact="0" outline="0" showAll="0">
      <items count="5">
        <item x="3"/>
        <item x="0"/>
        <item x="2"/>
        <item x="1"/>
        <item t="default"/>
      </items>
    </pivotField>
    <pivotField compact="0" outline="0" showAll="0"/>
    <pivotField axis="axisCol" compact="0" outline="0" showAll="0">
      <items count="3">
        <item x="1"/>
        <item x="0"/>
        <item t="default"/>
      </items>
    </pivotField>
    <pivotField compact="0" numFmtId="9" outline="0" showAll="0"/>
  </pivotFields>
  <rowFields count="1">
    <field x="9"/>
  </rowFields>
  <rowItems count="4">
    <i>
      <x/>
    </i>
    <i>
      <x v="1"/>
    </i>
    <i>
      <x v="2"/>
    </i>
    <i>
      <x v="3"/>
    </i>
  </rowItems>
  <colFields count="1">
    <field x="11"/>
  </colFields>
  <colItems count="2">
    <i>
      <x/>
    </i>
    <i>
      <x v="1"/>
    </i>
  </colItems>
  <dataFields count="1">
    <dataField name="Number of Students " fld="0" subtotal="count"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F71D7A6-1855-4D74-B242-02612B021466}" name="Stress profile of high pef std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B7:AD10" firstHeaderRow="0" firstDataRow="1" firstDataCol="1"/>
  <pivotFields count="13">
    <pivotField dataField="1"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Row" compact="0" outline="0" showAll="0" sortType="descending">
      <items count="4">
        <item x="2"/>
        <item x="1"/>
        <item x="0"/>
        <item t="default"/>
      </items>
      <autoSortScope>
        <pivotArea dataOnly="0" outline="0" fieldPosition="0">
          <references count="1">
            <reference field="4294967294" count="1" selected="0">
              <x v="1"/>
            </reference>
          </references>
        </pivotArea>
      </autoSortScope>
    </pivotField>
    <pivotField compact="0" outline="0" showAll="0"/>
    <pivotField compact="0" outline="0" showAll="0"/>
    <pivotField compact="0" outline="0" showAll="0"/>
    <pivotField compact="0" outline="0" showAll="0"/>
    <pivotField compact="0" numFmtId="9" outline="0" showAll="0"/>
  </pivotFields>
  <rowFields count="1">
    <field x="7"/>
  </rowFields>
  <rowItems count="3">
    <i>
      <x/>
    </i>
    <i>
      <x v="2"/>
    </i>
    <i>
      <x v="1"/>
    </i>
  </rowItems>
  <colFields count="1">
    <field x="-2"/>
  </colFields>
  <colItems count="2">
    <i>
      <x/>
    </i>
    <i i="1">
      <x v="1"/>
    </i>
  </colItems>
  <dataFields count="2">
    <dataField name="Average of GPA" fld="6" subtotal="average" baseField="7" baseItem="0" numFmtId="2"/>
    <dataField name="Number of Stds" fld="0" subtotal="count" baseField="7"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7B9C182-9271-446B-9FCF-188A41EE3254}" name="study hr/avg gpa/no of std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P7:R12" firstHeaderRow="0" firstDataRow="1" firstDataCol="1"/>
  <pivotFields count="13">
    <pivotField compact="0" outline="0" showAll="0"/>
    <pivotField axis="axisRow" compact="0" outline="0" showAll="0">
      <items count="8">
        <item x="0"/>
        <item x="1"/>
        <item x="2"/>
        <item x="3"/>
        <item x="4"/>
        <item x="5"/>
        <item x="6"/>
        <item t="default"/>
      </items>
    </pivotField>
    <pivotField compact="0" outline="0" showAll="0"/>
    <pivotField compact="0" outline="0" showAll="0"/>
    <pivotField compact="0" outline="0" showAll="0"/>
    <pivotField compact="0" outline="0" showAll="0"/>
    <pivotField dataField="1" compact="0" outline="0" showAll="0"/>
    <pivotField compact="0" outline="0" showAll="0">
      <items count="4">
        <item x="2"/>
        <item x="1"/>
        <item x="0"/>
        <item t="default"/>
      </items>
    </pivotField>
    <pivotField compact="0" outline="0" showAll="0"/>
    <pivotField compact="0" outline="0" showAll="0">
      <items count="5">
        <item x="2"/>
        <item x="0"/>
        <item x="3"/>
        <item x="1"/>
        <item t="default"/>
      </items>
    </pivotField>
    <pivotField compact="0" outline="0" showAll="0"/>
    <pivotField compact="0" outline="0" showAll="0">
      <items count="3">
        <item x="1"/>
        <item x="0"/>
        <item t="default"/>
      </items>
    </pivotField>
    <pivotField compact="0" numFmtId="9" outline="0" showAll="0"/>
  </pivotFields>
  <rowFields count="1">
    <field x="1"/>
  </rowFields>
  <rowItems count="5">
    <i>
      <x v="1"/>
    </i>
    <i>
      <x v="2"/>
    </i>
    <i>
      <x v="3"/>
    </i>
    <i>
      <x v="4"/>
    </i>
    <i>
      <x v="5"/>
    </i>
  </rowItems>
  <colFields count="1">
    <field x="-2"/>
  </colFields>
  <colItems count="2">
    <i>
      <x/>
    </i>
    <i i="1">
      <x v="1"/>
    </i>
  </colItems>
  <dataFields count="2">
    <dataField name="Average of GPA" fld="6" subtotal="average" baseField="1" baseItem="0" numFmtId="2"/>
    <dataField name="Number of Stds" fld="6" subtotal="count" baseField="1"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6DAC00B-E8E5-4533-BF65-A29E7CDACDE8}" name="average gpa of study hour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F7:G12" firstHeaderRow="1" firstDataRow="1" firstDataCol="1"/>
  <pivotFields count="13">
    <pivotField compact="0" outline="0" showAll="0"/>
    <pivotField axis="axisRow" compact="0" outline="0" showAll="0">
      <items count="8">
        <item x="0"/>
        <item x="1"/>
        <item x="2"/>
        <item x="3"/>
        <item x="4"/>
        <item x="5"/>
        <item x="6"/>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numFmtId="9" outline="0" showAll="0"/>
  </pivotFields>
  <rowFields count="1">
    <field x="1"/>
  </rowFields>
  <rowItems count="5">
    <i>
      <x v="1"/>
    </i>
    <i>
      <x v="2"/>
    </i>
    <i>
      <x v="3"/>
    </i>
    <i>
      <x v="4"/>
    </i>
    <i>
      <x v="5"/>
    </i>
  </rowItems>
  <colItems count="1">
    <i/>
  </colItems>
  <dataFields count="1">
    <dataField name="Average of GPA" fld="6" subtotal="average" baseField="1"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F6BE144-CE6B-49DF-B675-74255E5B1CD3}" name="PivotTable9"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3:B28" firstHeaderRow="1" firstDataRow="1" firstDataCol="1"/>
  <pivotFields count="13">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2"/>
        <item x="1"/>
        <item x="0"/>
        <item t="default"/>
      </items>
    </pivotField>
    <pivotField compact="0" outline="0" showAll="0"/>
    <pivotField axis="axisRow" dataField="1" compact="0" outline="0" multipleItemSelectionAllowed="1" showAll="0">
      <items count="5">
        <item x="2"/>
        <item x="0"/>
        <item x="3"/>
        <item x="1"/>
        <item t="default"/>
      </items>
    </pivotField>
    <pivotField compact="0" outline="0" showAll="0"/>
    <pivotField compact="0" outline="0" showAll="0">
      <items count="3">
        <item x="1"/>
        <item x="0"/>
        <item t="default"/>
      </items>
    </pivotField>
    <pivotField compact="0" numFmtId="2" outline="0" showAll="0"/>
  </pivotFields>
  <rowFields count="1">
    <field x="9"/>
  </rowFields>
  <rowItems count="5">
    <i>
      <x/>
    </i>
    <i>
      <x v="1"/>
    </i>
    <i>
      <x v="2"/>
    </i>
    <i>
      <x v="3"/>
    </i>
    <i t="grand">
      <x/>
    </i>
  </rowItems>
  <colItems count="1">
    <i/>
  </colItems>
  <dataFields count="1">
    <dataField name="Count of GPA Category" fld="9" subtotal="count" baseField="0" baseItem="0" numFmtId="1"/>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F9E5E4F-3D79-4A78-BE78-0538A8FE2A37}" name="PivotTable2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B14:AC17" firstHeaderRow="1" firstDataRow="1" firstDataCol="1" rowPageCount="1" colPageCount="1"/>
  <pivotFields count="13">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4">
        <item x="2"/>
        <item x="1"/>
        <item x="0"/>
        <item t="default"/>
      </items>
      <autoSortScope>
        <pivotArea dataOnly="0" outline="0" fieldPosition="0">
          <references count="1">
            <reference field="4294967294" count="1" selected="0">
              <x v="0"/>
            </reference>
          </references>
        </pivotArea>
      </autoSortScope>
    </pivotField>
    <pivotField compact="0" outline="0" showAll="0"/>
    <pivotField axis="axisPage" compact="0" outline="0" showAll="0">
      <items count="5">
        <item x="2"/>
        <item x="0"/>
        <item x="3"/>
        <item x="1"/>
        <item t="default"/>
      </items>
    </pivotField>
    <pivotField compact="0" outline="0" showAll="0"/>
    <pivotField compact="0" outline="0" showAll="0"/>
    <pivotField compact="0" numFmtId="9" outline="0" showAll="0"/>
  </pivotFields>
  <rowFields count="1">
    <field x="7"/>
  </rowFields>
  <rowItems count="3">
    <i>
      <x/>
    </i>
    <i>
      <x v="2"/>
    </i>
    <i>
      <x v="1"/>
    </i>
  </rowItems>
  <colItems count="1">
    <i/>
  </colItems>
  <pageFields count="1">
    <pageField fld="9" item="3" hier="-1"/>
  </pageFields>
  <dataFields count="1">
    <dataField name="High Performers" fld="0" subtotal="count" baseField="7"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3D6FED5-A9A8-4619-A524-F122F940B2D7}" name="average gpa of extraC."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F25:G30" firstHeaderRow="1" firstDataRow="1" firstDataCol="1"/>
  <pivotFields count="13">
    <pivotField compact="0" outline="0" showAll="0"/>
    <pivotField compact="0" outline="0" showAll="0"/>
    <pivotField axis="axisRow" compact="0" outline="0" showAll="0">
      <items count="8">
        <item x="0"/>
        <item x="1"/>
        <item x="2"/>
        <item x="3"/>
        <item x="4"/>
        <item x="5"/>
        <item x="6"/>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numFmtId="9" outline="0" showAll="0"/>
  </pivotFields>
  <rowFields count="1">
    <field x="2"/>
  </rowFields>
  <rowItems count="5">
    <i>
      <x v="1"/>
    </i>
    <i>
      <x v="2"/>
    </i>
    <i>
      <x v="3"/>
    </i>
    <i>
      <x v="4"/>
    </i>
    <i>
      <x v="5"/>
    </i>
  </rowItems>
  <colItems count="1">
    <i/>
  </colItems>
  <dataFields count="1">
    <dataField name="Average of GPA" fld="6" subtotal="average" baseField="1"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6D28E3D-E1B0-4C09-87FF-E25F560A4FC6}"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A21:BB24" firstHeaderRow="1" firstDataRow="1" firstDataCol="1"/>
  <pivotFields count="13">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4">
        <item x="2"/>
        <item x="0"/>
        <item x="1"/>
        <item t="default"/>
      </items>
    </pivotField>
    <pivotField compact="0" outline="0" showAll="0"/>
    <pivotField compact="0" outline="0" showAll="0">
      <items count="5">
        <item x="2"/>
        <item x="0"/>
        <item x="3"/>
        <item x="1"/>
        <item t="default"/>
      </items>
    </pivotField>
    <pivotField compact="0" outline="0" showAll="0"/>
    <pivotField compact="0" outline="0" showAll="0"/>
    <pivotField dataField="1" compact="0" numFmtId="9" outline="0" showAll="0"/>
  </pivotFields>
  <rowFields count="1">
    <field x="7"/>
  </rowFields>
  <rowItems count="3">
    <i>
      <x/>
    </i>
    <i>
      <x v="1"/>
    </i>
    <i>
      <x v="2"/>
    </i>
  </rowItems>
  <colItems count="1">
    <i/>
  </colItems>
  <dataFields count="1">
    <dataField name=" Study_Share_Pct" fld="12" subtotal="average" baseField="7"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E108DA7-5CD7-41B1-977C-FCE3A1068215}" name="Average gpa of physical activity"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F16:G23" firstHeaderRow="1" firstDataRow="1" firstDataCol="1"/>
  <pivotFields count="13">
    <pivotField compact="0" outline="0" showAll="0"/>
    <pivotField compact="0" outline="0" showAll="0"/>
    <pivotField compact="0" outline="0" showAll="0"/>
    <pivotField compact="0" outline="0" showAll="0"/>
    <pivotField compact="0" outline="0" showAll="0"/>
    <pivotField axis="axisRow" compact="0" outline="0" showAll="0">
      <items count="9">
        <item x="0"/>
        <item x="1"/>
        <item x="2"/>
        <item x="3"/>
        <item x="4"/>
        <item x="5"/>
        <item x="6"/>
        <item x="7"/>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 compact="0" numFmtId="9" outline="0" showAll="0"/>
  </pivotFields>
  <rowFields count="1">
    <field x="5"/>
  </rowFields>
  <rowItems count="7">
    <i>
      <x v="1"/>
    </i>
    <i>
      <x v="2"/>
    </i>
    <i>
      <x v="3"/>
    </i>
    <i>
      <x v="4"/>
    </i>
    <i>
      <x v="5"/>
    </i>
    <i>
      <x v="6"/>
    </i>
    <i>
      <x v="7"/>
    </i>
  </rowItems>
  <colItems count="1">
    <i/>
  </colItems>
  <dataFields count="1">
    <dataField name="Average of GPA" fld="6" subtotal="average" baseField="1"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8D1E8BE-104D-425C-8BA3-026F63ADE043}"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3:A14" firstHeaderRow="1" firstDataRow="1" firstDataCol="0"/>
  <pivotFields count="13">
    <pivotField showAll="0"/>
    <pivotField showAll="0"/>
    <pivotField showAll="0"/>
    <pivotField showAll="0"/>
    <pivotField showAll="0"/>
    <pivotField showAll="0"/>
    <pivotField dataField="1" showAll="0"/>
    <pivotField showAll="0">
      <items count="4">
        <item x="2"/>
        <item x="1"/>
        <item x="0"/>
        <item t="default"/>
      </items>
    </pivotField>
    <pivotField showAll="0"/>
    <pivotField showAll="0">
      <items count="5">
        <item x="2"/>
        <item x="0"/>
        <item x="3"/>
        <item x="1"/>
        <item t="default"/>
      </items>
    </pivotField>
    <pivotField showAll="0"/>
    <pivotField showAll="0">
      <items count="3">
        <item x="1"/>
        <item x="0"/>
        <item t="default"/>
      </items>
    </pivotField>
    <pivotField numFmtId="2" showAll="0"/>
  </pivotFields>
  <rowItems count="1">
    <i/>
  </rowItems>
  <colItems count="1">
    <i/>
  </colItems>
  <dataFields count="1">
    <dataField name="Average of GPA" fld="6" subtotal="average" baseField="0" baseItem="0" numFmtId="2"/>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41B35FD-EC7D-42C1-BE8B-05E2733E44F2}" autoFormatId="16" applyNumberFormats="0" applyBorderFormats="0" applyFontFormats="0" applyPatternFormats="0" applyAlignmentFormats="0" applyWidthHeightFormats="0">
  <queryTableRefresh nextId="9">
    <queryTableFields count="8">
      <queryTableField id="1" name="Student_ID" tableColumnId="1"/>
      <queryTableField id="2" name="Study_Hours_Per_Day" tableColumnId="2"/>
      <queryTableField id="3" name="Extracurricular_Hours_Per_Day" tableColumnId="3"/>
      <queryTableField id="4" name="Sleep_Hours_Per_Day" tableColumnId="4"/>
      <queryTableField id="5" name="Social_Hours_Per_Day" tableColumnId="5"/>
      <queryTableField id="6" name="Physical_Activity_Hours_Per_Day" tableColumnId="6"/>
      <queryTableField id="7" name="GPA" tableColumnId="7"/>
      <queryTableField id="8" name="Stress_Level"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510BB14C-011B-4290-897E-76D5CDD8622E}" autoFormatId="16" applyNumberFormats="0" applyBorderFormats="0" applyFontFormats="0" applyPatternFormats="0" applyAlignmentFormats="0" applyWidthHeightFormats="0">
  <queryTableRefresh nextId="17">
    <queryTableFields count="13">
      <queryTableField id="1" name="Student_ID" tableColumnId="1"/>
      <queryTableField id="2" name="Study_Hours_Per_Day" tableColumnId="2"/>
      <queryTableField id="3" name="Extracurricular_Hours_Per_Day" tableColumnId="3"/>
      <queryTableField id="4" name="Sleep_Hours_Per_Day" tableColumnId="4"/>
      <queryTableField id="5" name="Social_Hours_Per_Day" tableColumnId="5"/>
      <queryTableField id="6" name="Physical_Activity_Hours_Per_Day" tableColumnId="6"/>
      <queryTableField id="7" name="GPA" tableColumnId="7"/>
      <queryTableField id="8" name="Stress_Level" tableColumnId="8"/>
      <queryTableField id="9" name="Total Productive Hours" tableColumnId="9"/>
      <queryTableField id="11" name="GPA Category" tableColumnId="11"/>
      <queryTableField id="12" name="Activity_StdDev" tableColumnId="10"/>
      <queryTableField id="15" name="Balanced_Profile " tableColumnId="14"/>
      <queryTableField id="16" name="Study_Share_Pct"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PA_Category" xr10:uid="{F9ADB68F-CAAE-4FFE-A754-DF392AA8423B}" sourceName="GPA Category">
  <pivotTables>
    <pivotTable tabId="1" name="Kpi 1"/>
    <pivotTable tabId="1" name="Physical activity and gpa"/>
    <pivotTable tabId="1" name="PivotTable3"/>
    <pivotTable tabId="1" name="PivotTable4"/>
    <pivotTable tabId="1" name="PivotTable7"/>
    <pivotTable tabId="1" name="PivotTable8"/>
    <pivotTable tabId="1" name="study hr/avg gpa/no of stds"/>
  </pivotTables>
  <data>
    <tabular pivotCacheId="2112961326">
      <items count="4">
        <i x="2" s="1"/>
        <i x="0"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lanced_Profile" xr10:uid="{918D9E11-AC68-43AD-9D5B-9846490273A8}" sourceName="Balanced_Profile ">
  <pivotTables>
    <pivotTable tabId="1" name="Physical activity and gpa"/>
    <pivotTable tabId="1" name="Kpi 1"/>
    <pivotTable tabId="1" name="PivotTable3"/>
    <pivotTable tabId="1" name="PivotTable7"/>
    <pivotTable tabId="1" name="PivotTable8"/>
    <pivotTable tabId="1" name="PivotTable9"/>
    <pivotTable tabId="1" name="study hr/avg gpa/no of stds"/>
  </pivotTables>
  <data>
    <tabular pivotCacheId="2112961326">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ess_Level" xr10:uid="{96F2AB41-DAFE-4AB3-8E23-53B33D3B2206}" sourceName="Stress_Level">
  <pivotTables>
    <pivotTable tabId="1" name="PivotTable3"/>
    <pivotTable tabId="1" name="Kpi 1"/>
    <pivotTable tabId="1" name="Physical activity and gpa"/>
    <pivotTable tabId="1" name="PivotTable7"/>
    <pivotTable tabId="1" name="PivotTable8"/>
    <pivotTable tabId="1" name="PivotTable9"/>
    <pivotTable tabId="1" name="study hr/avg gpa/no of stds"/>
    <pivotTable tabId="1" name="PivotTable1"/>
  </pivotTables>
  <data>
    <tabular pivotCacheId="2112961326">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PA Category" xr10:uid="{A4C96144-51AE-402E-87E8-79EC1398AA3C}" cache="Slicer_GPA_Category" caption="GPA Category" showCaption="0" style="Stress_Level" rowHeight="365760"/>
  <slicer name="Balanced_Profile " xr10:uid="{B570B781-D438-4EF2-8DCD-1A654BF4F3D3}" cache="Slicer_Balanced_Profile" caption="Balanced_Profile " showCaption="0" style="Stress_Level" rowHeight="365760"/>
  <slicer name="Stress_Level" xr10:uid="{04FCFA70-BBD7-4634-9D33-60F946A8CD28}" cache="Slicer_Stress_Level" caption="Stress_Level" showCaption="0" style="Stress_Level" rowHeight="36576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D560D7-655C-4564-8F7D-211C752789EB}" name="student_lifestyle_dataset" displayName="student_lifestyle_dataset" ref="A1:H2001" tableType="queryTable" totalsRowShown="0">
  <autoFilter ref="A1:H2001" xr:uid="{50D560D7-655C-4564-8F7D-211C752789EB}"/>
  <tableColumns count="8">
    <tableColumn id="1" xr3:uid="{18A89D8D-660A-4F74-9B55-88CE77068BD9}" uniqueName="1" name="Student_ID" queryTableFieldId="1"/>
    <tableColumn id="2" xr3:uid="{AA88BDCB-FA75-4E5E-AA37-7F3F69ADB12E}" uniqueName="2" name="Study_Hours_Per_Day" queryTableFieldId="2"/>
    <tableColumn id="3" xr3:uid="{AA5AEDC2-9C70-4816-BE21-D0FF226A33FD}" uniqueName="3" name="Extracurricular_Hours_Per_Day" queryTableFieldId="3"/>
    <tableColumn id="4" xr3:uid="{CDA47983-AAE7-4C27-87A6-85CF4088EDF0}" uniqueName="4" name="Sleep_Hours_Per_Day" queryTableFieldId="4"/>
    <tableColumn id="5" xr3:uid="{588A8FB1-52C4-4B1F-BB37-21AD2797B73C}" uniqueName="5" name="Social_Hours_Per_Day" queryTableFieldId="5"/>
    <tableColumn id="6" xr3:uid="{E2C40DCF-B1A4-4D66-96AC-E7D5C49E07F1}" uniqueName="6" name="Physical_Activity_Hours_Per_Day" queryTableFieldId="6"/>
    <tableColumn id="7" xr3:uid="{1838ECE6-23EF-457E-A858-36B58C127F55}" uniqueName="7" name="GPA" queryTableFieldId="7"/>
    <tableColumn id="8" xr3:uid="{96431F29-2B1F-4D21-8C27-C711AD324EB7}" uniqueName="8" name="Stress_Level" queryTableFieldId="8" dataDxfId="6"/>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8B90B72-29B4-42DE-9FFC-DE71DA3B8305}" name="student_lifestyle_dataset__WORKING_COPY" displayName="student_lifestyle_dataset__WORKING_COPY" ref="A1:M2001" tableType="queryTable" totalsRowShown="0">
  <autoFilter ref="A1:M2001" xr:uid="{68B90B72-29B4-42DE-9FFC-DE71DA3B8305}"/>
  <tableColumns count="13">
    <tableColumn id="1" xr3:uid="{0422DB4E-64C3-46E7-9312-1C603B997929}" uniqueName="1" name="Student_ID" queryTableFieldId="1"/>
    <tableColumn id="2" xr3:uid="{2E6498AB-09BF-467C-9B38-7D2621664D41}" uniqueName="2" name="Study_Hours_Per_Day" queryTableFieldId="2"/>
    <tableColumn id="3" xr3:uid="{4E4608EB-527F-42EB-80D6-2AA005782DB1}" uniqueName="3" name="Extracurricular_Hours_Per_Day" queryTableFieldId="3"/>
    <tableColumn id="4" xr3:uid="{181EBAB3-3971-4774-9F3A-32485BDACCC0}" uniqueName="4" name="Sleep_Hours_Per_Day" queryTableFieldId="4"/>
    <tableColumn id="5" xr3:uid="{786F49C0-5F9D-4C18-B342-C8382B17F459}" uniqueName="5" name="Social_Hours_Per_Day" queryTableFieldId="5"/>
    <tableColumn id="6" xr3:uid="{39121233-4E90-4CB8-8FD3-72B957C78B8E}" uniqueName="6" name="Physical_Activity_Hours_Per_Day" queryTableFieldId="6"/>
    <tableColumn id="7" xr3:uid="{41406E58-67EB-4259-8696-8ADD17625746}" uniqueName="7" name="GPA" queryTableFieldId="7"/>
    <tableColumn id="8" xr3:uid="{09A00C22-6DBF-4A97-AA7F-4A9332186547}" uniqueName="8" name="Stress_Level" queryTableFieldId="8" dataDxfId="5"/>
    <tableColumn id="9" xr3:uid="{7FD1061B-C5CD-4605-9A26-5CB48CD2456E}" uniqueName="9" name="Total Productive Hours" queryTableFieldId="9"/>
    <tableColumn id="11" xr3:uid="{03E9CDA9-D97A-4413-B98B-34600399E7CE}" uniqueName="11" name="GPA Category" queryTableFieldId="11"/>
    <tableColumn id="10" xr3:uid="{A84EE550-E1CA-4991-937D-A46AA45ADCEE}" uniqueName="10" name="Activity_StdDev" queryTableFieldId="12"/>
    <tableColumn id="14" xr3:uid="{AB34838A-9736-4FD0-BFA2-449299996009}" uniqueName="14" name="Balanced_Profile " queryTableFieldId="15"/>
    <tableColumn id="12" xr3:uid="{35544B9F-B6C8-453E-B090-29AE00B6D862}" uniqueName="12" name="Study_Share_Pct" queryTableFieldId="16" dataDxfId="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A71DE-DAD8-4BBD-9241-F082A760BF73}">
  <dimension ref="A1:H2001"/>
  <sheetViews>
    <sheetView workbookViewId="0"/>
  </sheetViews>
  <sheetFormatPr defaultRowHeight="15" x14ac:dyDescent="0.25"/>
  <cols>
    <col min="1" max="1" width="13.140625" bestFit="1" customWidth="1"/>
    <col min="2" max="2" width="23" bestFit="1" customWidth="1"/>
    <col min="3" max="3" width="31" bestFit="1" customWidth="1"/>
    <col min="4" max="4" width="23" bestFit="1" customWidth="1"/>
    <col min="5" max="5" width="23.140625" bestFit="1" customWidth="1"/>
    <col min="6" max="6" width="33.28515625" bestFit="1" customWidth="1"/>
    <col min="7" max="7" width="7" bestFit="1" customWidth="1"/>
    <col min="8" max="8" width="14.28515625" bestFit="1" customWidth="1"/>
  </cols>
  <sheetData>
    <row r="1" spans="1:8" x14ac:dyDescent="0.25">
      <c r="A1" t="s">
        <v>0</v>
      </c>
      <c r="B1" t="s">
        <v>1</v>
      </c>
      <c r="C1" t="s">
        <v>2</v>
      </c>
      <c r="D1" t="s">
        <v>3</v>
      </c>
      <c r="E1" t="s">
        <v>4</v>
      </c>
      <c r="F1" t="s">
        <v>5</v>
      </c>
      <c r="G1" t="s">
        <v>6</v>
      </c>
      <c r="H1" t="s">
        <v>7</v>
      </c>
    </row>
    <row r="2" spans="1:8" x14ac:dyDescent="0.25">
      <c r="A2">
        <v>1</v>
      </c>
      <c r="B2">
        <v>6.9</v>
      </c>
      <c r="C2">
        <v>3.8</v>
      </c>
      <c r="D2">
        <v>8.6999999999999993</v>
      </c>
      <c r="E2">
        <v>2.8</v>
      </c>
      <c r="F2">
        <v>1.8</v>
      </c>
      <c r="G2">
        <v>2.99</v>
      </c>
      <c r="H2" t="s">
        <v>8</v>
      </c>
    </row>
    <row r="3" spans="1:8" x14ac:dyDescent="0.25">
      <c r="A3">
        <v>2</v>
      </c>
      <c r="B3">
        <v>5.3</v>
      </c>
      <c r="C3">
        <v>3.5</v>
      </c>
      <c r="D3">
        <v>8</v>
      </c>
      <c r="E3">
        <v>4.2</v>
      </c>
      <c r="F3">
        <v>3</v>
      </c>
      <c r="G3">
        <v>2.75</v>
      </c>
      <c r="H3" t="s">
        <v>9</v>
      </c>
    </row>
    <row r="4" spans="1:8" x14ac:dyDescent="0.25">
      <c r="A4">
        <v>3</v>
      </c>
      <c r="B4">
        <v>5.0999999999999996</v>
      </c>
      <c r="C4">
        <v>3.9</v>
      </c>
      <c r="D4">
        <v>9.1999999999999993</v>
      </c>
      <c r="E4">
        <v>1.2</v>
      </c>
      <c r="F4">
        <v>4.5999999999999996</v>
      </c>
      <c r="G4">
        <v>2.67</v>
      </c>
      <c r="H4" t="s">
        <v>9</v>
      </c>
    </row>
    <row r="5" spans="1:8" x14ac:dyDescent="0.25">
      <c r="A5">
        <v>4</v>
      </c>
      <c r="B5">
        <v>6.5</v>
      </c>
      <c r="C5">
        <v>2.1</v>
      </c>
      <c r="D5">
        <v>7.2</v>
      </c>
      <c r="E5">
        <v>1.7</v>
      </c>
      <c r="F5">
        <v>6.5</v>
      </c>
      <c r="G5">
        <v>2.88</v>
      </c>
      <c r="H5" t="s">
        <v>8</v>
      </c>
    </row>
    <row r="6" spans="1:8" x14ac:dyDescent="0.25">
      <c r="A6">
        <v>5</v>
      </c>
      <c r="B6">
        <v>8.1</v>
      </c>
      <c r="C6">
        <v>0.6</v>
      </c>
      <c r="D6">
        <v>6.5</v>
      </c>
      <c r="E6">
        <v>2.2000000000000002</v>
      </c>
      <c r="F6">
        <v>6.6</v>
      </c>
      <c r="G6">
        <v>3.51</v>
      </c>
      <c r="H6" t="s">
        <v>10</v>
      </c>
    </row>
    <row r="7" spans="1:8" x14ac:dyDescent="0.25">
      <c r="A7">
        <v>6</v>
      </c>
      <c r="B7">
        <v>6</v>
      </c>
      <c r="C7">
        <v>2.1</v>
      </c>
      <c r="D7">
        <v>8</v>
      </c>
      <c r="E7">
        <v>0.3</v>
      </c>
      <c r="F7">
        <v>7.6</v>
      </c>
      <c r="G7">
        <v>2.85</v>
      </c>
      <c r="H7" t="s">
        <v>8</v>
      </c>
    </row>
    <row r="8" spans="1:8" x14ac:dyDescent="0.25">
      <c r="A8">
        <v>7</v>
      </c>
      <c r="B8">
        <v>8</v>
      </c>
      <c r="C8">
        <v>0.7</v>
      </c>
      <c r="D8">
        <v>5.3</v>
      </c>
      <c r="E8">
        <v>5.7</v>
      </c>
      <c r="F8">
        <v>4.3</v>
      </c>
      <c r="G8">
        <v>3.08</v>
      </c>
      <c r="H8" t="s">
        <v>10</v>
      </c>
    </row>
    <row r="9" spans="1:8" x14ac:dyDescent="0.25">
      <c r="A9">
        <v>8</v>
      </c>
      <c r="B9">
        <v>8.4</v>
      </c>
      <c r="C9">
        <v>1.8</v>
      </c>
      <c r="D9">
        <v>5.6</v>
      </c>
      <c r="E9">
        <v>3</v>
      </c>
      <c r="F9">
        <v>5.2</v>
      </c>
      <c r="G9">
        <v>3.2</v>
      </c>
      <c r="H9" t="s">
        <v>10</v>
      </c>
    </row>
    <row r="10" spans="1:8" x14ac:dyDescent="0.25">
      <c r="A10">
        <v>9</v>
      </c>
      <c r="B10">
        <v>5.2</v>
      </c>
      <c r="C10">
        <v>3.6</v>
      </c>
      <c r="D10">
        <v>6.3</v>
      </c>
      <c r="E10">
        <v>4</v>
      </c>
      <c r="F10">
        <v>4.9000000000000004</v>
      </c>
      <c r="G10">
        <v>2.82</v>
      </c>
      <c r="H10" t="s">
        <v>9</v>
      </c>
    </row>
    <row r="11" spans="1:8" x14ac:dyDescent="0.25">
      <c r="A11">
        <v>10</v>
      </c>
      <c r="B11">
        <v>7.7</v>
      </c>
      <c r="C11">
        <v>0.7</v>
      </c>
      <c r="D11">
        <v>9.8000000000000007</v>
      </c>
      <c r="E11">
        <v>4.5</v>
      </c>
      <c r="F11">
        <v>1.3</v>
      </c>
      <c r="G11">
        <v>2.76</v>
      </c>
      <c r="H11" t="s">
        <v>8</v>
      </c>
    </row>
    <row r="12" spans="1:8" x14ac:dyDescent="0.25">
      <c r="A12">
        <v>11</v>
      </c>
      <c r="B12">
        <v>9.6999999999999993</v>
      </c>
      <c r="C12">
        <v>3.6</v>
      </c>
      <c r="D12">
        <v>8</v>
      </c>
      <c r="E12">
        <v>2.5</v>
      </c>
      <c r="F12">
        <v>0.2</v>
      </c>
      <c r="G12">
        <v>3.43</v>
      </c>
      <c r="H12" t="s">
        <v>10</v>
      </c>
    </row>
    <row r="13" spans="1:8" x14ac:dyDescent="0.25">
      <c r="A13">
        <v>12</v>
      </c>
      <c r="B13">
        <v>6.9</v>
      </c>
      <c r="C13">
        <v>1.1000000000000001</v>
      </c>
      <c r="D13">
        <v>9.1</v>
      </c>
      <c r="E13">
        <v>2.1</v>
      </c>
      <c r="F13">
        <v>4.8</v>
      </c>
      <c r="G13">
        <v>2.97</v>
      </c>
      <c r="H13" t="s">
        <v>8</v>
      </c>
    </row>
    <row r="14" spans="1:8" x14ac:dyDescent="0.25">
      <c r="A14">
        <v>13</v>
      </c>
      <c r="B14">
        <v>6.4</v>
      </c>
      <c r="C14">
        <v>2.2000000000000002</v>
      </c>
      <c r="D14">
        <v>5.7</v>
      </c>
      <c r="E14">
        <v>4.8</v>
      </c>
      <c r="F14">
        <v>4.9000000000000004</v>
      </c>
      <c r="G14">
        <v>2.82</v>
      </c>
      <c r="H14" t="s">
        <v>10</v>
      </c>
    </row>
    <row r="15" spans="1:8" x14ac:dyDescent="0.25">
      <c r="A15">
        <v>14</v>
      </c>
      <c r="B15">
        <v>5</v>
      </c>
      <c r="C15">
        <v>3.3</v>
      </c>
      <c r="D15">
        <v>8.5</v>
      </c>
      <c r="E15">
        <v>4.4000000000000004</v>
      </c>
      <c r="F15">
        <v>2.8</v>
      </c>
      <c r="G15">
        <v>2.87</v>
      </c>
      <c r="H15" t="s">
        <v>9</v>
      </c>
    </row>
    <row r="16" spans="1:8" x14ac:dyDescent="0.25">
      <c r="A16">
        <v>15</v>
      </c>
      <c r="B16">
        <v>8.9</v>
      </c>
      <c r="C16">
        <v>0.3</v>
      </c>
      <c r="D16">
        <v>6.8</v>
      </c>
      <c r="E16">
        <v>0.7</v>
      </c>
      <c r="F16">
        <v>7.3</v>
      </c>
      <c r="G16">
        <v>3.4</v>
      </c>
      <c r="H16" t="s">
        <v>10</v>
      </c>
    </row>
    <row r="17" spans="1:8" x14ac:dyDescent="0.25">
      <c r="A17">
        <v>16</v>
      </c>
      <c r="B17">
        <v>6.7</v>
      </c>
      <c r="C17">
        <v>0.3</v>
      </c>
      <c r="D17">
        <v>6.6</v>
      </c>
      <c r="E17">
        <v>2</v>
      </c>
      <c r="F17">
        <v>8.4</v>
      </c>
      <c r="G17">
        <v>3.2</v>
      </c>
      <c r="H17" t="s">
        <v>8</v>
      </c>
    </row>
    <row r="18" spans="1:8" x14ac:dyDescent="0.25">
      <c r="A18">
        <v>17</v>
      </c>
      <c r="B18">
        <v>8.6</v>
      </c>
      <c r="C18">
        <v>2.6</v>
      </c>
      <c r="D18">
        <v>9.4</v>
      </c>
      <c r="E18">
        <v>1.6</v>
      </c>
      <c r="F18">
        <v>1.8</v>
      </c>
      <c r="G18">
        <v>3.36</v>
      </c>
      <c r="H18" t="s">
        <v>10</v>
      </c>
    </row>
    <row r="19" spans="1:8" x14ac:dyDescent="0.25">
      <c r="A19">
        <v>18</v>
      </c>
      <c r="B19">
        <v>8.8000000000000007</v>
      </c>
      <c r="C19">
        <v>2.2000000000000002</v>
      </c>
      <c r="D19">
        <v>8.9</v>
      </c>
      <c r="E19">
        <v>2</v>
      </c>
      <c r="F19">
        <v>2.1</v>
      </c>
      <c r="G19">
        <v>3.19</v>
      </c>
      <c r="H19" t="s">
        <v>10</v>
      </c>
    </row>
    <row r="20" spans="1:8" x14ac:dyDescent="0.25">
      <c r="A20">
        <v>19</v>
      </c>
      <c r="B20">
        <v>7.6</v>
      </c>
      <c r="C20">
        <v>1.7</v>
      </c>
      <c r="D20">
        <v>5.0999999999999996</v>
      </c>
      <c r="E20">
        <v>0.6</v>
      </c>
      <c r="F20">
        <v>9</v>
      </c>
      <c r="G20">
        <v>3.16</v>
      </c>
      <c r="H20" t="s">
        <v>10</v>
      </c>
    </row>
    <row r="21" spans="1:8" x14ac:dyDescent="0.25">
      <c r="A21">
        <v>20</v>
      </c>
      <c r="B21">
        <v>6.6</v>
      </c>
      <c r="C21">
        <v>2</v>
      </c>
      <c r="D21">
        <v>9.5</v>
      </c>
      <c r="E21">
        <v>1.5</v>
      </c>
      <c r="F21">
        <v>4.4000000000000004</v>
      </c>
      <c r="G21">
        <v>2.93</v>
      </c>
      <c r="H21" t="s">
        <v>8</v>
      </c>
    </row>
    <row r="22" spans="1:8" x14ac:dyDescent="0.25">
      <c r="A22">
        <v>21</v>
      </c>
      <c r="B22">
        <v>7.1</v>
      </c>
      <c r="C22">
        <v>3</v>
      </c>
      <c r="D22">
        <v>6.1</v>
      </c>
      <c r="E22">
        <v>0.5</v>
      </c>
      <c r="F22">
        <v>7.3</v>
      </c>
      <c r="G22">
        <v>2.9</v>
      </c>
      <c r="H22" t="s">
        <v>8</v>
      </c>
    </row>
    <row r="23" spans="1:8" x14ac:dyDescent="0.25">
      <c r="A23">
        <v>22</v>
      </c>
      <c r="B23">
        <v>9.6</v>
      </c>
      <c r="C23">
        <v>3.2</v>
      </c>
      <c r="D23">
        <v>8.1999999999999993</v>
      </c>
      <c r="E23">
        <v>2.6</v>
      </c>
      <c r="F23">
        <v>0.4</v>
      </c>
      <c r="G23">
        <v>3.34</v>
      </c>
      <c r="H23" t="s">
        <v>10</v>
      </c>
    </row>
    <row r="24" spans="1:8" x14ac:dyDescent="0.25">
      <c r="A24">
        <v>23</v>
      </c>
      <c r="B24">
        <v>9</v>
      </c>
      <c r="C24">
        <v>0.7</v>
      </c>
      <c r="D24">
        <v>9.5</v>
      </c>
      <c r="E24">
        <v>2.6</v>
      </c>
      <c r="F24">
        <v>2.2000000000000002</v>
      </c>
      <c r="G24">
        <v>3.21</v>
      </c>
      <c r="H24" t="s">
        <v>10</v>
      </c>
    </row>
    <row r="25" spans="1:8" x14ac:dyDescent="0.25">
      <c r="A25">
        <v>24</v>
      </c>
      <c r="B25">
        <v>6.1</v>
      </c>
      <c r="C25">
        <v>1.7</v>
      </c>
      <c r="D25">
        <v>9.1</v>
      </c>
      <c r="E25">
        <v>5.2</v>
      </c>
      <c r="F25">
        <v>1.9</v>
      </c>
      <c r="G25">
        <v>2.85</v>
      </c>
      <c r="H25" t="s">
        <v>8</v>
      </c>
    </row>
    <row r="26" spans="1:8" x14ac:dyDescent="0.25">
      <c r="A26">
        <v>25</v>
      </c>
      <c r="B26">
        <v>5</v>
      </c>
      <c r="C26">
        <v>2</v>
      </c>
      <c r="D26">
        <v>7.1</v>
      </c>
      <c r="E26">
        <v>1.3</v>
      </c>
      <c r="F26">
        <v>8.6</v>
      </c>
      <c r="G26">
        <v>2.68</v>
      </c>
      <c r="H26" t="s">
        <v>9</v>
      </c>
    </row>
    <row r="27" spans="1:8" x14ac:dyDescent="0.25">
      <c r="A27">
        <v>26</v>
      </c>
      <c r="B27">
        <v>9.6999999999999993</v>
      </c>
      <c r="C27">
        <v>1.3</v>
      </c>
      <c r="D27">
        <v>7.6</v>
      </c>
      <c r="E27">
        <v>3.8</v>
      </c>
      <c r="F27">
        <v>1.6</v>
      </c>
      <c r="G27">
        <v>3.29</v>
      </c>
      <c r="H27" t="s">
        <v>10</v>
      </c>
    </row>
    <row r="28" spans="1:8" x14ac:dyDescent="0.25">
      <c r="A28">
        <v>27</v>
      </c>
      <c r="B28">
        <v>6.8</v>
      </c>
      <c r="C28">
        <v>3.9</v>
      </c>
      <c r="D28">
        <v>9.8000000000000007</v>
      </c>
      <c r="E28">
        <v>0.9</v>
      </c>
      <c r="F28">
        <v>2.6</v>
      </c>
      <c r="G28">
        <v>2.64</v>
      </c>
      <c r="H28" t="s">
        <v>8</v>
      </c>
    </row>
    <row r="29" spans="1:8" x14ac:dyDescent="0.25">
      <c r="A29">
        <v>28</v>
      </c>
      <c r="B29">
        <v>6.4</v>
      </c>
      <c r="C29">
        <v>0.1</v>
      </c>
      <c r="D29">
        <v>8</v>
      </c>
      <c r="E29">
        <v>3</v>
      </c>
      <c r="F29">
        <v>6.5</v>
      </c>
      <c r="G29">
        <v>2.95</v>
      </c>
      <c r="H29" t="s">
        <v>8</v>
      </c>
    </row>
    <row r="30" spans="1:8" x14ac:dyDescent="0.25">
      <c r="A30">
        <v>29</v>
      </c>
      <c r="B30">
        <v>5.3</v>
      </c>
      <c r="C30">
        <v>1.1000000000000001</v>
      </c>
      <c r="D30">
        <v>9.5</v>
      </c>
      <c r="E30">
        <v>1.4</v>
      </c>
      <c r="F30">
        <v>6.7</v>
      </c>
      <c r="G30">
        <v>2.79</v>
      </c>
      <c r="H30" t="s">
        <v>9</v>
      </c>
    </row>
    <row r="31" spans="1:8" x14ac:dyDescent="0.25">
      <c r="A31">
        <v>30</v>
      </c>
      <c r="B31">
        <v>9.9</v>
      </c>
      <c r="C31">
        <v>1</v>
      </c>
      <c r="D31">
        <v>8.4</v>
      </c>
      <c r="E31">
        <v>3.6</v>
      </c>
      <c r="F31">
        <v>1.1000000000000001</v>
      </c>
      <c r="G31">
        <v>3.25</v>
      </c>
      <c r="H31" t="s">
        <v>10</v>
      </c>
    </row>
    <row r="32" spans="1:8" x14ac:dyDescent="0.25">
      <c r="A32">
        <v>31</v>
      </c>
      <c r="B32">
        <v>6.2</v>
      </c>
      <c r="C32">
        <v>2.9</v>
      </c>
      <c r="D32">
        <v>6.8</v>
      </c>
      <c r="E32">
        <v>3.8</v>
      </c>
      <c r="F32">
        <v>4.3</v>
      </c>
      <c r="G32">
        <v>3.05</v>
      </c>
      <c r="H32" t="s">
        <v>8</v>
      </c>
    </row>
    <row r="33" spans="1:8" x14ac:dyDescent="0.25">
      <c r="A33">
        <v>32</v>
      </c>
      <c r="B33">
        <v>5.5</v>
      </c>
      <c r="C33">
        <v>3.3</v>
      </c>
      <c r="D33">
        <v>6.6</v>
      </c>
      <c r="E33">
        <v>1.1000000000000001</v>
      </c>
      <c r="F33">
        <v>7.5</v>
      </c>
      <c r="G33">
        <v>3.26</v>
      </c>
      <c r="H33" t="s">
        <v>9</v>
      </c>
    </row>
    <row r="34" spans="1:8" x14ac:dyDescent="0.25">
      <c r="A34">
        <v>33</v>
      </c>
      <c r="B34">
        <v>5.2</v>
      </c>
      <c r="C34">
        <v>2.4</v>
      </c>
      <c r="D34">
        <v>8.4</v>
      </c>
      <c r="E34">
        <v>0.1</v>
      </c>
      <c r="F34">
        <v>7.9</v>
      </c>
      <c r="G34">
        <v>2.4700000000000002</v>
      </c>
      <c r="H34" t="s">
        <v>9</v>
      </c>
    </row>
    <row r="35" spans="1:8" x14ac:dyDescent="0.25">
      <c r="A35">
        <v>34</v>
      </c>
      <c r="B35">
        <v>8.1999999999999993</v>
      </c>
      <c r="C35">
        <v>0.7</v>
      </c>
      <c r="D35">
        <v>8.5</v>
      </c>
      <c r="E35">
        <v>2.2999999999999998</v>
      </c>
      <c r="F35">
        <v>4.3</v>
      </c>
      <c r="G35">
        <v>3.24</v>
      </c>
      <c r="H35" t="s">
        <v>10</v>
      </c>
    </row>
    <row r="36" spans="1:8" x14ac:dyDescent="0.25">
      <c r="A36">
        <v>35</v>
      </c>
      <c r="B36">
        <v>9.6999999999999993</v>
      </c>
      <c r="C36">
        <v>0.6</v>
      </c>
      <c r="D36">
        <v>6.7</v>
      </c>
      <c r="E36">
        <v>0.7</v>
      </c>
      <c r="F36">
        <v>6.3</v>
      </c>
      <c r="G36">
        <v>3.62</v>
      </c>
      <c r="H36" t="s">
        <v>10</v>
      </c>
    </row>
    <row r="37" spans="1:8" x14ac:dyDescent="0.25">
      <c r="A37">
        <v>36</v>
      </c>
      <c r="B37">
        <v>9.1</v>
      </c>
      <c r="C37">
        <v>2.2000000000000002</v>
      </c>
      <c r="D37">
        <v>7.6</v>
      </c>
      <c r="E37">
        <v>1.2</v>
      </c>
      <c r="F37">
        <v>3.9</v>
      </c>
      <c r="G37">
        <v>3.12</v>
      </c>
      <c r="H37" t="s">
        <v>10</v>
      </c>
    </row>
    <row r="38" spans="1:8" x14ac:dyDescent="0.25">
      <c r="A38">
        <v>37</v>
      </c>
      <c r="B38">
        <v>5.5</v>
      </c>
      <c r="C38">
        <v>3.6</v>
      </c>
      <c r="D38">
        <v>9.5</v>
      </c>
      <c r="E38">
        <v>3.4</v>
      </c>
      <c r="F38">
        <v>2</v>
      </c>
      <c r="G38">
        <v>2.58</v>
      </c>
      <c r="H38" t="s">
        <v>9</v>
      </c>
    </row>
    <row r="39" spans="1:8" x14ac:dyDescent="0.25">
      <c r="A39">
        <v>38</v>
      </c>
      <c r="B39">
        <v>8.6</v>
      </c>
      <c r="C39">
        <v>3.6</v>
      </c>
      <c r="D39">
        <v>9.4</v>
      </c>
      <c r="E39">
        <v>1.9</v>
      </c>
      <c r="F39">
        <v>0.5</v>
      </c>
      <c r="G39">
        <v>3.03</v>
      </c>
      <c r="H39" t="s">
        <v>10</v>
      </c>
    </row>
    <row r="40" spans="1:8" x14ac:dyDescent="0.25">
      <c r="A40">
        <v>39</v>
      </c>
      <c r="B40">
        <v>8.1999999999999993</v>
      </c>
      <c r="C40">
        <v>0.3</v>
      </c>
      <c r="D40">
        <v>5.8</v>
      </c>
      <c r="E40">
        <v>5.4</v>
      </c>
      <c r="F40">
        <v>4.3</v>
      </c>
      <c r="G40">
        <v>3.29</v>
      </c>
      <c r="H40" t="s">
        <v>10</v>
      </c>
    </row>
    <row r="41" spans="1:8" x14ac:dyDescent="0.25">
      <c r="A41">
        <v>40</v>
      </c>
      <c r="B41">
        <v>5</v>
      </c>
      <c r="C41">
        <v>0.6</v>
      </c>
      <c r="D41">
        <v>7.7</v>
      </c>
      <c r="E41">
        <v>4.2</v>
      </c>
      <c r="F41">
        <v>6.5</v>
      </c>
      <c r="G41">
        <v>2.61</v>
      </c>
      <c r="H41" t="s">
        <v>9</v>
      </c>
    </row>
    <row r="42" spans="1:8" x14ac:dyDescent="0.25">
      <c r="A42">
        <v>41</v>
      </c>
      <c r="B42">
        <v>8.3000000000000007</v>
      </c>
      <c r="C42">
        <v>0.9</v>
      </c>
      <c r="D42">
        <v>8.6</v>
      </c>
      <c r="E42">
        <v>1.4</v>
      </c>
      <c r="F42">
        <v>4.8</v>
      </c>
      <c r="G42">
        <v>3.48</v>
      </c>
      <c r="H42" t="s">
        <v>10</v>
      </c>
    </row>
    <row r="43" spans="1:8" x14ac:dyDescent="0.25">
      <c r="A43">
        <v>42</v>
      </c>
      <c r="B43">
        <v>8.1999999999999993</v>
      </c>
      <c r="C43">
        <v>3.4</v>
      </c>
      <c r="D43">
        <v>8.3000000000000007</v>
      </c>
      <c r="E43">
        <v>2.2999999999999998</v>
      </c>
      <c r="F43">
        <v>1.8</v>
      </c>
      <c r="G43">
        <v>3.07</v>
      </c>
      <c r="H43" t="s">
        <v>10</v>
      </c>
    </row>
    <row r="44" spans="1:8" x14ac:dyDescent="0.25">
      <c r="A44">
        <v>43</v>
      </c>
      <c r="B44">
        <v>5.5</v>
      </c>
      <c r="C44">
        <v>1.5</v>
      </c>
      <c r="D44">
        <v>6.3</v>
      </c>
      <c r="E44">
        <v>1.5</v>
      </c>
      <c r="F44">
        <v>9.1999999999999993</v>
      </c>
      <c r="G44">
        <v>2.81</v>
      </c>
      <c r="H44" t="s">
        <v>9</v>
      </c>
    </row>
    <row r="45" spans="1:8" x14ac:dyDescent="0.25">
      <c r="A45">
        <v>44</v>
      </c>
      <c r="B45">
        <v>9.5</v>
      </c>
      <c r="C45">
        <v>2.5</v>
      </c>
      <c r="D45">
        <v>9</v>
      </c>
      <c r="E45">
        <v>1.5</v>
      </c>
      <c r="F45">
        <v>1.5</v>
      </c>
      <c r="G45">
        <v>3.49</v>
      </c>
      <c r="H45" t="s">
        <v>10</v>
      </c>
    </row>
    <row r="46" spans="1:8" x14ac:dyDescent="0.25">
      <c r="A46">
        <v>45</v>
      </c>
      <c r="B46">
        <v>7.9</v>
      </c>
      <c r="C46">
        <v>2</v>
      </c>
      <c r="D46">
        <v>6</v>
      </c>
      <c r="E46">
        <v>4.3</v>
      </c>
      <c r="F46">
        <v>3.8</v>
      </c>
      <c r="G46">
        <v>2.97</v>
      </c>
      <c r="H46" t="s">
        <v>8</v>
      </c>
    </row>
    <row r="47" spans="1:8" x14ac:dyDescent="0.25">
      <c r="A47">
        <v>46</v>
      </c>
      <c r="B47">
        <v>9.6999999999999993</v>
      </c>
      <c r="C47">
        <v>3.8</v>
      </c>
      <c r="D47">
        <v>9.6</v>
      </c>
      <c r="E47">
        <v>0.3</v>
      </c>
      <c r="F47">
        <v>0.6</v>
      </c>
      <c r="G47">
        <v>3.55</v>
      </c>
      <c r="H47" t="s">
        <v>10</v>
      </c>
    </row>
    <row r="48" spans="1:8" x14ac:dyDescent="0.25">
      <c r="A48">
        <v>47</v>
      </c>
      <c r="B48">
        <v>5.0999999999999996</v>
      </c>
      <c r="C48">
        <v>3.7</v>
      </c>
      <c r="D48">
        <v>7.1</v>
      </c>
      <c r="E48">
        <v>5.8</v>
      </c>
      <c r="F48">
        <v>2.2999999999999998</v>
      </c>
      <c r="G48">
        <v>2.6</v>
      </c>
      <c r="H48" t="s">
        <v>9</v>
      </c>
    </row>
    <row r="49" spans="1:8" x14ac:dyDescent="0.25">
      <c r="A49">
        <v>48</v>
      </c>
      <c r="B49">
        <v>9.3000000000000007</v>
      </c>
      <c r="C49">
        <v>1.3</v>
      </c>
      <c r="D49">
        <v>5.8</v>
      </c>
      <c r="E49">
        <v>3.3</v>
      </c>
      <c r="F49">
        <v>4.3</v>
      </c>
      <c r="G49">
        <v>3.09</v>
      </c>
      <c r="H49" t="s">
        <v>10</v>
      </c>
    </row>
    <row r="50" spans="1:8" x14ac:dyDescent="0.25">
      <c r="A50">
        <v>49</v>
      </c>
      <c r="B50">
        <v>9.6999999999999993</v>
      </c>
      <c r="C50">
        <v>2.8</v>
      </c>
      <c r="D50">
        <v>7.9</v>
      </c>
      <c r="E50">
        <v>0.3</v>
      </c>
      <c r="F50">
        <v>3.3</v>
      </c>
      <c r="G50">
        <v>3.47</v>
      </c>
      <c r="H50" t="s">
        <v>10</v>
      </c>
    </row>
    <row r="51" spans="1:8" x14ac:dyDescent="0.25">
      <c r="A51">
        <v>50</v>
      </c>
      <c r="B51">
        <v>9.4</v>
      </c>
      <c r="C51">
        <v>3</v>
      </c>
      <c r="D51">
        <v>8.5</v>
      </c>
      <c r="E51">
        <v>2.2000000000000002</v>
      </c>
      <c r="F51">
        <v>0.9</v>
      </c>
      <c r="G51">
        <v>3.18</v>
      </c>
      <c r="H51" t="s">
        <v>10</v>
      </c>
    </row>
    <row r="52" spans="1:8" x14ac:dyDescent="0.25">
      <c r="A52">
        <v>51</v>
      </c>
      <c r="B52">
        <v>6.8</v>
      </c>
      <c r="C52">
        <v>1.2</v>
      </c>
      <c r="D52">
        <v>9</v>
      </c>
      <c r="E52">
        <v>4.9000000000000004</v>
      </c>
      <c r="F52">
        <v>2.1</v>
      </c>
      <c r="G52">
        <v>3.12</v>
      </c>
      <c r="H52" t="s">
        <v>8</v>
      </c>
    </row>
    <row r="53" spans="1:8" x14ac:dyDescent="0.25">
      <c r="A53">
        <v>52</v>
      </c>
      <c r="B53">
        <v>9</v>
      </c>
      <c r="C53">
        <v>2.6</v>
      </c>
      <c r="D53">
        <v>8.5</v>
      </c>
      <c r="E53">
        <v>3.1</v>
      </c>
      <c r="F53">
        <v>0.8</v>
      </c>
      <c r="G53">
        <v>4</v>
      </c>
      <c r="H53" t="s">
        <v>10</v>
      </c>
    </row>
    <row r="54" spans="1:8" x14ac:dyDescent="0.25">
      <c r="A54">
        <v>53</v>
      </c>
      <c r="B54">
        <v>9.5</v>
      </c>
      <c r="C54">
        <v>1.4</v>
      </c>
      <c r="D54">
        <v>6.9</v>
      </c>
      <c r="E54">
        <v>0.6</v>
      </c>
      <c r="F54">
        <v>5.6</v>
      </c>
      <c r="G54">
        <v>3.33</v>
      </c>
      <c r="H54" t="s">
        <v>10</v>
      </c>
    </row>
    <row r="55" spans="1:8" x14ac:dyDescent="0.25">
      <c r="A55">
        <v>54</v>
      </c>
      <c r="B55">
        <v>7.3</v>
      </c>
      <c r="C55">
        <v>2.2000000000000002</v>
      </c>
      <c r="D55">
        <v>6.4</v>
      </c>
      <c r="E55">
        <v>3.5</v>
      </c>
      <c r="F55">
        <v>4.5999999999999996</v>
      </c>
      <c r="G55">
        <v>3.11</v>
      </c>
      <c r="H55" t="s">
        <v>8</v>
      </c>
    </row>
    <row r="56" spans="1:8" x14ac:dyDescent="0.25">
      <c r="A56">
        <v>55</v>
      </c>
      <c r="B56">
        <v>5.2</v>
      </c>
      <c r="C56">
        <v>0.1</v>
      </c>
      <c r="D56">
        <v>9.1</v>
      </c>
      <c r="E56">
        <v>2.2000000000000002</v>
      </c>
      <c r="F56">
        <v>7.4</v>
      </c>
      <c r="G56">
        <v>2.79</v>
      </c>
      <c r="H56" t="s">
        <v>9</v>
      </c>
    </row>
    <row r="57" spans="1:8" x14ac:dyDescent="0.25">
      <c r="A57">
        <v>56</v>
      </c>
      <c r="B57">
        <v>8.8000000000000007</v>
      </c>
      <c r="C57">
        <v>0.9</v>
      </c>
      <c r="D57">
        <v>8.1</v>
      </c>
      <c r="E57">
        <v>0.5</v>
      </c>
      <c r="F57">
        <v>5.7</v>
      </c>
      <c r="G57">
        <v>3.1</v>
      </c>
      <c r="H57" t="s">
        <v>10</v>
      </c>
    </row>
    <row r="58" spans="1:8" x14ac:dyDescent="0.25">
      <c r="A58">
        <v>57</v>
      </c>
      <c r="B58">
        <v>5.3</v>
      </c>
      <c r="C58">
        <v>2.1</v>
      </c>
      <c r="D58">
        <v>7.7</v>
      </c>
      <c r="E58">
        <v>3.8</v>
      </c>
      <c r="F58">
        <v>5.0999999999999996</v>
      </c>
      <c r="G58">
        <v>2.39</v>
      </c>
      <c r="H58" t="s">
        <v>9</v>
      </c>
    </row>
    <row r="59" spans="1:8" x14ac:dyDescent="0.25">
      <c r="A59">
        <v>58</v>
      </c>
      <c r="B59">
        <v>9</v>
      </c>
      <c r="C59">
        <v>1.1000000000000001</v>
      </c>
      <c r="D59">
        <v>7.2</v>
      </c>
      <c r="E59">
        <v>0.5</v>
      </c>
      <c r="F59">
        <v>6.2</v>
      </c>
      <c r="G59">
        <v>3.39</v>
      </c>
      <c r="H59" t="s">
        <v>10</v>
      </c>
    </row>
    <row r="60" spans="1:8" x14ac:dyDescent="0.25">
      <c r="A60">
        <v>59</v>
      </c>
      <c r="B60">
        <v>5.0999999999999996</v>
      </c>
      <c r="C60">
        <v>3.9</v>
      </c>
      <c r="D60">
        <v>9.1999999999999993</v>
      </c>
      <c r="E60">
        <v>4</v>
      </c>
      <c r="F60">
        <v>1.8</v>
      </c>
      <c r="G60">
        <v>2.52</v>
      </c>
      <c r="H60" t="s">
        <v>9</v>
      </c>
    </row>
    <row r="61" spans="1:8" x14ac:dyDescent="0.25">
      <c r="A61">
        <v>60</v>
      </c>
      <c r="B61">
        <v>5.8</v>
      </c>
      <c r="C61">
        <v>1</v>
      </c>
      <c r="D61">
        <v>7.7</v>
      </c>
      <c r="E61">
        <v>4.3</v>
      </c>
      <c r="F61">
        <v>5.2</v>
      </c>
      <c r="G61">
        <v>2.8</v>
      </c>
      <c r="H61" t="s">
        <v>9</v>
      </c>
    </row>
    <row r="62" spans="1:8" x14ac:dyDescent="0.25">
      <c r="A62">
        <v>61</v>
      </c>
      <c r="B62">
        <v>8.3000000000000007</v>
      </c>
      <c r="C62">
        <v>1.1000000000000001</v>
      </c>
      <c r="D62">
        <v>9.8000000000000007</v>
      </c>
      <c r="E62">
        <v>3.5</v>
      </c>
      <c r="F62">
        <v>1.3</v>
      </c>
      <c r="G62">
        <v>3.67</v>
      </c>
      <c r="H62" t="s">
        <v>10</v>
      </c>
    </row>
    <row r="63" spans="1:8" x14ac:dyDescent="0.25">
      <c r="A63">
        <v>62</v>
      </c>
      <c r="B63">
        <v>7.1</v>
      </c>
      <c r="C63">
        <v>1</v>
      </c>
      <c r="D63">
        <v>6.8</v>
      </c>
      <c r="E63">
        <v>4.5</v>
      </c>
      <c r="F63">
        <v>4.5999999999999996</v>
      </c>
      <c r="G63">
        <v>3.27</v>
      </c>
      <c r="H63" t="s">
        <v>8</v>
      </c>
    </row>
    <row r="64" spans="1:8" x14ac:dyDescent="0.25">
      <c r="A64">
        <v>63</v>
      </c>
      <c r="B64">
        <v>5.0999999999999996</v>
      </c>
      <c r="C64">
        <v>0.5</v>
      </c>
      <c r="D64">
        <v>5.2</v>
      </c>
      <c r="E64">
        <v>0.2</v>
      </c>
      <c r="F64">
        <v>13</v>
      </c>
      <c r="G64">
        <v>2.85</v>
      </c>
      <c r="H64" t="s">
        <v>10</v>
      </c>
    </row>
    <row r="65" spans="1:8" x14ac:dyDescent="0.25">
      <c r="A65">
        <v>64</v>
      </c>
      <c r="B65">
        <v>7.4</v>
      </c>
      <c r="C65">
        <v>0.4</v>
      </c>
      <c r="D65">
        <v>7.5</v>
      </c>
      <c r="E65">
        <v>2.8</v>
      </c>
      <c r="F65">
        <v>5.9</v>
      </c>
      <c r="G65">
        <v>3.26</v>
      </c>
      <c r="H65" t="s">
        <v>8</v>
      </c>
    </row>
    <row r="66" spans="1:8" x14ac:dyDescent="0.25">
      <c r="A66">
        <v>65</v>
      </c>
      <c r="B66">
        <v>5.9</v>
      </c>
      <c r="C66">
        <v>1.7</v>
      </c>
      <c r="D66">
        <v>7</v>
      </c>
      <c r="E66">
        <v>3.7</v>
      </c>
      <c r="F66">
        <v>5.7</v>
      </c>
      <c r="G66">
        <v>2.8</v>
      </c>
      <c r="H66" t="s">
        <v>9</v>
      </c>
    </row>
    <row r="67" spans="1:8" x14ac:dyDescent="0.25">
      <c r="A67">
        <v>66</v>
      </c>
      <c r="B67">
        <v>6.9</v>
      </c>
      <c r="C67">
        <v>2.5</v>
      </c>
      <c r="D67">
        <v>7.5</v>
      </c>
      <c r="E67">
        <v>5.0999999999999996</v>
      </c>
      <c r="F67">
        <v>2</v>
      </c>
      <c r="G67">
        <v>3.06</v>
      </c>
      <c r="H67" t="s">
        <v>8</v>
      </c>
    </row>
    <row r="68" spans="1:8" x14ac:dyDescent="0.25">
      <c r="A68">
        <v>67</v>
      </c>
      <c r="B68">
        <v>8.3000000000000007</v>
      </c>
      <c r="C68">
        <v>0.7</v>
      </c>
      <c r="D68">
        <v>5.4</v>
      </c>
      <c r="E68">
        <v>3.9</v>
      </c>
      <c r="F68">
        <v>5.7</v>
      </c>
      <c r="G68">
        <v>3.26</v>
      </c>
      <c r="H68" t="s">
        <v>10</v>
      </c>
    </row>
    <row r="69" spans="1:8" x14ac:dyDescent="0.25">
      <c r="A69">
        <v>68</v>
      </c>
      <c r="B69">
        <v>9.6999999999999993</v>
      </c>
      <c r="C69">
        <v>2.2999999999999998</v>
      </c>
      <c r="D69">
        <v>6.9</v>
      </c>
      <c r="E69">
        <v>3.3</v>
      </c>
      <c r="F69">
        <v>1.8</v>
      </c>
      <c r="G69">
        <v>3.38</v>
      </c>
      <c r="H69" t="s">
        <v>10</v>
      </c>
    </row>
    <row r="70" spans="1:8" x14ac:dyDescent="0.25">
      <c r="A70">
        <v>69</v>
      </c>
      <c r="B70">
        <v>7.3</v>
      </c>
      <c r="C70">
        <v>2.2000000000000002</v>
      </c>
      <c r="D70">
        <v>9.6999999999999993</v>
      </c>
      <c r="E70">
        <v>1.9</v>
      </c>
      <c r="F70">
        <v>2.9</v>
      </c>
      <c r="G70">
        <v>3.15</v>
      </c>
      <c r="H70" t="s">
        <v>8</v>
      </c>
    </row>
    <row r="71" spans="1:8" x14ac:dyDescent="0.25">
      <c r="A71">
        <v>70</v>
      </c>
      <c r="B71">
        <v>5.4</v>
      </c>
      <c r="C71">
        <v>1.3</v>
      </c>
      <c r="D71">
        <v>9.1999999999999993</v>
      </c>
      <c r="E71">
        <v>0.1</v>
      </c>
      <c r="F71">
        <v>8</v>
      </c>
      <c r="G71">
        <v>2.69</v>
      </c>
      <c r="H71" t="s">
        <v>9</v>
      </c>
    </row>
    <row r="72" spans="1:8" x14ac:dyDescent="0.25">
      <c r="A72">
        <v>71</v>
      </c>
      <c r="B72">
        <v>9.1</v>
      </c>
      <c r="C72">
        <v>1.1000000000000001</v>
      </c>
      <c r="D72">
        <v>5.6</v>
      </c>
      <c r="E72">
        <v>4.2</v>
      </c>
      <c r="F72">
        <v>4</v>
      </c>
      <c r="G72">
        <v>3.54</v>
      </c>
      <c r="H72" t="s">
        <v>10</v>
      </c>
    </row>
    <row r="73" spans="1:8" x14ac:dyDescent="0.25">
      <c r="A73">
        <v>72</v>
      </c>
      <c r="B73">
        <v>8.6999999999999993</v>
      </c>
      <c r="C73">
        <v>3.2</v>
      </c>
      <c r="D73">
        <v>6.4</v>
      </c>
      <c r="E73">
        <v>1</v>
      </c>
      <c r="F73">
        <v>4.7</v>
      </c>
      <c r="G73">
        <v>3.37</v>
      </c>
      <c r="H73" t="s">
        <v>10</v>
      </c>
    </row>
    <row r="74" spans="1:8" x14ac:dyDescent="0.25">
      <c r="A74">
        <v>73</v>
      </c>
      <c r="B74">
        <v>8.8000000000000007</v>
      </c>
      <c r="C74">
        <v>3.2</v>
      </c>
      <c r="D74">
        <v>10</v>
      </c>
      <c r="E74">
        <v>0.8</v>
      </c>
      <c r="F74">
        <v>1.2</v>
      </c>
      <c r="G74">
        <v>3.58</v>
      </c>
      <c r="H74" t="s">
        <v>10</v>
      </c>
    </row>
    <row r="75" spans="1:8" x14ac:dyDescent="0.25">
      <c r="A75">
        <v>74</v>
      </c>
      <c r="B75">
        <v>6.7</v>
      </c>
      <c r="C75">
        <v>3.7</v>
      </c>
      <c r="D75">
        <v>9.3000000000000007</v>
      </c>
      <c r="E75">
        <v>1.8</v>
      </c>
      <c r="F75">
        <v>2.5</v>
      </c>
      <c r="G75">
        <v>2.89</v>
      </c>
      <c r="H75" t="s">
        <v>8</v>
      </c>
    </row>
    <row r="76" spans="1:8" x14ac:dyDescent="0.25">
      <c r="A76">
        <v>75</v>
      </c>
      <c r="B76">
        <v>8.8000000000000007</v>
      </c>
      <c r="C76">
        <v>3</v>
      </c>
      <c r="D76">
        <v>5.5</v>
      </c>
      <c r="E76">
        <v>5.4</v>
      </c>
      <c r="F76">
        <v>1.3</v>
      </c>
      <c r="G76">
        <v>3.58</v>
      </c>
      <c r="H76" t="s">
        <v>10</v>
      </c>
    </row>
    <row r="77" spans="1:8" x14ac:dyDescent="0.25">
      <c r="A77">
        <v>76</v>
      </c>
      <c r="B77">
        <v>6.6</v>
      </c>
      <c r="C77">
        <v>3.6</v>
      </c>
      <c r="D77">
        <v>6.9</v>
      </c>
      <c r="E77">
        <v>0.1</v>
      </c>
      <c r="F77">
        <v>6.8</v>
      </c>
      <c r="G77">
        <v>2.99</v>
      </c>
      <c r="H77" t="s">
        <v>8</v>
      </c>
    </row>
    <row r="78" spans="1:8" x14ac:dyDescent="0.25">
      <c r="A78">
        <v>77</v>
      </c>
      <c r="B78">
        <v>9.5</v>
      </c>
      <c r="C78">
        <v>0.4</v>
      </c>
      <c r="D78">
        <v>6.6</v>
      </c>
      <c r="E78">
        <v>5.7</v>
      </c>
      <c r="F78">
        <v>1.8</v>
      </c>
      <c r="G78">
        <v>3.44</v>
      </c>
      <c r="H78" t="s">
        <v>10</v>
      </c>
    </row>
    <row r="79" spans="1:8" x14ac:dyDescent="0.25">
      <c r="A79">
        <v>78</v>
      </c>
      <c r="B79">
        <v>8.1999999999999993</v>
      </c>
      <c r="C79">
        <v>1.8</v>
      </c>
      <c r="D79">
        <v>6.5</v>
      </c>
      <c r="E79">
        <v>2</v>
      </c>
      <c r="F79">
        <v>5.5</v>
      </c>
      <c r="G79">
        <v>3.35</v>
      </c>
      <c r="H79" t="s">
        <v>10</v>
      </c>
    </row>
    <row r="80" spans="1:8" x14ac:dyDescent="0.25">
      <c r="A80">
        <v>79</v>
      </c>
      <c r="B80">
        <v>8.4</v>
      </c>
      <c r="C80">
        <v>3</v>
      </c>
      <c r="D80">
        <v>9</v>
      </c>
      <c r="E80">
        <v>2.8</v>
      </c>
      <c r="F80">
        <v>0.8</v>
      </c>
      <c r="G80">
        <v>3.26</v>
      </c>
      <c r="H80" t="s">
        <v>10</v>
      </c>
    </row>
    <row r="81" spans="1:8" x14ac:dyDescent="0.25">
      <c r="A81">
        <v>80</v>
      </c>
      <c r="B81">
        <v>5.3</v>
      </c>
      <c r="C81">
        <v>2.2000000000000002</v>
      </c>
      <c r="D81">
        <v>7.2</v>
      </c>
      <c r="E81">
        <v>5.3</v>
      </c>
      <c r="F81">
        <v>4</v>
      </c>
      <c r="G81">
        <v>2.62</v>
      </c>
      <c r="H81" t="s">
        <v>9</v>
      </c>
    </row>
    <row r="82" spans="1:8" x14ac:dyDescent="0.25">
      <c r="A82">
        <v>81</v>
      </c>
      <c r="B82">
        <v>6.8</v>
      </c>
      <c r="C82">
        <v>0.5</v>
      </c>
      <c r="D82">
        <v>5.7</v>
      </c>
      <c r="E82">
        <v>4.5999999999999996</v>
      </c>
      <c r="F82">
        <v>6.4</v>
      </c>
      <c r="G82">
        <v>2.86</v>
      </c>
      <c r="H82" t="s">
        <v>10</v>
      </c>
    </row>
    <row r="83" spans="1:8" x14ac:dyDescent="0.25">
      <c r="A83">
        <v>82</v>
      </c>
      <c r="B83">
        <v>5.4</v>
      </c>
      <c r="C83">
        <v>2.8</v>
      </c>
      <c r="D83">
        <v>5.4</v>
      </c>
      <c r="E83">
        <v>4.9000000000000004</v>
      </c>
      <c r="F83">
        <v>5.5</v>
      </c>
      <c r="G83">
        <v>2.86</v>
      </c>
      <c r="H83" t="s">
        <v>10</v>
      </c>
    </row>
    <row r="84" spans="1:8" x14ac:dyDescent="0.25">
      <c r="A84">
        <v>83</v>
      </c>
      <c r="B84">
        <v>8.5</v>
      </c>
      <c r="C84">
        <v>0.3</v>
      </c>
      <c r="D84">
        <v>5.4</v>
      </c>
      <c r="E84">
        <v>5.9</v>
      </c>
      <c r="F84">
        <v>3.9</v>
      </c>
      <c r="G84">
        <v>2.99</v>
      </c>
      <c r="H84" t="s">
        <v>10</v>
      </c>
    </row>
    <row r="85" spans="1:8" x14ac:dyDescent="0.25">
      <c r="A85">
        <v>84</v>
      </c>
      <c r="B85">
        <v>9.1</v>
      </c>
      <c r="C85">
        <v>3.8</v>
      </c>
      <c r="D85">
        <v>9.9</v>
      </c>
      <c r="E85">
        <v>0.9</v>
      </c>
      <c r="F85">
        <v>0.3</v>
      </c>
      <c r="G85">
        <v>3.08</v>
      </c>
      <c r="H85" t="s">
        <v>10</v>
      </c>
    </row>
    <row r="86" spans="1:8" x14ac:dyDescent="0.25">
      <c r="A86">
        <v>85</v>
      </c>
      <c r="B86">
        <v>6.9</v>
      </c>
      <c r="C86">
        <v>0.3</v>
      </c>
      <c r="D86">
        <v>8.9</v>
      </c>
      <c r="E86">
        <v>3.4</v>
      </c>
      <c r="F86">
        <v>4.5</v>
      </c>
      <c r="G86">
        <v>3.21</v>
      </c>
      <c r="H86" t="s">
        <v>8</v>
      </c>
    </row>
    <row r="87" spans="1:8" x14ac:dyDescent="0.25">
      <c r="A87">
        <v>86</v>
      </c>
      <c r="B87">
        <v>5.6</v>
      </c>
      <c r="C87">
        <v>2</v>
      </c>
      <c r="D87">
        <v>5.0999999999999996</v>
      </c>
      <c r="E87">
        <v>2.8</v>
      </c>
      <c r="F87">
        <v>8.5</v>
      </c>
      <c r="G87">
        <v>2.81</v>
      </c>
      <c r="H87" t="s">
        <v>10</v>
      </c>
    </row>
    <row r="88" spans="1:8" x14ac:dyDescent="0.25">
      <c r="A88">
        <v>87</v>
      </c>
      <c r="B88">
        <v>5.3</v>
      </c>
      <c r="C88">
        <v>0.5</v>
      </c>
      <c r="D88">
        <v>5.6</v>
      </c>
      <c r="E88">
        <v>3.9</v>
      </c>
      <c r="F88">
        <v>8.6999999999999993</v>
      </c>
      <c r="G88">
        <v>2.9</v>
      </c>
      <c r="H88" t="s">
        <v>10</v>
      </c>
    </row>
    <row r="89" spans="1:8" x14ac:dyDescent="0.25">
      <c r="A89">
        <v>88</v>
      </c>
      <c r="B89">
        <v>9.8000000000000007</v>
      </c>
      <c r="C89">
        <v>1.5</v>
      </c>
      <c r="D89">
        <v>6.4</v>
      </c>
      <c r="E89">
        <v>5.2</v>
      </c>
      <c r="F89">
        <v>1.1000000000000001</v>
      </c>
      <c r="G89">
        <v>3.78</v>
      </c>
      <c r="H89" t="s">
        <v>10</v>
      </c>
    </row>
    <row r="90" spans="1:8" x14ac:dyDescent="0.25">
      <c r="A90">
        <v>89</v>
      </c>
      <c r="B90">
        <v>6.1</v>
      </c>
      <c r="C90">
        <v>3.9</v>
      </c>
      <c r="D90">
        <v>5.0999999999999996</v>
      </c>
      <c r="E90">
        <v>5.8</v>
      </c>
      <c r="F90">
        <v>3.1</v>
      </c>
      <c r="G90">
        <v>2.96</v>
      </c>
      <c r="H90" t="s">
        <v>10</v>
      </c>
    </row>
    <row r="91" spans="1:8" x14ac:dyDescent="0.25">
      <c r="A91">
        <v>90</v>
      </c>
      <c r="B91">
        <v>5.4</v>
      </c>
      <c r="C91">
        <v>2.2000000000000002</v>
      </c>
      <c r="D91">
        <v>9.8000000000000007</v>
      </c>
      <c r="E91">
        <v>3.1</v>
      </c>
      <c r="F91">
        <v>3.5</v>
      </c>
      <c r="G91">
        <v>2.81</v>
      </c>
      <c r="H91" t="s">
        <v>9</v>
      </c>
    </row>
    <row r="92" spans="1:8" x14ac:dyDescent="0.25">
      <c r="A92">
        <v>91</v>
      </c>
      <c r="B92">
        <v>8.1</v>
      </c>
      <c r="C92">
        <v>2.8</v>
      </c>
      <c r="D92">
        <v>7.3</v>
      </c>
      <c r="E92">
        <v>3.6</v>
      </c>
      <c r="F92">
        <v>2.2000000000000002</v>
      </c>
      <c r="G92">
        <v>3.39</v>
      </c>
      <c r="H92" t="s">
        <v>10</v>
      </c>
    </row>
    <row r="93" spans="1:8" x14ac:dyDescent="0.25">
      <c r="A93">
        <v>92</v>
      </c>
      <c r="B93">
        <v>5.2</v>
      </c>
      <c r="C93">
        <v>1.1000000000000001</v>
      </c>
      <c r="D93">
        <v>9.8000000000000007</v>
      </c>
      <c r="E93">
        <v>5.3</v>
      </c>
      <c r="F93">
        <v>2.6</v>
      </c>
      <c r="G93">
        <v>2.82</v>
      </c>
      <c r="H93" t="s">
        <v>9</v>
      </c>
    </row>
    <row r="94" spans="1:8" x14ac:dyDescent="0.25">
      <c r="A94">
        <v>93</v>
      </c>
      <c r="B94">
        <v>7.3</v>
      </c>
      <c r="C94">
        <v>2.5</v>
      </c>
      <c r="D94">
        <v>6.4</v>
      </c>
      <c r="E94">
        <v>1.1000000000000001</v>
      </c>
      <c r="F94">
        <v>6.7</v>
      </c>
      <c r="G94">
        <v>2.67</v>
      </c>
      <c r="H94" t="s">
        <v>8</v>
      </c>
    </row>
    <row r="95" spans="1:8" x14ac:dyDescent="0.25">
      <c r="A95">
        <v>94</v>
      </c>
      <c r="B95">
        <v>7.9</v>
      </c>
      <c r="C95">
        <v>0.3</v>
      </c>
      <c r="D95">
        <v>9.9</v>
      </c>
      <c r="E95">
        <v>5.8</v>
      </c>
      <c r="F95">
        <v>0.1</v>
      </c>
      <c r="G95">
        <v>3.08</v>
      </c>
      <c r="H95" t="s">
        <v>8</v>
      </c>
    </row>
    <row r="96" spans="1:8" x14ac:dyDescent="0.25">
      <c r="A96">
        <v>95</v>
      </c>
      <c r="B96">
        <v>8.5</v>
      </c>
      <c r="C96">
        <v>2.1</v>
      </c>
      <c r="D96">
        <v>6.5</v>
      </c>
      <c r="E96">
        <v>4.9000000000000004</v>
      </c>
      <c r="F96">
        <v>2</v>
      </c>
      <c r="G96">
        <v>3.1</v>
      </c>
      <c r="H96" t="s">
        <v>10</v>
      </c>
    </row>
    <row r="97" spans="1:8" x14ac:dyDescent="0.25">
      <c r="A97">
        <v>96</v>
      </c>
      <c r="B97">
        <v>9.6</v>
      </c>
      <c r="C97">
        <v>3.3</v>
      </c>
      <c r="D97">
        <v>9.6999999999999993</v>
      </c>
      <c r="E97">
        <v>1</v>
      </c>
      <c r="F97">
        <v>0.4</v>
      </c>
      <c r="G97">
        <v>3.54</v>
      </c>
      <c r="H97" t="s">
        <v>10</v>
      </c>
    </row>
    <row r="98" spans="1:8" x14ac:dyDescent="0.25">
      <c r="A98">
        <v>97</v>
      </c>
      <c r="B98">
        <v>8.1</v>
      </c>
      <c r="C98">
        <v>1.7</v>
      </c>
      <c r="D98">
        <v>9.6999999999999993</v>
      </c>
      <c r="E98">
        <v>3.9</v>
      </c>
      <c r="F98">
        <v>0.6</v>
      </c>
      <c r="G98">
        <v>3.45</v>
      </c>
      <c r="H98" t="s">
        <v>10</v>
      </c>
    </row>
    <row r="99" spans="1:8" x14ac:dyDescent="0.25">
      <c r="A99">
        <v>98</v>
      </c>
      <c r="B99">
        <v>9.9</v>
      </c>
      <c r="C99">
        <v>0.6</v>
      </c>
      <c r="D99">
        <v>8</v>
      </c>
      <c r="E99">
        <v>2.1</v>
      </c>
      <c r="F99">
        <v>3.4</v>
      </c>
      <c r="G99">
        <v>3.39</v>
      </c>
      <c r="H99" t="s">
        <v>10</v>
      </c>
    </row>
    <row r="100" spans="1:8" x14ac:dyDescent="0.25">
      <c r="A100">
        <v>99</v>
      </c>
      <c r="B100">
        <v>9.8000000000000007</v>
      </c>
      <c r="C100">
        <v>3.4</v>
      </c>
      <c r="D100">
        <v>9.1999999999999993</v>
      </c>
      <c r="E100">
        <v>0.7</v>
      </c>
      <c r="F100">
        <v>0.9</v>
      </c>
      <c r="G100">
        <v>3.15</v>
      </c>
      <c r="H100" t="s">
        <v>10</v>
      </c>
    </row>
    <row r="101" spans="1:8" x14ac:dyDescent="0.25">
      <c r="A101">
        <v>100</v>
      </c>
      <c r="B101">
        <v>5.3</v>
      </c>
      <c r="C101">
        <v>3.5</v>
      </c>
      <c r="D101">
        <v>9.1</v>
      </c>
      <c r="E101">
        <v>6</v>
      </c>
      <c r="F101">
        <v>0.1</v>
      </c>
      <c r="G101">
        <v>2.68</v>
      </c>
      <c r="H101" t="s">
        <v>9</v>
      </c>
    </row>
    <row r="102" spans="1:8" x14ac:dyDescent="0.25">
      <c r="A102">
        <v>101</v>
      </c>
      <c r="B102">
        <v>10</v>
      </c>
      <c r="C102">
        <v>2.2000000000000002</v>
      </c>
      <c r="D102">
        <v>8.8000000000000007</v>
      </c>
      <c r="E102">
        <v>2.8</v>
      </c>
      <c r="F102">
        <v>0.2</v>
      </c>
      <c r="G102">
        <v>3.41</v>
      </c>
      <c r="H102" t="s">
        <v>10</v>
      </c>
    </row>
    <row r="103" spans="1:8" x14ac:dyDescent="0.25">
      <c r="A103">
        <v>102</v>
      </c>
      <c r="B103">
        <v>7.3</v>
      </c>
      <c r="C103">
        <v>0.5</v>
      </c>
      <c r="D103">
        <v>9.8000000000000007</v>
      </c>
      <c r="E103">
        <v>3.6</v>
      </c>
      <c r="F103">
        <v>2.8</v>
      </c>
      <c r="G103">
        <v>3.22</v>
      </c>
      <c r="H103" t="s">
        <v>8</v>
      </c>
    </row>
    <row r="104" spans="1:8" x14ac:dyDescent="0.25">
      <c r="A104">
        <v>103</v>
      </c>
      <c r="B104">
        <v>6.1</v>
      </c>
      <c r="C104">
        <v>2.7</v>
      </c>
      <c r="D104">
        <v>8.1</v>
      </c>
      <c r="E104">
        <v>2.1</v>
      </c>
      <c r="F104">
        <v>5</v>
      </c>
      <c r="G104">
        <v>2.98</v>
      </c>
      <c r="H104" t="s">
        <v>8</v>
      </c>
    </row>
    <row r="105" spans="1:8" x14ac:dyDescent="0.25">
      <c r="A105">
        <v>104</v>
      </c>
      <c r="B105">
        <v>7.6</v>
      </c>
      <c r="C105">
        <v>3.1</v>
      </c>
      <c r="D105">
        <v>7.6</v>
      </c>
      <c r="E105">
        <v>4.9000000000000004</v>
      </c>
      <c r="F105">
        <v>0.8</v>
      </c>
      <c r="G105">
        <v>2.99</v>
      </c>
      <c r="H105" t="s">
        <v>8</v>
      </c>
    </row>
    <row r="106" spans="1:8" x14ac:dyDescent="0.25">
      <c r="A106">
        <v>105</v>
      </c>
      <c r="B106">
        <v>7.8</v>
      </c>
      <c r="C106">
        <v>2.2000000000000002</v>
      </c>
      <c r="D106">
        <v>9.4</v>
      </c>
      <c r="E106">
        <v>1.9</v>
      </c>
      <c r="F106">
        <v>2.7</v>
      </c>
      <c r="G106">
        <v>3.3</v>
      </c>
      <c r="H106" t="s">
        <v>8</v>
      </c>
    </row>
    <row r="107" spans="1:8" x14ac:dyDescent="0.25">
      <c r="A107">
        <v>106</v>
      </c>
      <c r="B107">
        <v>8.5</v>
      </c>
      <c r="C107">
        <v>0.9</v>
      </c>
      <c r="D107">
        <v>5.7</v>
      </c>
      <c r="E107">
        <v>0.1</v>
      </c>
      <c r="F107">
        <v>8.8000000000000007</v>
      </c>
      <c r="G107">
        <v>3.55</v>
      </c>
      <c r="H107" t="s">
        <v>10</v>
      </c>
    </row>
    <row r="108" spans="1:8" x14ac:dyDescent="0.25">
      <c r="A108">
        <v>107</v>
      </c>
      <c r="B108">
        <v>6.8</v>
      </c>
      <c r="C108">
        <v>2.4</v>
      </c>
      <c r="D108">
        <v>7</v>
      </c>
      <c r="E108">
        <v>2.6</v>
      </c>
      <c r="F108">
        <v>5.2</v>
      </c>
      <c r="G108">
        <v>2.97</v>
      </c>
      <c r="H108" t="s">
        <v>8</v>
      </c>
    </row>
    <row r="109" spans="1:8" x14ac:dyDescent="0.25">
      <c r="A109">
        <v>108</v>
      </c>
      <c r="B109">
        <v>7.6</v>
      </c>
      <c r="C109">
        <v>3.1</v>
      </c>
      <c r="D109">
        <v>7</v>
      </c>
      <c r="E109">
        <v>3.7</v>
      </c>
      <c r="F109">
        <v>2.6</v>
      </c>
      <c r="G109">
        <v>3.28</v>
      </c>
      <c r="H109" t="s">
        <v>8</v>
      </c>
    </row>
    <row r="110" spans="1:8" x14ac:dyDescent="0.25">
      <c r="A110">
        <v>109</v>
      </c>
      <c r="B110">
        <v>9.3000000000000007</v>
      </c>
      <c r="C110">
        <v>3.8</v>
      </c>
      <c r="D110">
        <v>5.7</v>
      </c>
      <c r="E110">
        <v>4.8</v>
      </c>
      <c r="F110">
        <v>0.4</v>
      </c>
      <c r="G110">
        <v>3.05</v>
      </c>
      <c r="H110" t="s">
        <v>10</v>
      </c>
    </row>
    <row r="111" spans="1:8" x14ac:dyDescent="0.25">
      <c r="A111">
        <v>110</v>
      </c>
      <c r="B111">
        <v>7.3</v>
      </c>
      <c r="C111">
        <v>3.9</v>
      </c>
      <c r="D111">
        <v>7.5</v>
      </c>
      <c r="E111">
        <v>1.7</v>
      </c>
      <c r="F111">
        <v>3.6</v>
      </c>
      <c r="G111">
        <v>3.08</v>
      </c>
      <c r="H111" t="s">
        <v>8</v>
      </c>
    </row>
    <row r="112" spans="1:8" x14ac:dyDescent="0.25">
      <c r="A112">
        <v>111</v>
      </c>
      <c r="B112">
        <v>8.1999999999999993</v>
      </c>
      <c r="C112">
        <v>1</v>
      </c>
      <c r="D112">
        <v>5.4</v>
      </c>
      <c r="E112">
        <v>0.8</v>
      </c>
      <c r="F112">
        <v>8.6</v>
      </c>
      <c r="G112">
        <v>3.3</v>
      </c>
      <c r="H112" t="s">
        <v>10</v>
      </c>
    </row>
    <row r="113" spans="1:8" x14ac:dyDescent="0.25">
      <c r="A113">
        <v>112</v>
      </c>
      <c r="B113">
        <v>5.9</v>
      </c>
      <c r="C113">
        <v>1.4</v>
      </c>
      <c r="D113">
        <v>9.5</v>
      </c>
      <c r="E113">
        <v>2.8</v>
      </c>
      <c r="F113">
        <v>4.4000000000000004</v>
      </c>
      <c r="G113">
        <v>2.7</v>
      </c>
      <c r="H113" t="s">
        <v>9</v>
      </c>
    </row>
    <row r="114" spans="1:8" x14ac:dyDescent="0.25">
      <c r="A114">
        <v>113</v>
      </c>
      <c r="B114">
        <v>8.3000000000000007</v>
      </c>
      <c r="C114">
        <v>0.7</v>
      </c>
      <c r="D114">
        <v>6</v>
      </c>
      <c r="E114">
        <v>0.2</v>
      </c>
      <c r="F114">
        <v>8.8000000000000007</v>
      </c>
      <c r="G114">
        <v>3.14</v>
      </c>
      <c r="H114" t="s">
        <v>10</v>
      </c>
    </row>
    <row r="115" spans="1:8" x14ac:dyDescent="0.25">
      <c r="A115">
        <v>114</v>
      </c>
      <c r="B115">
        <v>5.9</v>
      </c>
      <c r="C115">
        <v>0.4</v>
      </c>
      <c r="D115">
        <v>5.6</v>
      </c>
      <c r="E115">
        <v>2.8</v>
      </c>
      <c r="F115">
        <v>9.3000000000000007</v>
      </c>
      <c r="G115">
        <v>2.73</v>
      </c>
      <c r="H115" t="s">
        <v>10</v>
      </c>
    </row>
    <row r="116" spans="1:8" x14ac:dyDescent="0.25">
      <c r="A116">
        <v>115</v>
      </c>
      <c r="B116">
        <v>6</v>
      </c>
      <c r="C116">
        <v>1.5</v>
      </c>
      <c r="D116">
        <v>7.5</v>
      </c>
      <c r="E116">
        <v>4.0999999999999996</v>
      </c>
      <c r="F116">
        <v>4.9000000000000004</v>
      </c>
      <c r="G116">
        <v>2.76</v>
      </c>
      <c r="H116" t="s">
        <v>8</v>
      </c>
    </row>
    <row r="117" spans="1:8" x14ac:dyDescent="0.25">
      <c r="A117">
        <v>116</v>
      </c>
      <c r="B117">
        <v>9.4</v>
      </c>
      <c r="C117">
        <v>3.7</v>
      </c>
      <c r="D117">
        <v>5.3</v>
      </c>
      <c r="E117">
        <v>1.6</v>
      </c>
      <c r="F117">
        <v>4</v>
      </c>
      <c r="G117">
        <v>3.45</v>
      </c>
      <c r="H117" t="s">
        <v>10</v>
      </c>
    </row>
    <row r="118" spans="1:8" x14ac:dyDescent="0.25">
      <c r="A118">
        <v>117</v>
      </c>
      <c r="B118">
        <v>9</v>
      </c>
      <c r="C118">
        <v>3</v>
      </c>
      <c r="D118">
        <v>5.9</v>
      </c>
      <c r="E118">
        <v>1.3</v>
      </c>
      <c r="F118">
        <v>4.8</v>
      </c>
      <c r="G118">
        <v>3.29</v>
      </c>
      <c r="H118" t="s">
        <v>10</v>
      </c>
    </row>
    <row r="119" spans="1:8" x14ac:dyDescent="0.25">
      <c r="A119">
        <v>118</v>
      </c>
      <c r="B119">
        <v>8.1</v>
      </c>
      <c r="C119">
        <v>1.5</v>
      </c>
      <c r="D119">
        <v>7.3</v>
      </c>
      <c r="E119">
        <v>4.5</v>
      </c>
      <c r="F119">
        <v>2.6</v>
      </c>
      <c r="G119">
        <v>2.75</v>
      </c>
      <c r="H119" t="s">
        <v>10</v>
      </c>
    </row>
    <row r="120" spans="1:8" x14ac:dyDescent="0.25">
      <c r="A120">
        <v>119</v>
      </c>
      <c r="B120">
        <v>5.2</v>
      </c>
      <c r="C120">
        <v>1</v>
      </c>
      <c r="D120">
        <v>8.6</v>
      </c>
      <c r="E120">
        <v>5.4</v>
      </c>
      <c r="F120">
        <v>3.8</v>
      </c>
      <c r="G120">
        <v>3.4</v>
      </c>
      <c r="H120" t="s">
        <v>9</v>
      </c>
    </row>
    <row r="121" spans="1:8" x14ac:dyDescent="0.25">
      <c r="A121">
        <v>120</v>
      </c>
      <c r="B121">
        <v>5.5</v>
      </c>
      <c r="C121">
        <v>1.8</v>
      </c>
      <c r="D121">
        <v>7.7</v>
      </c>
      <c r="E121">
        <v>1.5</v>
      </c>
      <c r="F121">
        <v>7.5</v>
      </c>
      <c r="G121">
        <v>3.05</v>
      </c>
      <c r="H121" t="s">
        <v>9</v>
      </c>
    </row>
    <row r="122" spans="1:8" x14ac:dyDescent="0.25">
      <c r="A122">
        <v>121</v>
      </c>
      <c r="B122">
        <v>6.3</v>
      </c>
      <c r="C122">
        <v>1.5</v>
      </c>
      <c r="D122">
        <v>5.0999999999999996</v>
      </c>
      <c r="E122">
        <v>1.9</v>
      </c>
      <c r="F122">
        <v>9.1999999999999993</v>
      </c>
      <c r="G122">
        <v>2.82</v>
      </c>
      <c r="H122" t="s">
        <v>10</v>
      </c>
    </row>
    <row r="123" spans="1:8" x14ac:dyDescent="0.25">
      <c r="A123">
        <v>122</v>
      </c>
      <c r="B123">
        <v>5.6</v>
      </c>
      <c r="C123">
        <v>3.6</v>
      </c>
      <c r="D123">
        <v>8</v>
      </c>
      <c r="E123">
        <v>4.0999999999999996</v>
      </c>
      <c r="F123">
        <v>2.7</v>
      </c>
      <c r="G123">
        <v>2.62</v>
      </c>
      <c r="H123" t="s">
        <v>9</v>
      </c>
    </row>
    <row r="124" spans="1:8" x14ac:dyDescent="0.25">
      <c r="A124">
        <v>123</v>
      </c>
      <c r="B124">
        <v>8.9</v>
      </c>
      <c r="C124">
        <v>2</v>
      </c>
      <c r="D124">
        <v>5.4</v>
      </c>
      <c r="E124">
        <v>3.2</v>
      </c>
      <c r="F124">
        <v>4.5</v>
      </c>
      <c r="G124">
        <v>3.64</v>
      </c>
      <c r="H124" t="s">
        <v>10</v>
      </c>
    </row>
    <row r="125" spans="1:8" x14ac:dyDescent="0.25">
      <c r="A125">
        <v>124</v>
      </c>
      <c r="B125">
        <v>7.2</v>
      </c>
      <c r="C125">
        <v>0.5</v>
      </c>
      <c r="D125">
        <v>6.4</v>
      </c>
      <c r="E125">
        <v>2.2000000000000002</v>
      </c>
      <c r="F125">
        <v>7.7</v>
      </c>
      <c r="G125">
        <v>3.19</v>
      </c>
      <c r="H125" t="s">
        <v>8</v>
      </c>
    </row>
    <row r="126" spans="1:8" x14ac:dyDescent="0.25">
      <c r="A126">
        <v>125</v>
      </c>
      <c r="B126">
        <v>8.1999999999999993</v>
      </c>
      <c r="C126">
        <v>2.2999999999999998</v>
      </c>
      <c r="D126">
        <v>6.8</v>
      </c>
      <c r="E126">
        <v>5.9</v>
      </c>
      <c r="F126">
        <v>0.8</v>
      </c>
      <c r="G126">
        <v>2.95</v>
      </c>
      <c r="H126" t="s">
        <v>10</v>
      </c>
    </row>
    <row r="127" spans="1:8" x14ac:dyDescent="0.25">
      <c r="A127">
        <v>126</v>
      </c>
      <c r="B127">
        <v>5.5</v>
      </c>
      <c r="C127">
        <v>0.6</v>
      </c>
      <c r="D127">
        <v>6.2</v>
      </c>
      <c r="E127">
        <v>1</v>
      </c>
      <c r="F127">
        <v>10.7</v>
      </c>
      <c r="G127">
        <v>2.94</v>
      </c>
      <c r="H127" t="s">
        <v>9</v>
      </c>
    </row>
    <row r="128" spans="1:8" x14ac:dyDescent="0.25">
      <c r="A128">
        <v>127</v>
      </c>
      <c r="B128">
        <v>5.9</v>
      </c>
      <c r="C128">
        <v>1.1000000000000001</v>
      </c>
      <c r="D128">
        <v>5.9</v>
      </c>
      <c r="E128">
        <v>5.4</v>
      </c>
      <c r="F128">
        <v>5.7</v>
      </c>
      <c r="G128">
        <v>2.89</v>
      </c>
      <c r="H128" t="s">
        <v>10</v>
      </c>
    </row>
    <row r="129" spans="1:8" x14ac:dyDescent="0.25">
      <c r="A129">
        <v>128</v>
      </c>
      <c r="B129">
        <v>7.1</v>
      </c>
      <c r="C129">
        <v>3.9</v>
      </c>
      <c r="D129">
        <v>5.6</v>
      </c>
      <c r="E129">
        <v>2.4</v>
      </c>
      <c r="F129">
        <v>5</v>
      </c>
      <c r="G129">
        <v>2.9</v>
      </c>
      <c r="H129" t="s">
        <v>10</v>
      </c>
    </row>
    <row r="130" spans="1:8" x14ac:dyDescent="0.25">
      <c r="A130">
        <v>129</v>
      </c>
      <c r="B130">
        <v>9.8000000000000007</v>
      </c>
      <c r="C130">
        <v>3.5</v>
      </c>
      <c r="D130">
        <v>9.1</v>
      </c>
      <c r="E130">
        <v>0.4</v>
      </c>
      <c r="F130">
        <v>1.2</v>
      </c>
      <c r="G130">
        <v>3.57</v>
      </c>
      <c r="H130" t="s">
        <v>10</v>
      </c>
    </row>
    <row r="131" spans="1:8" x14ac:dyDescent="0.25">
      <c r="A131">
        <v>130</v>
      </c>
      <c r="B131">
        <v>9.6</v>
      </c>
      <c r="C131">
        <v>2.2000000000000002</v>
      </c>
      <c r="D131">
        <v>7.9</v>
      </c>
      <c r="E131">
        <v>1.2</v>
      </c>
      <c r="F131">
        <v>3.1</v>
      </c>
      <c r="G131">
        <v>3.24</v>
      </c>
      <c r="H131" t="s">
        <v>10</v>
      </c>
    </row>
    <row r="132" spans="1:8" x14ac:dyDescent="0.25">
      <c r="A132">
        <v>131</v>
      </c>
      <c r="B132">
        <v>8.8000000000000007</v>
      </c>
      <c r="C132">
        <v>0.7</v>
      </c>
      <c r="D132">
        <v>6.6</v>
      </c>
      <c r="E132">
        <v>2.6</v>
      </c>
      <c r="F132">
        <v>5.3</v>
      </c>
      <c r="G132">
        <v>2.99</v>
      </c>
      <c r="H132" t="s">
        <v>10</v>
      </c>
    </row>
    <row r="133" spans="1:8" x14ac:dyDescent="0.25">
      <c r="A133">
        <v>132</v>
      </c>
      <c r="B133">
        <v>5.6</v>
      </c>
      <c r="C133">
        <v>2.4</v>
      </c>
      <c r="D133">
        <v>6.4</v>
      </c>
      <c r="E133">
        <v>3.5</v>
      </c>
      <c r="F133">
        <v>6.1</v>
      </c>
      <c r="G133">
        <v>2.85</v>
      </c>
      <c r="H133" t="s">
        <v>9</v>
      </c>
    </row>
    <row r="134" spans="1:8" x14ac:dyDescent="0.25">
      <c r="A134">
        <v>133</v>
      </c>
      <c r="B134">
        <v>5.8</v>
      </c>
      <c r="C134">
        <v>1.9</v>
      </c>
      <c r="D134">
        <v>7.7</v>
      </c>
      <c r="E134">
        <v>0.3</v>
      </c>
      <c r="F134">
        <v>8.3000000000000007</v>
      </c>
      <c r="G134">
        <v>2.7</v>
      </c>
      <c r="H134" t="s">
        <v>9</v>
      </c>
    </row>
    <row r="135" spans="1:8" x14ac:dyDescent="0.25">
      <c r="A135">
        <v>134</v>
      </c>
      <c r="B135">
        <v>5.3</v>
      </c>
      <c r="C135">
        <v>4</v>
      </c>
      <c r="D135">
        <v>6.6</v>
      </c>
      <c r="E135">
        <v>4.9000000000000004</v>
      </c>
      <c r="F135">
        <v>3.2</v>
      </c>
      <c r="G135">
        <v>2.72</v>
      </c>
      <c r="H135" t="s">
        <v>9</v>
      </c>
    </row>
    <row r="136" spans="1:8" x14ac:dyDescent="0.25">
      <c r="A136">
        <v>135</v>
      </c>
      <c r="B136">
        <v>6.3</v>
      </c>
      <c r="C136">
        <v>2.7</v>
      </c>
      <c r="D136">
        <v>8.8000000000000007</v>
      </c>
      <c r="E136">
        <v>3.6</v>
      </c>
      <c r="F136">
        <v>2.6</v>
      </c>
      <c r="G136">
        <v>2.4500000000000002</v>
      </c>
      <c r="H136" t="s">
        <v>8</v>
      </c>
    </row>
    <row r="137" spans="1:8" x14ac:dyDescent="0.25">
      <c r="A137">
        <v>136</v>
      </c>
      <c r="B137">
        <v>6.7</v>
      </c>
      <c r="C137">
        <v>3.7</v>
      </c>
      <c r="D137">
        <v>9.1999999999999993</v>
      </c>
      <c r="E137">
        <v>4.2</v>
      </c>
      <c r="F137">
        <v>0.2</v>
      </c>
      <c r="G137">
        <v>2.85</v>
      </c>
      <c r="H137" t="s">
        <v>8</v>
      </c>
    </row>
    <row r="138" spans="1:8" x14ac:dyDescent="0.25">
      <c r="A138">
        <v>137</v>
      </c>
      <c r="B138">
        <v>5.6</v>
      </c>
      <c r="C138">
        <v>2.9</v>
      </c>
      <c r="D138">
        <v>9.6999999999999993</v>
      </c>
      <c r="E138">
        <v>1.1000000000000001</v>
      </c>
      <c r="F138">
        <v>4.7</v>
      </c>
      <c r="G138">
        <v>2.86</v>
      </c>
      <c r="H138" t="s">
        <v>9</v>
      </c>
    </row>
    <row r="139" spans="1:8" x14ac:dyDescent="0.25">
      <c r="A139">
        <v>138</v>
      </c>
      <c r="B139">
        <v>7.9</v>
      </c>
      <c r="C139">
        <v>3.4</v>
      </c>
      <c r="D139">
        <v>5.7</v>
      </c>
      <c r="E139">
        <v>4.8</v>
      </c>
      <c r="F139">
        <v>2.2000000000000002</v>
      </c>
      <c r="G139">
        <v>3.15</v>
      </c>
      <c r="H139" t="s">
        <v>10</v>
      </c>
    </row>
    <row r="140" spans="1:8" x14ac:dyDescent="0.25">
      <c r="A140">
        <v>139</v>
      </c>
      <c r="B140">
        <v>6</v>
      </c>
      <c r="C140">
        <v>0.7</v>
      </c>
      <c r="D140">
        <v>5.8</v>
      </c>
      <c r="E140">
        <v>4.9000000000000004</v>
      </c>
      <c r="F140">
        <v>6.6</v>
      </c>
      <c r="G140">
        <v>2.96</v>
      </c>
      <c r="H140" t="s">
        <v>10</v>
      </c>
    </row>
    <row r="141" spans="1:8" x14ac:dyDescent="0.25">
      <c r="A141">
        <v>140</v>
      </c>
      <c r="B141">
        <v>6.8</v>
      </c>
      <c r="C141">
        <v>3.5</v>
      </c>
      <c r="D141">
        <v>7</v>
      </c>
      <c r="E141">
        <v>4.9000000000000004</v>
      </c>
      <c r="F141">
        <v>1.8</v>
      </c>
      <c r="G141">
        <v>3.44</v>
      </c>
      <c r="H141" t="s">
        <v>8</v>
      </c>
    </row>
    <row r="142" spans="1:8" x14ac:dyDescent="0.25">
      <c r="A142">
        <v>141</v>
      </c>
      <c r="B142">
        <v>7.2</v>
      </c>
      <c r="C142">
        <v>1.5</v>
      </c>
      <c r="D142">
        <v>7.3</v>
      </c>
      <c r="E142">
        <v>1.8</v>
      </c>
      <c r="F142">
        <v>6.2</v>
      </c>
      <c r="G142">
        <v>3.08</v>
      </c>
      <c r="H142" t="s">
        <v>8</v>
      </c>
    </row>
    <row r="143" spans="1:8" x14ac:dyDescent="0.25">
      <c r="A143">
        <v>142</v>
      </c>
      <c r="B143">
        <v>6.2</v>
      </c>
      <c r="C143">
        <v>3.6</v>
      </c>
      <c r="D143">
        <v>6.9</v>
      </c>
      <c r="E143">
        <v>3.3</v>
      </c>
      <c r="F143">
        <v>4</v>
      </c>
      <c r="G143">
        <v>3.27</v>
      </c>
      <c r="H143" t="s">
        <v>8</v>
      </c>
    </row>
    <row r="144" spans="1:8" x14ac:dyDescent="0.25">
      <c r="A144">
        <v>143</v>
      </c>
      <c r="B144">
        <v>9.5</v>
      </c>
      <c r="C144">
        <v>2.5</v>
      </c>
      <c r="D144">
        <v>5.6</v>
      </c>
      <c r="E144">
        <v>5.6</v>
      </c>
      <c r="F144">
        <v>0.8</v>
      </c>
      <c r="G144">
        <v>3.13</v>
      </c>
      <c r="H144" t="s">
        <v>10</v>
      </c>
    </row>
    <row r="145" spans="1:8" x14ac:dyDescent="0.25">
      <c r="A145">
        <v>144</v>
      </c>
      <c r="B145">
        <v>5.7</v>
      </c>
      <c r="C145">
        <v>3.2</v>
      </c>
      <c r="D145">
        <v>8.1</v>
      </c>
      <c r="E145">
        <v>3.2</v>
      </c>
      <c r="F145">
        <v>3.8</v>
      </c>
      <c r="G145">
        <v>3.08</v>
      </c>
      <c r="H145" t="s">
        <v>9</v>
      </c>
    </row>
    <row r="146" spans="1:8" x14ac:dyDescent="0.25">
      <c r="A146">
        <v>145</v>
      </c>
      <c r="B146">
        <v>9.5</v>
      </c>
      <c r="C146">
        <v>3.2</v>
      </c>
      <c r="D146">
        <v>5.8</v>
      </c>
      <c r="E146">
        <v>1.7</v>
      </c>
      <c r="F146">
        <v>3.8</v>
      </c>
      <c r="G146">
        <v>3.59</v>
      </c>
      <c r="H146" t="s">
        <v>10</v>
      </c>
    </row>
    <row r="147" spans="1:8" x14ac:dyDescent="0.25">
      <c r="A147">
        <v>146</v>
      </c>
      <c r="B147">
        <v>5.2</v>
      </c>
      <c r="C147">
        <v>2.2999999999999998</v>
      </c>
      <c r="D147">
        <v>8.8000000000000007</v>
      </c>
      <c r="E147">
        <v>5.3</v>
      </c>
      <c r="F147">
        <v>2.4</v>
      </c>
      <c r="G147">
        <v>2.61</v>
      </c>
      <c r="H147" t="s">
        <v>9</v>
      </c>
    </row>
    <row r="148" spans="1:8" x14ac:dyDescent="0.25">
      <c r="A148">
        <v>147</v>
      </c>
      <c r="B148">
        <v>6.7</v>
      </c>
      <c r="C148">
        <v>3.3</v>
      </c>
      <c r="D148">
        <v>5.6</v>
      </c>
      <c r="E148">
        <v>5.0999999999999996</v>
      </c>
      <c r="F148">
        <v>3.3</v>
      </c>
      <c r="G148">
        <v>2.95</v>
      </c>
      <c r="H148" t="s">
        <v>10</v>
      </c>
    </row>
    <row r="149" spans="1:8" x14ac:dyDescent="0.25">
      <c r="A149">
        <v>148</v>
      </c>
      <c r="B149">
        <v>9</v>
      </c>
      <c r="C149">
        <v>0.6</v>
      </c>
      <c r="D149">
        <v>6.1</v>
      </c>
      <c r="E149">
        <v>4.3</v>
      </c>
      <c r="F149">
        <v>4</v>
      </c>
      <c r="G149">
        <v>3.15</v>
      </c>
      <c r="H149" t="s">
        <v>10</v>
      </c>
    </row>
    <row r="150" spans="1:8" x14ac:dyDescent="0.25">
      <c r="A150">
        <v>149</v>
      </c>
      <c r="B150">
        <v>8.6</v>
      </c>
      <c r="C150">
        <v>2.6</v>
      </c>
      <c r="D150">
        <v>8.5</v>
      </c>
      <c r="E150">
        <v>2.2999999999999998</v>
      </c>
      <c r="F150">
        <v>2</v>
      </c>
      <c r="G150">
        <v>3.14</v>
      </c>
      <c r="H150" t="s">
        <v>10</v>
      </c>
    </row>
    <row r="151" spans="1:8" x14ac:dyDescent="0.25">
      <c r="A151">
        <v>150</v>
      </c>
      <c r="B151">
        <v>5.9</v>
      </c>
      <c r="C151">
        <v>3.6</v>
      </c>
      <c r="D151">
        <v>7.9</v>
      </c>
      <c r="E151">
        <v>2.4</v>
      </c>
      <c r="F151">
        <v>4.2</v>
      </c>
      <c r="G151">
        <v>2.64</v>
      </c>
      <c r="H151" t="s">
        <v>9</v>
      </c>
    </row>
    <row r="152" spans="1:8" x14ac:dyDescent="0.25">
      <c r="A152">
        <v>151</v>
      </c>
      <c r="B152">
        <v>7.3</v>
      </c>
      <c r="C152">
        <v>3.8</v>
      </c>
      <c r="D152">
        <v>5.8</v>
      </c>
      <c r="E152">
        <v>3.5</v>
      </c>
      <c r="F152">
        <v>3.6</v>
      </c>
      <c r="G152">
        <v>3.58</v>
      </c>
      <c r="H152" t="s">
        <v>10</v>
      </c>
    </row>
    <row r="153" spans="1:8" x14ac:dyDescent="0.25">
      <c r="A153">
        <v>152</v>
      </c>
      <c r="B153">
        <v>5.0999999999999996</v>
      </c>
      <c r="C153">
        <v>3.5</v>
      </c>
      <c r="D153">
        <v>9.6999999999999993</v>
      </c>
      <c r="E153">
        <v>3.2</v>
      </c>
      <c r="F153">
        <v>2.5</v>
      </c>
      <c r="G153">
        <v>2.79</v>
      </c>
      <c r="H153" t="s">
        <v>9</v>
      </c>
    </row>
    <row r="154" spans="1:8" x14ac:dyDescent="0.25">
      <c r="A154">
        <v>153</v>
      </c>
      <c r="B154">
        <v>8.5</v>
      </c>
      <c r="C154">
        <v>3.7</v>
      </c>
      <c r="D154">
        <v>8.5</v>
      </c>
      <c r="E154">
        <v>0.5</v>
      </c>
      <c r="F154">
        <v>2.8</v>
      </c>
      <c r="G154">
        <v>3.65</v>
      </c>
      <c r="H154" t="s">
        <v>10</v>
      </c>
    </row>
    <row r="155" spans="1:8" x14ac:dyDescent="0.25">
      <c r="A155">
        <v>154</v>
      </c>
      <c r="B155">
        <v>7.1</v>
      </c>
      <c r="C155">
        <v>2.9</v>
      </c>
      <c r="D155">
        <v>9.6999999999999993</v>
      </c>
      <c r="E155">
        <v>4</v>
      </c>
      <c r="F155">
        <v>0.3</v>
      </c>
      <c r="G155">
        <v>3.33</v>
      </c>
      <c r="H155" t="s">
        <v>8</v>
      </c>
    </row>
    <row r="156" spans="1:8" x14ac:dyDescent="0.25">
      <c r="A156">
        <v>155</v>
      </c>
      <c r="B156">
        <v>7.3</v>
      </c>
      <c r="C156">
        <v>0.5</v>
      </c>
      <c r="D156">
        <v>9.9</v>
      </c>
      <c r="E156">
        <v>5</v>
      </c>
      <c r="F156">
        <v>1.3</v>
      </c>
      <c r="G156">
        <v>3.11</v>
      </c>
      <c r="H156" t="s">
        <v>8</v>
      </c>
    </row>
    <row r="157" spans="1:8" x14ac:dyDescent="0.25">
      <c r="A157">
        <v>156</v>
      </c>
      <c r="B157">
        <v>8</v>
      </c>
      <c r="C157">
        <v>1.6</v>
      </c>
      <c r="D157">
        <v>5.3</v>
      </c>
      <c r="E157">
        <v>2</v>
      </c>
      <c r="F157">
        <v>7.1</v>
      </c>
      <c r="G157">
        <v>3.42</v>
      </c>
      <c r="H157" t="s">
        <v>10</v>
      </c>
    </row>
    <row r="158" spans="1:8" x14ac:dyDescent="0.25">
      <c r="A158">
        <v>157</v>
      </c>
      <c r="B158">
        <v>9</v>
      </c>
      <c r="C158">
        <v>0</v>
      </c>
      <c r="D158">
        <v>6.7</v>
      </c>
      <c r="E158">
        <v>2.4</v>
      </c>
      <c r="F158">
        <v>5.9</v>
      </c>
      <c r="G158">
        <v>3.51</v>
      </c>
      <c r="H158" t="s">
        <v>10</v>
      </c>
    </row>
    <row r="159" spans="1:8" x14ac:dyDescent="0.25">
      <c r="A159">
        <v>158</v>
      </c>
      <c r="B159">
        <v>6.7</v>
      </c>
      <c r="C159">
        <v>1.4</v>
      </c>
      <c r="D159">
        <v>8.6999999999999993</v>
      </c>
      <c r="E159">
        <v>2.7</v>
      </c>
      <c r="F159">
        <v>4.5</v>
      </c>
      <c r="G159">
        <v>3.02</v>
      </c>
      <c r="H159" t="s">
        <v>8</v>
      </c>
    </row>
    <row r="160" spans="1:8" x14ac:dyDescent="0.25">
      <c r="A160">
        <v>159</v>
      </c>
      <c r="B160">
        <v>6.1</v>
      </c>
      <c r="C160">
        <v>1.8</v>
      </c>
      <c r="D160">
        <v>5.7</v>
      </c>
      <c r="E160">
        <v>1.1000000000000001</v>
      </c>
      <c r="F160">
        <v>9.3000000000000007</v>
      </c>
      <c r="G160">
        <v>2.38</v>
      </c>
      <c r="H160" t="s">
        <v>10</v>
      </c>
    </row>
    <row r="161" spans="1:8" x14ac:dyDescent="0.25">
      <c r="A161">
        <v>160</v>
      </c>
      <c r="B161">
        <v>9.6</v>
      </c>
      <c r="C161">
        <v>1.4</v>
      </c>
      <c r="D161">
        <v>7.9</v>
      </c>
      <c r="E161">
        <v>3.2</v>
      </c>
      <c r="F161">
        <v>1.9</v>
      </c>
      <c r="G161">
        <v>3.43</v>
      </c>
      <c r="H161" t="s">
        <v>10</v>
      </c>
    </row>
    <row r="162" spans="1:8" x14ac:dyDescent="0.25">
      <c r="A162">
        <v>161</v>
      </c>
      <c r="B162">
        <v>5.0999999999999996</v>
      </c>
      <c r="C162">
        <v>2.7</v>
      </c>
      <c r="D162">
        <v>5.9</v>
      </c>
      <c r="E162">
        <v>5.8</v>
      </c>
      <c r="F162">
        <v>4.5</v>
      </c>
      <c r="G162">
        <v>2.71</v>
      </c>
      <c r="H162" t="s">
        <v>10</v>
      </c>
    </row>
    <row r="163" spans="1:8" x14ac:dyDescent="0.25">
      <c r="A163">
        <v>162</v>
      </c>
      <c r="B163">
        <v>5.4</v>
      </c>
      <c r="C163">
        <v>4</v>
      </c>
      <c r="D163">
        <v>7.5</v>
      </c>
      <c r="E163">
        <v>3.6</v>
      </c>
      <c r="F163">
        <v>3.5</v>
      </c>
      <c r="G163">
        <v>2.59</v>
      </c>
      <c r="H163" t="s">
        <v>9</v>
      </c>
    </row>
    <row r="164" spans="1:8" x14ac:dyDescent="0.25">
      <c r="A164">
        <v>163</v>
      </c>
      <c r="B164">
        <v>5.3</v>
      </c>
      <c r="C164">
        <v>3</v>
      </c>
      <c r="D164">
        <v>6</v>
      </c>
      <c r="E164">
        <v>5.4</v>
      </c>
      <c r="F164">
        <v>4.3</v>
      </c>
      <c r="G164">
        <v>2.68</v>
      </c>
      <c r="H164" t="s">
        <v>9</v>
      </c>
    </row>
    <row r="165" spans="1:8" x14ac:dyDescent="0.25">
      <c r="A165">
        <v>164</v>
      </c>
      <c r="B165">
        <v>5.2</v>
      </c>
      <c r="C165">
        <v>1.9</v>
      </c>
      <c r="D165">
        <v>7.8</v>
      </c>
      <c r="E165">
        <v>0.4</v>
      </c>
      <c r="F165">
        <v>8.6999999999999993</v>
      </c>
      <c r="G165">
        <v>2.67</v>
      </c>
      <c r="H165" t="s">
        <v>9</v>
      </c>
    </row>
    <row r="166" spans="1:8" x14ac:dyDescent="0.25">
      <c r="A166">
        <v>165</v>
      </c>
      <c r="B166">
        <v>8.9</v>
      </c>
      <c r="C166">
        <v>1.8</v>
      </c>
      <c r="D166">
        <v>7.6</v>
      </c>
      <c r="E166">
        <v>2.5</v>
      </c>
      <c r="F166">
        <v>3.2</v>
      </c>
      <c r="G166">
        <v>3.58</v>
      </c>
      <c r="H166" t="s">
        <v>10</v>
      </c>
    </row>
    <row r="167" spans="1:8" x14ac:dyDescent="0.25">
      <c r="A167">
        <v>166</v>
      </c>
      <c r="B167">
        <v>5.8</v>
      </c>
      <c r="C167">
        <v>0.7</v>
      </c>
      <c r="D167">
        <v>9.3000000000000007</v>
      </c>
      <c r="E167">
        <v>5.7</v>
      </c>
      <c r="F167">
        <v>2.5</v>
      </c>
      <c r="G167">
        <v>2.46</v>
      </c>
      <c r="H167" t="s">
        <v>9</v>
      </c>
    </row>
    <row r="168" spans="1:8" x14ac:dyDescent="0.25">
      <c r="A168">
        <v>167</v>
      </c>
      <c r="B168">
        <v>6.9</v>
      </c>
      <c r="C168">
        <v>1.1000000000000001</v>
      </c>
      <c r="D168">
        <v>8.1999999999999993</v>
      </c>
      <c r="E168">
        <v>2.5</v>
      </c>
      <c r="F168">
        <v>5.3</v>
      </c>
      <c r="G168">
        <v>3.22</v>
      </c>
      <c r="H168" t="s">
        <v>8</v>
      </c>
    </row>
    <row r="169" spans="1:8" x14ac:dyDescent="0.25">
      <c r="A169">
        <v>168</v>
      </c>
      <c r="B169">
        <v>5.0999999999999996</v>
      </c>
      <c r="C169">
        <v>0.9</v>
      </c>
      <c r="D169">
        <v>6.2</v>
      </c>
      <c r="E169">
        <v>4</v>
      </c>
      <c r="F169">
        <v>7.8</v>
      </c>
      <c r="G169">
        <v>3.02</v>
      </c>
      <c r="H169" t="s">
        <v>9</v>
      </c>
    </row>
    <row r="170" spans="1:8" x14ac:dyDescent="0.25">
      <c r="A170">
        <v>169</v>
      </c>
      <c r="B170">
        <v>5.0999999999999996</v>
      </c>
      <c r="C170">
        <v>0.4</v>
      </c>
      <c r="D170">
        <v>9</v>
      </c>
      <c r="E170">
        <v>1.1000000000000001</v>
      </c>
      <c r="F170">
        <v>8.4</v>
      </c>
      <c r="G170">
        <v>2.52</v>
      </c>
      <c r="H170" t="s">
        <v>9</v>
      </c>
    </row>
    <row r="171" spans="1:8" x14ac:dyDescent="0.25">
      <c r="A171">
        <v>170</v>
      </c>
      <c r="B171">
        <v>5.5</v>
      </c>
      <c r="C171">
        <v>1</v>
      </c>
      <c r="D171">
        <v>8.6</v>
      </c>
      <c r="E171">
        <v>5.0999999999999996</v>
      </c>
      <c r="F171">
        <v>3.8</v>
      </c>
      <c r="G171">
        <v>2.97</v>
      </c>
      <c r="H171" t="s">
        <v>9</v>
      </c>
    </row>
    <row r="172" spans="1:8" x14ac:dyDescent="0.25">
      <c r="A172">
        <v>171</v>
      </c>
      <c r="B172">
        <v>9.1999999999999993</v>
      </c>
      <c r="C172">
        <v>1.6</v>
      </c>
      <c r="D172">
        <v>8.3000000000000007</v>
      </c>
      <c r="E172">
        <v>1</v>
      </c>
      <c r="F172">
        <v>3.9</v>
      </c>
      <c r="G172">
        <v>3.5</v>
      </c>
      <c r="H172" t="s">
        <v>10</v>
      </c>
    </row>
    <row r="173" spans="1:8" x14ac:dyDescent="0.25">
      <c r="A173">
        <v>172</v>
      </c>
      <c r="B173">
        <v>5.0999999999999996</v>
      </c>
      <c r="C173">
        <v>0.3</v>
      </c>
      <c r="D173">
        <v>6</v>
      </c>
      <c r="E173">
        <v>0.2</v>
      </c>
      <c r="F173">
        <v>12.4</v>
      </c>
      <c r="G173">
        <v>2.7</v>
      </c>
      <c r="H173" t="s">
        <v>9</v>
      </c>
    </row>
    <row r="174" spans="1:8" x14ac:dyDescent="0.25">
      <c r="A174">
        <v>173</v>
      </c>
      <c r="B174">
        <v>5.9</v>
      </c>
      <c r="C174">
        <v>2.2999999999999998</v>
      </c>
      <c r="D174">
        <v>7.1</v>
      </c>
      <c r="E174">
        <v>5.4</v>
      </c>
      <c r="F174">
        <v>3.3</v>
      </c>
      <c r="G174">
        <v>2.78</v>
      </c>
      <c r="H174" t="s">
        <v>9</v>
      </c>
    </row>
    <row r="175" spans="1:8" x14ac:dyDescent="0.25">
      <c r="A175">
        <v>174</v>
      </c>
      <c r="B175">
        <v>6.3</v>
      </c>
      <c r="C175">
        <v>1.5</v>
      </c>
      <c r="D175">
        <v>8</v>
      </c>
      <c r="E175">
        <v>1.6</v>
      </c>
      <c r="F175">
        <v>6.6</v>
      </c>
      <c r="G175">
        <v>3.15</v>
      </c>
      <c r="H175" t="s">
        <v>8</v>
      </c>
    </row>
    <row r="176" spans="1:8" x14ac:dyDescent="0.25">
      <c r="A176">
        <v>175</v>
      </c>
      <c r="B176">
        <v>8.1</v>
      </c>
      <c r="C176">
        <v>1.6</v>
      </c>
      <c r="D176">
        <v>7.8</v>
      </c>
      <c r="E176">
        <v>2.6</v>
      </c>
      <c r="F176">
        <v>3.9</v>
      </c>
      <c r="G176">
        <v>3.26</v>
      </c>
      <c r="H176" t="s">
        <v>10</v>
      </c>
    </row>
    <row r="177" spans="1:8" x14ac:dyDescent="0.25">
      <c r="A177">
        <v>176</v>
      </c>
      <c r="B177">
        <v>8.8000000000000007</v>
      </c>
      <c r="C177">
        <v>0.6</v>
      </c>
      <c r="D177">
        <v>9.3000000000000007</v>
      </c>
      <c r="E177">
        <v>2.6</v>
      </c>
      <c r="F177">
        <v>2.7</v>
      </c>
      <c r="G177">
        <v>3.3</v>
      </c>
      <c r="H177" t="s">
        <v>10</v>
      </c>
    </row>
    <row r="178" spans="1:8" x14ac:dyDescent="0.25">
      <c r="A178">
        <v>177</v>
      </c>
      <c r="B178">
        <v>9.5</v>
      </c>
      <c r="C178">
        <v>3.2</v>
      </c>
      <c r="D178">
        <v>7.1</v>
      </c>
      <c r="E178">
        <v>0.1</v>
      </c>
      <c r="F178">
        <v>4.0999999999999996</v>
      </c>
      <c r="G178">
        <v>3.49</v>
      </c>
      <c r="H178" t="s">
        <v>10</v>
      </c>
    </row>
    <row r="179" spans="1:8" x14ac:dyDescent="0.25">
      <c r="A179">
        <v>178</v>
      </c>
      <c r="B179">
        <v>8.1999999999999993</v>
      </c>
      <c r="C179">
        <v>1</v>
      </c>
      <c r="D179">
        <v>5.7</v>
      </c>
      <c r="E179">
        <v>5</v>
      </c>
      <c r="F179">
        <v>4.0999999999999996</v>
      </c>
      <c r="G179">
        <v>2.89</v>
      </c>
      <c r="H179" t="s">
        <v>10</v>
      </c>
    </row>
    <row r="180" spans="1:8" x14ac:dyDescent="0.25">
      <c r="A180">
        <v>179</v>
      </c>
      <c r="B180">
        <v>9.9</v>
      </c>
      <c r="C180">
        <v>2.1</v>
      </c>
      <c r="D180">
        <v>5.9</v>
      </c>
      <c r="E180">
        <v>1.6</v>
      </c>
      <c r="F180">
        <v>4.5</v>
      </c>
      <c r="G180">
        <v>3.52</v>
      </c>
      <c r="H180" t="s">
        <v>10</v>
      </c>
    </row>
    <row r="181" spans="1:8" x14ac:dyDescent="0.25">
      <c r="A181">
        <v>180</v>
      </c>
      <c r="B181">
        <v>6.4</v>
      </c>
      <c r="C181">
        <v>2.2000000000000002</v>
      </c>
      <c r="D181">
        <v>8.3000000000000007</v>
      </c>
      <c r="E181">
        <v>5</v>
      </c>
      <c r="F181">
        <v>2.1</v>
      </c>
      <c r="G181">
        <v>2.76</v>
      </c>
      <c r="H181" t="s">
        <v>8</v>
      </c>
    </row>
    <row r="182" spans="1:8" x14ac:dyDescent="0.25">
      <c r="A182">
        <v>181</v>
      </c>
      <c r="B182">
        <v>6</v>
      </c>
      <c r="C182">
        <v>0</v>
      </c>
      <c r="D182">
        <v>5.7</v>
      </c>
      <c r="E182">
        <v>5.4</v>
      </c>
      <c r="F182">
        <v>6.9</v>
      </c>
      <c r="G182">
        <v>2.95</v>
      </c>
      <c r="H182" t="s">
        <v>10</v>
      </c>
    </row>
    <row r="183" spans="1:8" x14ac:dyDescent="0.25">
      <c r="A183">
        <v>182</v>
      </c>
      <c r="B183">
        <v>8</v>
      </c>
      <c r="C183">
        <v>2.7</v>
      </c>
      <c r="D183">
        <v>5.9</v>
      </c>
      <c r="E183">
        <v>5.5</v>
      </c>
      <c r="F183">
        <v>1.9</v>
      </c>
      <c r="G183">
        <v>3.4</v>
      </c>
      <c r="H183" t="s">
        <v>10</v>
      </c>
    </row>
    <row r="184" spans="1:8" x14ac:dyDescent="0.25">
      <c r="A184">
        <v>183</v>
      </c>
      <c r="B184">
        <v>7.1</v>
      </c>
      <c r="C184">
        <v>1.5</v>
      </c>
      <c r="D184">
        <v>7.6</v>
      </c>
      <c r="E184">
        <v>0.3</v>
      </c>
      <c r="F184">
        <v>7.5</v>
      </c>
      <c r="G184">
        <v>3.17</v>
      </c>
      <c r="H184" t="s">
        <v>8</v>
      </c>
    </row>
    <row r="185" spans="1:8" x14ac:dyDescent="0.25">
      <c r="A185">
        <v>184</v>
      </c>
      <c r="B185">
        <v>5.4</v>
      </c>
      <c r="C185">
        <v>2.4</v>
      </c>
      <c r="D185">
        <v>6.2</v>
      </c>
      <c r="E185">
        <v>2.2999999999999998</v>
      </c>
      <c r="F185">
        <v>7.7</v>
      </c>
      <c r="G185">
        <v>2.66</v>
      </c>
      <c r="H185" t="s">
        <v>9</v>
      </c>
    </row>
    <row r="186" spans="1:8" x14ac:dyDescent="0.25">
      <c r="A186">
        <v>185</v>
      </c>
      <c r="B186">
        <v>6.4</v>
      </c>
      <c r="C186">
        <v>1.4</v>
      </c>
      <c r="D186">
        <v>8.6</v>
      </c>
      <c r="E186">
        <v>1.8</v>
      </c>
      <c r="F186">
        <v>5.8</v>
      </c>
      <c r="G186">
        <v>2.77</v>
      </c>
      <c r="H186" t="s">
        <v>8</v>
      </c>
    </row>
    <row r="187" spans="1:8" x14ac:dyDescent="0.25">
      <c r="A187">
        <v>186</v>
      </c>
      <c r="B187">
        <v>8.3000000000000007</v>
      </c>
      <c r="C187">
        <v>3.7</v>
      </c>
      <c r="D187">
        <v>8.6999999999999993</v>
      </c>
      <c r="E187">
        <v>0.7</v>
      </c>
      <c r="F187">
        <v>2.6</v>
      </c>
      <c r="G187">
        <v>3.77</v>
      </c>
      <c r="H187" t="s">
        <v>10</v>
      </c>
    </row>
    <row r="188" spans="1:8" x14ac:dyDescent="0.25">
      <c r="A188">
        <v>187</v>
      </c>
      <c r="B188">
        <v>5.2</v>
      </c>
      <c r="C188">
        <v>1</v>
      </c>
      <c r="D188">
        <v>8</v>
      </c>
      <c r="E188">
        <v>0.3</v>
      </c>
      <c r="F188">
        <v>9.5</v>
      </c>
      <c r="G188">
        <v>3.29</v>
      </c>
      <c r="H188" t="s">
        <v>9</v>
      </c>
    </row>
    <row r="189" spans="1:8" x14ac:dyDescent="0.25">
      <c r="A189">
        <v>188</v>
      </c>
      <c r="B189">
        <v>6.7</v>
      </c>
      <c r="C189">
        <v>3.1</v>
      </c>
      <c r="D189">
        <v>5.5</v>
      </c>
      <c r="E189">
        <v>0.5</v>
      </c>
      <c r="F189">
        <v>8.1999999999999993</v>
      </c>
      <c r="G189">
        <v>2.99</v>
      </c>
      <c r="H189" t="s">
        <v>10</v>
      </c>
    </row>
    <row r="190" spans="1:8" x14ac:dyDescent="0.25">
      <c r="A190">
        <v>189</v>
      </c>
      <c r="B190">
        <v>8.6</v>
      </c>
      <c r="C190">
        <v>2</v>
      </c>
      <c r="D190">
        <v>8.4</v>
      </c>
      <c r="E190">
        <v>2.2000000000000002</v>
      </c>
      <c r="F190">
        <v>2.8</v>
      </c>
      <c r="G190">
        <v>3.43</v>
      </c>
      <c r="H190" t="s">
        <v>10</v>
      </c>
    </row>
    <row r="191" spans="1:8" x14ac:dyDescent="0.25">
      <c r="A191">
        <v>190</v>
      </c>
      <c r="B191">
        <v>9</v>
      </c>
      <c r="C191">
        <v>2.8</v>
      </c>
      <c r="D191">
        <v>6.4</v>
      </c>
      <c r="E191">
        <v>3.4</v>
      </c>
      <c r="F191">
        <v>2.4</v>
      </c>
      <c r="G191">
        <v>3.24</v>
      </c>
      <c r="H191" t="s">
        <v>10</v>
      </c>
    </row>
    <row r="192" spans="1:8" x14ac:dyDescent="0.25">
      <c r="A192">
        <v>191</v>
      </c>
      <c r="B192">
        <v>6.8</v>
      </c>
      <c r="C192">
        <v>0.4</v>
      </c>
      <c r="D192">
        <v>9.6</v>
      </c>
      <c r="E192">
        <v>0.8</v>
      </c>
      <c r="F192">
        <v>6.4</v>
      </c>
      <c r="G192">
        <v>3.01</v>
      </c>
      <c r="H192" t="s">
        <v>8</v>
      </c>
    </row>
    <row r="193" spans="1:8" x14ac:dyDescent="0.25">
      <c r="A193">
        <v>192</v>
      </c>
      <c r="B193">
        <v>5.9</v>
      </c>
      <c r="C193">
        <v>2.2000000000000002</v>
      </c>
      <c r="D193">
        <v>9.4</v>
      </c>
      <c r="E193">
        <v>4.4000000000000004</v>
      </c>
      <c r="F193">
        <v>2.1</v>
      </c>
      <c r="G193">
        <v>3.01</v>
      </c>
      <c r="H193" t="s">
        <v>9</v>
      </c>
    </row>
    <row r="194" spans="1:8" x14ac:dyDescent="0.25">
      <c r="A194">
        <v>193</v>
      </c>
      <c r="B194">
        <v>9</v>
      </c>
      <c r="C194">
        <v>2.6</v>
      </c>
      <c r="D194">
        <v>8.5</v>
      </c>
      <c r="E194">
        <v>3.3</v>
      </c>
      <c r="F194">
        <v>0.6</v>
      </c>
      <c r="G194">
        <v>3.34</v>
      </c>
      <c r="H194" t="s">
        <v>10</v>
      </c>
    </row>
    <row r="195" spans="1:8" x14ac:dyDescent="0.25">
      <c r="A195">
        <v>194</v>
      </c>
      <c r="B195">
        <v>6.1</v>
      </c>
      <c r="C195">
        <v>4</v>
      </c>
      <c r="D195">
        <v>9.6999999999999993</v>
      </c>
      <c r="E195">
        <v>0.2</v>
      </c>
      <c r="F195">
        <v>4</v>
      </c>
      <c r="G195">
        <v>2.58</v>
      </c>
      <c r="H195" t="s">
        <v>8</v>
      </c>
    </row>
    <row r="196" spans="1:8" x14ac:dyDescent="0.25">
      <c r="A196">
        <v>195</v>
      </c>
      <c r="B196">
        <v>8.5</v>
      </c>
      <c r="C196">
        <v>3.7</v>
      </c>
      <c r="D196">
        <v>5.9</v>
      </c>
      <c r="E196">
        <v>3.4</v>
      </c>
      <c r="F196">
        <v>2.5</v>
      </c>
      <c r="G196">
        <v>3.06</v>
      </c>
      <c r="H196" t="s">
        <v>10</v>
      </c>
    </row>
    <row r="197" spans="1:8" x14ac:dyDescent="0.25">
      <c r="A197">
        <v>196</v>
      </c>
      <c r="B197">
        <v>9.6</v>
      </c>
      <c r="C197">
        <v>3.9</v>
      </c>
      <c r="D197">
        <v>9.6999999999999993</v>
      </c>
      <c r="E197">
        <v>0.4</v>
      </c>
      <c r="F197">
        <v>0.4</v>
      </c>
      <c r="G197">
        <v>3.65</v>
      </c>
      <c r="H197" t="s">
        <v>10</v>
      </c>
    </row>
    <row r="198" spans="1:8" x14ac:dyDescent="0.25">
      <c r="A198">
        <v>197</v>
      </c>
      <c r="B198">
        <v>9.3000000000000007</v>
      </c>
      <c r="C198">
        <v>3.4</v>
      </c>
      <c r="D198">
        <v>6.6</v>
      </c>
      <c r="E198">
        <v>3.9</v>
      </c>
      <c r="F198">
        <v>0.8</v>
      </c>
      <c r="G198">
        <v>3.41</v>
      </c>
      <c r="H198" t="s">
        <v>10</v>
      </c>
    </row>
    <row r="199" spans="1:8" x14ac:dyDescent="0.25">
      <c r="A199">
        <v>198</v>
      </c>
      <c r="B199">
        <v>6.2</v>
      </c>
      <c r="C199">
        <v>0.5</v>
      </c>
      <c r="D199">
        <v>5.4</v>
      </c>
      <c r="E199">
        <v>4.2</v>
      </c>
      <c r="F199">
        <v>7.7</v>
      </c>
      <c r="G199">
        <v>2.84</v>
      </c>
      <c r="H199" t="s">
        <v>10</v>
      </c>
    </row>
    <row r="200" spans="1:8" x14ac:dyDescent="0.25">
      <c r="A200">
        <v>199</v>
      </c>
      <c r="B200">
        <v>6.7</v>
      </c>
      <c r="C200">
        <v>2.9</v>
      </c>
      <c r="D200">
        <v>5.3</v>
      </c>
      <c r="E200">
        <v>1.9</v>
      </c>
      <c r="F200">
        <v>7.2</v>
      </c>
      <c r="G200">
        <v>3.29</v>
      </c>
      <c r="H200" t="s">
        <v>10</v>
      </c>
    </row>
    <row r="201" spans="1:8" x14ac:dyDescent="0.25">
      <c r="A201">
        <v>200</v>
      </c>
      <c r="B201">
        <v>6.6</v>
      </c>
      <c r="C201">
        <v>2.5</v>
      </c>
      <c r="D201">
        <v>9.4</v>
      </c>
      <c r="E201">
        <v>3.4</v>
      </c>
      <c r="F201">
        <v>2.1</v>
      </c>
      <c r="G201">
        <v>3.03</v>
      </c>
      <c r="H201" t="s">
        <v>8</v>
      </c>
    </row>
    <row r="202" spans="1:8" x14ac:dyDescent="0.25">
      <c r="A202">
        <v>201</v>
      </c>
      <c r="B202">
        <v>6.2</v>
      </c>
      <c r="C202">
        <v>0.1</v>
      </c>
      <c r="D202">
        <v>9.4</v>
      </c>
      <c r="E202">
        <v>0.1</v>
      </c>
      <c r="F202">
        <v>8.1999999999999993</v>
      </c>
      <c r="G202">
        <v>2.95</v>
      </c>
      <c r="H202" t="s">
        <v>8</v>
      </c>
    </row>
    <row r="203" spans="1:8" x14ac:dyDescent="0.25">
      <c r="A203">
        <v>202</v>
      </c>
      <c r="B203">
        <v>9.6999999999999993</v>
      </c>
      <c r="C203">
        <v>3.2</v>
      </c>
      <c r="D203">
        <v>10</v>
      </c>
      <c r="E203">
        <v>0.4</v>
      </c>
      <c r="F203">
        <v>0.7</v>
      </c>
      <c r="G203">
        <v>3.67</v>
      </c>
      <c r="H203" t="s">
        <v>10</v>
      </c>
    </row>
    <row r="204" spans="1:8" x14ac:dyDescent="0.25">
      <c r="A204">
        <v>203</v>
      </c>
      <c r="B204">
        <v>8.8000000000000007</v>
      </c>
      <c r="C204">
        <v>1.6</v>
      </c>
      <c r="D204">
        <v>7.4</v>
      </c>
      <c r="E204">
        <v>3.8</v>
      </c>
      <c r="F204">
        <v>2.4</v>
      </c>
      <c r="G204">
        <v>3.23</v>
      </c>
      <c r="H204" t="s">
        <v>10</v>
      </c>
    </row>
    <row r="205" spans="1:8" x14ac:dyDescent="0.25">
      <c r="A205">
        <v>204</v>
      </c>
      <c r="B205">
        <v>7.1</v>
      </c>
      <c r="C205">
        <v>3</v>
      </c>
      <c r="D205">
        <v>6.2</v>
      </c>
      <c r="E205">
        <v>0.7</v>
      </c>
      <c r="F205">
        <v>7</v>
      </c>
      <c r="G205">
        <v>3.36</v>
      </c>
      <c r="H205" t="s">
        <v>8</v>
      </c>
    </row>
    <row r="206" spans="1:8" x14ac:dyDescent="0.25">
      <c r="A206">
        <v>205</v>
      </c>
      <c r="B206">
        <v>6.8</v>
      </c>
      <c r="C206">
        <v>1.1000000000000001</v>
      </c>
      <c r="D206">
        <v>6.5</v>
      </c>
      <c r="E206">
        <v>1.4</v>
      </c>
      <c r="F206">
        <v>8.1999999999999993</v>
      </c>
      <c r="G206">
        <v>3.01</v>
      </c>
      <c r="H206" t="s">
        <v>8</v>
      </c>
    </row>
    <row r="207" spans="1:8" x14ac:dyDescent="0.25">
      <c r="A207">
        <v>206</v>
      </c>
      <c r="B207">
        <v>6.9</v>
      </c>
      <c r="C207">
        <v>2.7</v>
      </c>
      <c r="D207">
        <v>6.1</v>
      </c>
      <c r="E207">
        <v>5.7</v>
      </c>
      <c r="F207">
        <v>2.6</v>
      </c>
      <c r="G207">
        <v>3.08</v>
      </c>
      <c r="H207" t="s">
        <v>8</v>
      </c>
    </row>
    <row r="208" spans="1:8" x14ac:dyDescent="0.25">
      <c r="A208">
        <v>207</v>
      </c>
      <c r="B208">
        <v>8.9</v>
      </c>
      <c r="C208">
        <v>0.4</v>
      </c>
      <c r="D208">
        <v>7.1</v>
      </c>
      <c r="E208">
        <v>5.3</v>
      </c>
      <c r="F208">
        <v>2.2999999999999998</v>
      </c>
      <c r="G208">
        <v>3.33</v>
      </c>
      <c r="H208" t="s">
        <v>10</v>
      </c>
    </row>
    <row r="209" spans="1:8" x14ac:dyDescent="0.25">
      <c r="A209">
        <v>208</v>
      </c>
      <c r="B209">
        <v>8.1</v>
      </c>
      <c r="C209">
        <v>0.7</v>
      </c>
      <c r="D209">
        <v>10</v>
      </c>
      <c r="E209">
        <v>1.2</v>
      </c>
      <c r="F209">
        <v>4</v>
      </c>
      <c r="G209">
        <v>3.35</v>
      </c>
      <c r="H209" t="s">
        <v>10</v>
      </c>
    </row>
    <row r="210" spans="1:8" x14ac:dyDescent="0.25">
      <c r="A210">
        <v>209</v>
      </c>
      <c r="B210">
        <v>9.6999999999999993</v>
      </c>
      <c r="C210">
        <v>2.6</v>
      </c>
      <c r="D210">
        <v>8</v>
      </c>
      <c r="E210">
        <v>1.9</v>
      </c>
      <c r="F210">
        <v>1.8</v>
      </c>
      <c r="G210">
        <v>3.33</v>
      </c>
      <c r="H210" t="s">
        <v>10</v>
      </c>
    </row>
    <row r="211" spans="1:8" x14ac:dyDescent="0.25">
      <c r="A211">
        <v>210</v>
      </c>
      <c r="B211">
        <v>6.1</v>
      </c>
      <c r="C211">
        <v>0.7</v>
      </c>
      <c r="D211">
        <v>8.9</v>
      </c>
      <c r="E211">
        <v>2.1</v>
      </c>
      <c r="F211">
        <v>6.2</v>
      </c>
      <c r="G211">
        <v>2.81</v>
      </c>
      <c r="H211" t="s">
        <v>8</v>
      </c>
    </row>
    <row r="212" spans="1:8" x14ac:dyDescent="0.25">
      <c r="A212">
        <v>211</v>
      </c>
      <c r="B212">
        <v>5.3</v>
      </c>
      <c r="C212">
        <v>3.9</v>
      </c>
      <c r="D212">
        <v>9.4</v>
      </c>
      <c r="E212">
        <v>5</v>
      </c>
      <c r="F212">
        <v>0.4</v>
      </c>
      <c r="G212">
        <v>3.08</v>
      </c>
      <c r="H212" t="s">
        <v>9</v>
      </c>
    </row>
    <row r="213" spans="1:8" x14ac:dyDescent="0.25">
      <c r="A213">
        <v>212</v>
      </c>
      <c r="B213">
        <v>8.5</v>
      </c>
      <c r="C213">
        <v>0.6</v>
      </c>
      <c r="D213">
        <v>9.1</v>
      </c>
      <c r="E213">
        <v>1.3</v>
      </c>
      <c r="F213">
        <v>4.5</v>
      </c>
      <c r="G213">
        <v>3.16</v>
      </c>
      <c r="H213" t="s">
        <v>10</v>
      </c>
    </row>
    <row r="214" spans="1:8" x14ac:dyDescent="0.25">
      <c r="A214">
        <v>213</v>
      </c>
      <c r="B214">
        <v>6.1</v>
      </c>
      <c r="C214">
        <v>2.1</v>
      </c>
      <c r="D214">
        <v>8</v>
      </c>
      <c r="E214">
        <v>3.5</v>
      </c>
      <c r="F214">
        <v>4.3</v>
      </c>
      <c r="G214">
        <v>2.79</v>
      </c>
      <c r="H214" t="s">
        <v>8</v>
      </c>
    </row>
    <row r="215" spans="1:8" x14ac:dyDescent="0.25">
      <c r="A215">
        <v>214</v>
      </c>
      <c r="B215">
        <v>9.4</v>
      </c>
      <c r="C215">
        <v>3.8</v>
      </c>
      <c r="D215">
        <v>9.3000000000000007</v>
      </c>
      <c r="E215">
        <v>1.2</v>
      </c>
      <c r="F215">
        <v>0.3</v>
      </c>
      <c r="G215">
        <v>3.33</v>
      </c>
      <c r="H215" t="s">
        <v>10</v>
      </c>
    </row>
    <row r="216" spans="1:8" x14ac:dyDescent="0.25">
      <c r="A216">
        <v>215</v>
      </c>
      <c r="B216">
        <v>8.3000000000000007</v>
      </c>
      <c r="C216">
        <v>2.2000000000000002</v>
      </c>
      <c r="D216">
        <v>5.4</v>
      </c>
      <c r="E216">
        <v>2.5</v>
      </c>
      <c r="F216">
        <v>5.6</v>
      </c>
      <c r="G216">
        <v>2.97</v>
      </c>
      <c r="H216" t="s">
        <v>10</v>
      </c>
    </row>
    <row r="217" spans="1:8" x14ac:dyDescent="0.25">
      <c r="A217">
        <v>216</v>
      </c>
      <c r="B217">
        <v>8.6</v>
      </c>
      <c r="C217">
        <v>2</v>
      </c>
      <c r="D217">
        <v>5.4</v>
      </c>
      <c r="E217">
        <v>1.3</v>
      </c>
      <c r="F217">
        <v>6.7</v>
      </c>
      <c r="G217">
        <v>3.14</v>
      </c>
      <c r="H217" t="s">
        <v>10</v>
      </c>
    </row>
    <row r="218" spans="1:8" x14ac:dyDescent="0.25">
      <c r="A218">
        <v>217</v>
      </c>
      <c r="B218">
        <v>8.4</v>
      </c>
      <c r="C218">
        <v>0.3</v>
      </c>
      <c r="D218">
        <v>9.3000000000000007</v>
      </c>
      <c r="E218">
        <v>3</v>
      </c>
      <c r="F218">
        <v>3</v>
      </c>
      <c r="G218">
        <v>3.77</v>
      </c>
      <c r="H218" t="s">
        <v>10</v>
      </c>
    </row>
    <row r="219" spans="1:8" x14ac:dyDescent="0.25">
      <c r="A219">
        <v>218</v>
      </c>
      <c r="B219">
        <v>9.1</v>
      </c>
      <c r="C219">
        <v>1.4</v>
      </c>
      <c r="D219">
        <v>8.4</v>
      </c>
      <c r="E219">
        <v>2.9</v>
      </c>
      <c r="F219">
        <v>2.2000000000000002</v>
      </c>
      <c r="G219">
        <v>3.26</v>
      </c>
      <c r="H219" t="s">
        <v>10</v>
      </c>
    </row>
    <row r="220" spans="1:8" x14ac:dyDescent="0.25">
      <c r="A220">
        <v>219</v>
      </c>
      <c r="B220">
        <v>6.3</v>
      </c>
      <c r="C220">
        <v>3.5</v>
      </c>
      <c r="D220">
        <v>9</v>
      </c>
      <c r="E220">
        <v>3.4</v>
      </c>
      <c r="F220">
        <v>1.8</v>
      </c>
      <c r="G220">
        <v>3.11</v>
      </c>
      <c r="H220" t="s">
        <v>8</v>
      </c>
    </row>
    <row r="221" spans="1:8" x14ac:dyDescent="0.25">
      <c r="A221">
        <v>220</v>
      </c>
      <c r="B221">
        <v>8.5</v>
      </c>
      <c r="C221">
        <v>2.7</v>
      </c>
      <c r="D221">
        <v>8.1</v>
      </c>
      <c r="E221">
        <v>3.5</v>
      </c>
      <c r="F221">
        <v>1.2</v>
      </c>
      <c r="G221">
        <v>3.38</v>
      </c>
      <c r="H221" t="s">
        <v>10</v>
      </c>
    </row>
    <row r="222" spans="1:8" x14ac:dyDescent="0.25">
      <c r="A222">
        <v>221</v>
      </c>
      <c r="B222">
        <v>5.8</v>
      </c>
      <c r="C222">
        <v>3.5</v>
      </c>
      <c r="D222">
        <v>9.4</v>
      </c>
      <c r="E222">
        <v>0.2</v>
      </c>
      <c r="F222">
        <v>5.0999999999999996</v>
      </c>
      <c r="G222">
        <v>2.84</v>
      </c>
      <c r="H222" t="s">
        <v>9</v>
      </c>
    </row>
    <row r="223" spans="1:8" x14ac:dyDescent="0.25">
      <c r="A223">
        <v>222</v>
      </c>
      <c r="B223">
        <v>6.7</v>
      </c>
      <c r="C223">
        <v>3</v>
      </c>
      <c r="D223">
        <v>5.8</v>
      </c>
      <c r="E223">
        <v>4.9000000000000004</v>
      </c>
      <c r="F223">
        <v>3.6</v>
      </c>
      <c r="G223">
        <v>3.03</v>
      </c>
      <c r="H223" t="s">
        <v>10</v>
      </c>
    </row>
    <row r="224" spans="1:8" x14ac:dyDescent="0.25">
      <c r="A224">
        <v>223</v>
      </c>
      <c r="B224">
        <v>9.1999999999999993</v>
      </c>
      <c r="C224">
        <v>2</v>
      </c>
      <c r="D224">
        <v>5</v>
      </c>
      <c r="E224">
        <v>1.7</v>
      </c>
      <c r="F224">
        <v>6.1</v>
      </c>
      <c r="G224">
        <v>3.42</v>
      </c>
      <c r="H224" t="s">
        <v>10</v>
      </c>
    </row>
    <row r="225" spans="1:8" x14ac:dyDescent="0.25">
      <c r="A225">
        <v>224</v>
      </c>
      <c r="B225">
        <v>8.1999999999999993</v>
      </c>
      <c r="C225">
        <v>1</v>
      </c>
      <c r="D225">
        <v>8.1999999999999993</v>
      </c>
      <c r="E225">
        <v>3.2</v>
      </c>
      <c r="F225">
        <v>3.4</v>
      </c>
      <c r="G225">
        <v>3.24</v>
      </c>
      <c r="H225" t="s">
        <v>10</v>
      </c>
    </row>
    <row r="226" spans="1:8" x14ac:dyDescent="0.25">
      <c r="A226">
        <v>225</v>
      </c>
      <c r="B226">
        <v>8.9</v>
      </c>
      <c r="C226">
        <v>0.4</v>
      </c>
      <c r="D226">
        <v>8.8000000000000007</v>
      </c>
      <c r="E226">
        <v>3.2</v>
      </c>
      <c r="F226">
        <v>2.7</v>
      </c>
      <c r="G226">
        <v>3.32</v>
      </c>
      <c r="H226" t="s">
        <v>10</v>
      </c>
    </row>
    <row r="227" spans="1:8" x14ac:dyDescent="0.25">
      <c r="A227">
        <v>226</v>
      </c>
      <c r="B227">
        <v>8.1999999999999993</v>
      </c>
      <c r="C227">
        <v>3.7</v>
      </c>
      <c r="D227">
        <v>5.5</v>
      </c>
      <c r="E227">
        <v>5.6</v>
      </c>
      <c r="F227">
        <v>1</v>
      </c>
      <c r="G227">
        <v>3.29</v>
      </c>
      <c r="H227" t="s">
        <v>10</v>
      </c>
    </row>
    <row r="228" spans="1:8" x14ac:dyDescent="0.25">
      <c r="A228">
        <v>227</v>
      </c>
      <c r="B228">
        <v>8.4</v>
      </c>
      <c r="C228">
        <v>0.3</v>
      </c>
      <c r="D228">
        <v>6.5</v>
      </c>
      <c r="E228">
        <v>4.2</v>
      </c>
      <c r="F228">
        <v>4.5999999999999996</v>
      </c>
      <c r="G228">
        <v>3.29</v>
      </c>
      <c r="H228" t="s">
        <v>10</v>
      </c>
    </row>
    <row r="229" spans="1:8" x14ac:dyDescent="0.25">
      <c r="A229">
        <v>228</v>
      </c>
      <c r="B229">
        <v>6.7</v>
      </c>
      <c r="C229">
        <v>2.5</v>
      </c>
      <c r="D229">
        <v>5.2</v>
      </c>
      <c r="E229">
        <v>5.2</v>
      </c>
      <c r="F229">
        <v>4.4000000000000004</v>
      </c>
      <c r="G229">
        <v>2.86</v>
      </c>
      <c r="H229" t="s">
        <v>10</v>
      </c>
    </row>
    <row r="230" spans="1:8" x14ac:dyDescent="0.25">
      <c r="A230">
        <v>229</v>
      </c>
      <c r="B230">
        <v>9.9</v>
      </c>
      <c r="C230">
        <v>3.9</v>
      </c>
      <c r="D230">
        <v>8.6999999999999993</v>
      </c>
      <c r="E230">
        <v>0.2</v>
      </c>
      <c r="F230">
        <v>1.3</v>
      </c>
      <c r="G230">
        <v>3.8</v>
      </c>
      <c r="H230" t="s">
        <v>10</v>
      </c>
    </row>
    <row r="231" spans="1:8" x14ac:dyDescent="0.25">
      <c r="A231">
        <v>230</v>
      </c>
      <c r="B231">
        <v>8.4</v>
      </c>
      <c r="C231">
        <v>1.8</v>
      </c>
      <c r="D231">
        <v>6.4</v>
      </c>
      <c r="E231">
        <v>6</v>
      </c>
      <c r="F231">
        <v>1.4</v>
      </c>
      <c r="G231">
        <v>3.25</v>
      </c>
      <c r="H231" t="s">
        <v>10</v>
      </c>
    </row>
    <row r="232" spans="1:8" x14ac:dyDescent="0.25">
      <c r="A232">
        <v>231</v>
      </c>
      <c r="B232">
        <v>7.1</v>
      </c>
      <c r="C232">
        <v>1.8</v>
      </c>
      <c r="D232">
        <v>5.8</v>
      </c>
      <c r="E232">
        <v>4.8</v>
      </c>
      <c r="F232">
        <v>4.5</v>
      </c>
      <c r="G232">
        <v>2.86</v>
      </c>
      <c r="H232" t="s">
        <v>10</v>
      </c>
    </row>
    <row r="233" spans="1:8" x14ac:dyDescent="0.25">
      <c r="A233">
        <v>232</v>
      </c>
      <c r="B233">
        <v>5.4</v>
      </c>
      <c r="C233">
        <v>2.7</v>
      </c>
      <c r="D233">
        <v>8.3000000000000007</v>
      </c>
      <c r="E233">
        <v>1.6</v>
      </c>
      <c r="F233">
        <v>6</v>
      </c>
      <c r="G233">
        <v>2.95</v>
      </c>
      <c r="H233" t="s">
        <v>9</v>
      </c>
    </row>
    <row r="234" spans="1:8" x14ac:dyDescent="0.25">
      <c r="A234">
        <v>233</v>
      </c>
      <c r="B234">
        <v>9.8000000000000007</v>
      </c>
      <c r="C234">
        <v>0.6</v>
      </c>
      <c r="D234">
        <v>7.2</v>
      </c>
      <c r="E234">
        <v>5.7</v>
      </c>
      <c r="F234">
        <v>0.7</v>
      </c>
      <c r="G234">
        <v>3.84</v>
      </c>
      <c r="H234" t="s">
        <v>10</v>
      </c>
    </row>
    <row r="235" spans="1:8" x14ac:dyDescent="0.25">
      <c r="A235">
        <v>234</v>
      </c>
      <c r="B235">
        <v>7</v>
      </c>
      <c r="C235">
        <v>1.1000000000000001</v>
      </c>
      <c r="D235">
        <v>9.9</v>
      </c>
      <c r="E235">
        <v>2.5</v>
      </c>
      <c r="F235">
        <v>3.5</v>
      </c>
      <c r="G235">
        <v>2.84</v>
      </c>
      <c r="H235" t="s">
        <v>8</v>
      </c>
    </row>
    <row r="236" spans="1:8" x14ac:dyDescent="0.25">
      <c r="A236">
        <v>235</v>
      </c>
      <c r="B236">
        <v>9.5</v>
      </c>
      <c r="C236">
        <v>0.9</v>
      </c>
      <c r="D236">
        <v>6.1</v>
      </c>
      <c r="E236">
        <v>0.2</v>
      </c>
      <c r="F236">
        <v>7.3</v>
      </c>
      <c r="G236">
        <v>3.17</v>
      </c>
      <c r="H236" t="s">
        <v>10</v>
      </c>
    </row>
    <row r="237" spans="1:8" x14ac:dyDescent="0.25">
      <c r="A237">
        <v>236</v>
      </c>
      <c r="B237">
        <v>9.3000000000000007</v>
      </c>
      <c r="C237">
        <v>1.9</v>
      </c>
      <c r="D237">
        <v>9.8000000000000007</v>
      </c>
      <c r="E237">
        <v>0.6</v>
      </c>
      <c r="F237">
        <v>2.4</v>
      </c>
      <c r="G237">
        <v>3.68</v>
      </c>
      <c r="H237" t="s">
        <v>10</v>
      </c>
    </row>
    <row r="238" spans="1:8" x14ac:dyDescent="0.25">
      <c r="A238">
        <v>237</v>
      </c>
      <c r="B238">
        <v>9.3000000000000007</v>
      </c>
      <c r="C238">
        <v>3.1</v>
      </c>
      <c r="D238">
        <v>8.9</v>
      </c>
      <c r="E238">
        <v>2.2999999999999998</v>
      </c>
      <c r="F238">
        <v>0.4</v>
      </c>
      <c r="G238">
        <v>3.52</v>
      </c>
      <c r="H238" t="s">
        <v>10</v>
      </c>
    </row>
    <row r="239" spans="1:8" x14ac:dyDescent="0.25">
      <c r="A239">
        <v>238</v>
      </c>
      <c r="B239">
        <v>5.7</v>
      </c>
      <c r="C239">
        <v>0.1</v>
      </c>
      <c r="D239">
        <v>9.6</v>
      </c>
      <c r="E239">
        <v>3.7</v>
      </c>
      <c r="F239">
        <v>4.9000000000000004</v>
      </c>
      <c r="G239">
        <v>3.12</v>
      </c>
      <c r="H239" t="s">
        <v>9</v>
      </c>
    </row>
    <row r="240" spans="1:8" x14ac:dyDescent="0.25">
      <c r="A240">
        <v>239</v>
      </c>
      <c r="B240">
        <v>9</v>
      </c>
      <c r="C240">
        <v>1.9</v>
      </c>
      <c r="D240">
        <v>5.6</v>
      </c>
      <c r="E240">
        <v>0.8</v>
      </c>
      <c r="F240">
        <v>6.7</v>
      </c>
      <c r="G240">
        <v>3.21</v>
      </c>
      <c r="H240" t="s">
        <v>10</v>
      </c>
    </row>
    <row r="241" spans="1:8" x14ac:dyDescent="0.25">
      <c r="A241">
        <v>240</v>
      </c>
      <c r="B241">
        <v>6</v>
      </c>
      <c r="C241">
        <v>2</v>
      </c>
      <c r="D241">
        <v>5.3</v>
      </c>
      <c r="E241">
        <v>3.5</v>
      </c>
      <c r="F241">
        <v>7.2</v>
      </c>
      <c r="G241">
        <v>3.26</v>
      </c>
      <c r="H241" t="s">
        <v>10</v>
      </c>
    </row>
    <row r="242" spans="1:8" x14ac:dyDescent="0.25">
      <c r="A242">
        <v>241</v>
      </c>
      <c r="B242">
        <v>6.3</v>
      </c>
      <c r="C242">
        <v>3.2</v>
      </c>
      <c r="D242">
        <v>6.6</v>
      </c>
      <c r="E242">
        <v>2.7</v>
      </c>
      <c r="F242">
        <v>5.2</v>
      </c>
      <c r="G242">
        <v>2.85</v>
      </c>
      <c r="H242" t="s">
        <v>8</v>
      </c>
    </row>
    <row r="243" spans="1:8" x14ac:dyDescent="0.25">
      <c r="A243">
        <v>242</v>
      </c>
      <c r="B243">
        <v>8</v>
      </c>
      <c r="C243">
        <v>1.2</v>
      </c>
      <c r="D243">
        <v>8.5</v>
      </c>
      <c r="E243">
        <v>5.2</v>
      </c>
      <c r="F243">
        <v>1.1000000000000001</v>
      </c>
      <c r="G243">
        <v>2.72</v>
      </c>
      <c r="H243" t="s">
        <v>8</v>
      </c>
    </row>
    <row r="244" spans="1:8" x14ac:dyDescent="0.25">
      <c r="A244">
        <v>243</v>
      </c>
      <c r="B244">
        <v>8.9</v>
      </c>
      <c r="C244">
        <v>0.2</v>
      </c>
      <c r="D244">
        <v>7.4</v>
      </c>
      <c r="E244">
        <v>0.6</v>
      </c>
      <c r="F244">
        <v>6.9</v>
      </c>
      <c r="G244">
        <v>3.33</v>
      </c>
      <c r="H244" t="s">
        <v>10</v>
      </c>
    </row>
    <row r="245" spans="1:8" x14ac:dyDescent="0.25">
      <c r="A245">
        <v>244</v>
      </c>
      <c r="B245">
        <v>8.1</v>
      </c>
      <c r="C245">
        <v>2.8</v>
      </c>
      <c r="D245">
        <v>7.8</v>
      </c>
      <c r="E245">
        <v>0.1</v>
      </c>
      <c r="F245">
        <v>5.2</v>
      </c>
      <c r="G245">
        <v>2.98</v>
      </c>
      <c r="H245" t="s">
        <v>10</v>
      </c>
    </row>
    <row r="246" spans="1:8" x14ac:dyDescent="0.25">
      <c r="A246">
        <v>245</v>
      </c>
      <c r="B246">
        <v>6.6</v>
      </c>
      <c r="C246">
        <v>2.1</v>
      </c>
      <c r="D246">
        <v>5.4</v>
      </c>
      <c r="E246">
        <v>2.1</v>
      </c>
      <c r="F246">
        <v>7.8</v>
      </c>
      <c r="G246">
        <v>2.79</v>
      </c>
      <c r="H246" t="s">
        <v>10</v>
      </c>
    </row>
    <row r="247" spans="1:8" x14ac:dyDescent="0.25">
      <c r="A247">
        <v>246</v>
      </c>
      <c r="B247">
        <v>7.8</v>
      </c>
      <c r="C247">
        <v>2.8</v>
      </c>
      <c r="D247">
        <v>9</v>
      </c>
      <c r="E247">
        <v>0.9</v>
      </c>
      <c r="F247">
        <v>3.5</v>
      </c>
      <c r="G247">
        <v>3.11</v>
      </c>
      <c r="H247" t="s">
        <v>8</v>
      </c>
    </row>
    <row r="248" spans="1:8" x14ac:dyDescent="0.25">
      <c r="A248">
        <v>247</v>
      </c>
      <c r="B248">
        <v>5.8</v>
      </c>
      <c r="C248">
        <v>0.4</v>
      </c>
      <c r="D248">
        <v>8.1999999999999993</v>
      </c>
      <c r="E248">
        <v>4.2</v>
      </c>
      <c r="F248">
        <v>5.4</v>
      </c>
      <c r="G248">
        <v>2.88</v>
      </c>
      <c r="H248" t="s">
        <v>9</v>
      </c>
    </row>
    <row r="249" spans="1:8" x14ac:dyDescent="0.25">
      <c r="A249">
        <v>248</v>
      </c>
      <c r="B249">
        <v>8.5</v>
      </c>
      <c r="C249">
        <v>3.5</v>
      </c>
      <c r="D249">
        <v>8.6</v>
      </c>
      <c r="E249">
        <v>2.7</v>
      </c>
      <c r="F249">
        <v>0.7</v>
      </c>
      <c r="G249">
        <v>3.15</v>
      </c>
      <c r="H249" t="s">
        <v>10</v>
      </c>
    </row>
    <row r="250" spans="1:8" x14ac:dyDescent="0.25">
      <c r="A250">
        <v>249</v>
      </c>
      <c r="B250">
        <v>6.7</v>
      </c>
      <c r="C250">
        <v>3.3</v>
      </c>
      <c r="D250">
        <v>5.4</v>
      </c>
      <c r="E250">
        <v>5.4</v>
      </c>
      <c r="F250">
        <v>3.2</v>
      </c>
      <c r="G250">
        <v>3.27</v>
      </c>
      <c r="H250" t="s">
        <v>10</v>
      </c>
    </row>
    <row r="251" spans="1:8" x14ac:dyDescent="0.25">
      <c r="A251">
        <v>250</v>
      </c>
      <c r="B251">
        <v>7.3</v>
      </c>
      <c r="C251">
        <v>2.6</v>
      </c>
      <c r="D251">
        <v>7.6</v>
      </c>
      <c r="E251">
        <v>4.4000000000000004</v>
      </c>
      <c r="F251">
        <v>2.1</v>
      </c>
      <c r="G251">
        <v>3.13</v>
      </c>
      <c r="H251" t="s">
        <v>8</v>
      </c>
    </row>
    <row r="252" spans="1:8" x14ac:dyDescent="0.25">
      <c r="A252">
        <v>251</v>
      </c>
      <c r="B252">
        <v>5.4</v>
      </c>
      <c r="C252">
        <v>0.2</v>
      </c>
      <c r="D252">
        <v>6.2</v>
      </c>
      <c r="E252">
        <v>1</v>
      </c>
      <c r="F252">
        <v>11.2</v>
      </c>
      <c r="G252">
        <v>2.75</v>
      </c>
      <c r="H252" t="s">
        <v>9</v>
      </c>
    </row>
    <row r="253" spans="1:8" x14ac:dyDescent="0.25">
      <c r="A253">
        <v>252</v>
      </c>
      <c r="B253">
        <v>9.9</v>
      </c>
      <c r="C253">
        <v>1.3</v>
      </c>
      <c r="D253">
        <v>5.9</v>
      </c>
      <c r="E253">
        <v>4.7</v>
      </c>
      <c r="F253">
        <v>2.2000000000000002</v>
      </c>
      <c r="G253">
        <v>3.57</v>
      </c>
      <c r="H253" t="s">
        <v>10</v>
      </c>
    </row>
    <row r="254" spans="1:8" x14ac:dyDescent="0.25">
      <c r="A254">
        <v>253</v>
      </c>
      <c r="B254">
        <v>8.3000000000000007</v>
      </c>
      <c r="C254">
        <v>2</v>
      </c>
      <c r="D254">
        <v>7.8</v>
      </c>
      <c r="E254">
        <v>4.2</v>
      </c>
      <c r="F254">
        <v>1.7</v>
      </c>
      <c r="G254">
        <v>3.25</v>
      </c>
      <c r="H254" t="s">
        <v>10</v>
      </c>
    </row>
    <row r="255" spans="1:8" x14ac:dyDescent="0.25">
      <c r="A255">
        <v>254</v>
      </c>
      <c r="B255">
        <v>6</v>
      </c>
      <c r="C255">
        <v>2.7</v>
      </c>
      <c r="D255">
        <v>5.4</v>
      </c>
      <c r="E255">
        <v>0.2</v>
      </c>
      <c r="F255">
        <v>9.6999999999999993</v>
      </c>
      <c r="G255">
        <v>2.92</v>
      </c>
      <c r="H255" t="s">
        <v>10</v>
      </c>
    </row>
    <row r="256" spans="1:8" x14ac:dyDescent="0.25">
      <c r="A256">
        <v>255</v>
      </c>
      <c r="B256">
        <v>6.3</v>
      </c>
      <c r="C256">
        <v>1.9</v>
      </c>
      <c r="D256">
        <v>9.3000000000000007</v>
      </c>
      <c r="E256">
        <v>4.4000000000000004</v>
      </c>
      <c r="F256">
        <v>2.1</v>
      </c>
      <c r="G256">
        <v>2.85</v>
      </c>
      <c r="H256" t="s">
        <v>8</v>
      </c>
    </row>
    <row r="257" spans="1:8" x14ac:dyDescent="0.25">
      <c r="A257">
        <v>256</v>
      </c>
      <c r="B257">
        <v>6.7</v>
      </c>
      <c r="C257">
        <v>1.5</v>
      </c>
      <c r="D257">
        <v>9.9</v>
      </c>
      <c r="E257">
        <v>0.2</v>
      </c>
      <c r="F257">
        <v>5.7</v>
      </c>
      <c r="G257">
        <v>3.32</v>
      </c>
      <c r="H257" t="s">
        <v>8</v>
      </c>
    </row>
    <row r="258" spans="1:8" x14ac:dyDescent="0.25">
      <c r="A258">
        <v>257</v>
      </c>
      <c r="B258">
        <v>9.3000000000000007</v>
      </c>
      <c r="C258">
        <v>2.2999999999999998</v>
      </c>
      <c r="D258">
        <v>7.2</v>
      </c>
      <c r="E258">
        <v>3.8</v>
      </c>
      <c r="F258">
        <v>1.4</v>
      </c>
      <c r="G258">
        <v>3.61</v>
      </c>
      <c r="H258" t="s">
        <v>10</v>
      </c>
    </row>
    <row r="259" spans="1:8" x14ac:dyDescent="0.25">
      <c r="A259">
        <v>258</v>
      </c>
      <c r="B259">
        <v>9.5</v>
      </c>
      <c r="C259">
        <v>1.7</v>
      </c>
      <c r="D259">
        <v>6.4</v>
      </c>
      <c r="E259">
        <v>3.6</v>
      </c>
      <c r="F259">
        <v>2.8</v>
      </c>
      <c r="G259">
        <v>3.42</v>
      </c>
      <c r="H259" t="s">
        <v>10</v>
      </c>
    </row>
    <row r="260" spans="1:8" x14ac:dyDescent="0.25">
      <c r="A260">
        <v>259</v>
      </c>
      <c r="B260">
        <v>9.6</v>
      </c>
      <c r="C260">
        <v>0.8</v>
      </c>
      <c r="D260">
        <v>8.1</v>
      </c>
      <c r="E260">
        <v>3.5</v>
      </c>
      <c r="F260">
        <v>2</v>
      </c>
      <c r="G260">
        <v>3.31</v>
      </c>
      <c r="H260" t="s">
        <v>10</v>
      </c>
    </row>
    <row r="261" spans="1:8" x14ac:dyDescent="0.25">
      <c r="A261">
        <v>260</v>
      </c>
      <c r="B261">
        <v>8.6</v>
      </c>
      <c r="C261">
        <v>3.6</v>
      </c>
      <c r="D261">
        <v>5.9</v>
      </c>
      <c r="E261">
        <v>1.4</v>
      </c>
      <c r="F261">
        <v>4.5</v>
      </c>
      <c r="G261">
        <v>3.37</v>
      </c>
      <c r="H261" t="s">
        <v>10</v>
      </c>
    </row>
    <row r="262" spans="1:8" x14ac:dyDescent="0.25">
      <c r="A262">
        <v>261</v>
      </c>
      <c r="B262">
        <v>9.9</v>
      </c>
      <c r="C262">
        <v>0.7</v>
      </c>
      <c r="D262">
        <v>9.3000000000000007</v>
      </c>
      <c r="E262">
        <v>2</v>
      </c>
      <c r="F262">
        <v>2.1</v>
      </c>
      <c r="G262">
        <v>3.59</v>
      </c>
      <c r="H262" t="s">
        <v>10</v>
      </c>
    </row>
    <row r="263" spans="1:8" x14ac:dyDescent="0.25">
      <c r="A263">
        <v>262</v>
      </c>
      <c r="B263">
        <v>7.2</v>
      </c>
      <c r="C263">
        <v>2.1</v>
      </c>
      <c r="D263">
        <v>6.8</v>
      </c>
      <c r="E263">
        <v>3.6</v>
      </c>
      <c r="F263">
        <v>4.3</v>
      </c>
      <c r="G263">
        <v>3.01</v>
      </c>
      <c r="H263" t="s">
        <v>8</v>
      </c>
    </row>
    <row r="264" spans="1:8" x14ac:dyDescent="0.25">
      <c r="A264">
        <v>263</v>
      </c>
      <c r="B264">
        <v>5.8</v>
      </c>
      <c r="C264">
        <v>1.6</v>
      </c>
      <c r="D264">
        <v>9.8000000000000007</v>
      </c>
      <c r="E264">
        <v>1.5</v>
      </c>
      <c r="F264">
        <v>5.3</v>
      </c>
      <c r="G264">
        <v>2.61</v>
      </c>
      <c r="H264" t="s">
        <v>9</v>
      </c>
    </row>
    <row r="265" spans="1:8" x14ac:dyDescent="0.25">
      <c r="A265">
        <v>264</v>
      </c>
      <c r="B265">
        <v>8.9</v>
      </c>
      <c r="C265">
        <v>0.5</v>
      </c>
      <c r="D265">
        <v>9.8000000000000007</v>
      </c>
      <c r="E265">
        <v>2.2000000000000002</v>
      </c>
      <c r="F265">
        <v>2.6</v>
      </c>
      <c r="G265">
        <v>3.57</v>
      </c>
      <c r="H265" t="s">
        <v>10</v>
      </c>
    </row>
    <row r="266" spans="1:8" x14ac:dyDescent="0.25">
      <c r="A266">
        <v>265</v>
      </c>
      <c r="B266">
        <v>6.2</v>
      </c>
      <c r="C266">
        <v>0.3</v>
      </c>
      <c r="D266">
        <v>5.8</v>
      </c>
      <c r="E266">
        <v>3.1</v>
      </c>
      <c r="F266">
        <v>8.6</v>
      </c>
      <c r="G266">
        <v>3.13</v>
      </c>
      <c r="H266" t="s">
        <v>10</v>
      </c>
    </row>
    <row r="267" spans="1:8" x14ac:dyDescent="0.25">
      <c r="A267">
        <v>266</v>
      </c>
      <c r="B267">
        <v>7.2</v>
      </c>
      <c r="C267">
        <v>1</v>
      </c>
      <c r="D267">
        <v>8.1</v>
      </c>
      <c r="E267">
        <v>4.2</v>
      </c>
      <c r="F267">
        <v>3.5</v>
      </c>
      <c r="G267">
        <v>2.98</v>
      </c>
      <c r="H267" t="s">
        <v>8</v>
      </c>
    </row>
    <row r="268" spans="1:8" x14ac:dyDescent="0.25">
      <c r="A268">
        <v>267</v>
      </c>
      <c r="B268">
        <v>5.8</v>
      </c>
      <c r="C268">
        <v>0.7</v>
      </c>
      <c r="D268">
        <v>5.2</v>
      </c>
      <c r="E268">
        <v>4.4000000000000004</v>
      </c>
      <c r="F268">
        <v>7.9</v>
      </c>
      <c r="G268">
        <v>2.81</v>
      </c>
      <c r="H268" t="s">
        <v>10</v>
      </c>
    </row>
    <row r="269" spans="1:8" x14ac:dyDescent="0.25">
      <c r="A269">
        <v>268</v>
      </c>
      <c r="B269">
        <v>9.1999999999999993</v>
      </c>
      <c r="C269">
        <v>3.2</v>
      </c>
      <c r="D269">
        <v>7.9</v>
      </c>
      <c r="E269">
        <v>3.2</v>
      </c>
      <c r="F269">
        <v>0.5</v>
      </c>
      <c r="G269">
        <v>3.8</v>
      </c>
      <c r="H269" t="s">
        <v>10</v>
      </c>
    </row>
    <row r="270" spans="1:8" x14ac:dyDescent="0.25">
      <c r="A270">
        <v>269</v>
      </c>
      <c r="B270">
        <v>6</v>
      </c>
      <c r="C270">
        <v>0.4</v>
      </c>
      <c r="D270">
        <v>6.3</v>
      </c>
      <c r="E270">
        <v>0.3</v>
      </c>
      <c r="F270">
        <v>11</v>
      </c>
      <c r="G270">
        <v>3.05</v>
      </c>
      <c r="H270" t="s">
        <v>8</v>
      </c>
    </row>
    <row r="271" spans="1:8" x14ac:dyDescent="0.25">
      <c r="A271">
        <v>270</v>
      </c>
      <c r="B271">
        <v>5.2</v>
      </c>
      <c r="C271">
        <v>0.5</v>
      </c>
      <c r="D271">
        <v>7.3</v>
      </c>
      <c r="E271">
        <v>5.6</v>
      </c>
      <c r="F271">
        <v>5.4</v>
      </c>
      <c r="G271">
        <v>2.79</v>
      </c>
      <c r="H271" t="s">
        <v>9</v>
      </c>
    </row>
    <row r="272" spans="1:8" x14ac:dyDescent="0.25">
      <c r="A272">
        <v>271</v>
      </c>
      <c r="B272">
        <v>6.6</v>
      </c>
      <c r="C272">
        <v>2</v>
      </c>
      <c r="D272">
        <v>5.2</v>
      </c>
      <c r="E272">
        <v>0.9</v>
      </c>
      <c r="F272">
        <v>9.3000000000000007</v>
      </c>
      <c r="G272">
        <v>3.17</v>
      </c>
      <c r="H272" t="s">
        <v>10</v>
      </c>
    </row>
    <row r="273" spans="1:8" x14ac:dyDescent="0.25">
      <c r="A273">
        <v>272</v>
      </c>
      <c r="B273">
        <v>7.3</v>
      </c>
      <c r="C273">
        <v>2.1</v>
      </c>
      <c r="D273">
        <v>7.4</v>
      </c>
      <c r="E273">
        <v>4</v>
      </c>
      <c r="F273">
        <v>3.2</v>
      </c>
      <c r="G273">
        <v>3.16</v>
      </c>
      <c r="H273" t="s">
        <v>8</v>
      </c>
    </row>
    <row r="274" spans="1:8" x14ac:dyDescent="0.25">
      <c r="A274">
        <v>273</v>
      </c>
      <c r="B274">
        <v>5.7</v>
      </c>
      <c r="C274">
        <v>0.1</v>
      </c>
      <c r="D274">
        <v>6.5</v>
      </c>
      <c r="E274">
        <v>4.2</v>
      </c>
      <c r="F274">
        <v>7.5</v>
      </c>
      <c r="G274">
        <v>2.98</v>
      </c>
      <c r="H274" t="s">
        <v>9</v>
      </c>
    </row>
    <row r="275" spans="1:8" x14ac:dyDescent="0.25">
      <c r="A275">
        <v>274</v>
      </c>
      <c r="B275">
        <v>9.8000000000000007</v>
      </c>
      <c r="C275">
        <v>0.4</v>
      </c>
      <c r="D275">
        <v>8.4</v>
      </c>
      <c r="E275">
        <v>2.4</v>
      </c>
      <c r="F275">
        <v>3</v>
      </c>
      <c r="G275">
        <v>3.26</v>
      </c>
      <c r="H275" t="s">
        <v>10</v>
      </c>
    </row>
    <row r="276" spans="1:8" x14ac:dyDescent="0.25">
      <c r="A276">
        <v>275</v>
      </c>
      <c r="B276">
        <v>9.3000000000000007</v>
      </c>
      <c r="C276">
        <v>0.7</v>
      </c>
      <c r="D276">
        <v>8.5</v>
      </c>
      <c r="E276">
        <v>4.5999999999999996</v>
      </c>
      <c r="F276">
        <v>0.9</v>
      </c>
      <c r="G276">
        <v>3.43</v>
      </c>
      <c r="H276" t="s">
        <v>10</v>
      </c>
    </row>
    <row r="277" spans="1:8" x14ac:dyDescent="0.25">
      <c r="A277">
        <v>276</v>
      </c>
      <c r="B277">
        <v>7.5</v>
      </c>
      <c r="C277">
        <v>2.5</v>
      </c>
      <c r="D277">
        <v>9.3000000000000007</v>
      </c>
      <c r="E277">
        <v>2.7</v>
      </c>
      <c r="F277">
        <v>2</v>
      </c>
      <c r="G277">
        <v>3.2</v>
      </c>
      <c r="H277" t="s">
        <v>8</v>
      </c>
    </row>
    <row r="278" spans="1:8" x14ac:dyDescent="0.25">
      <c r="A278">
        <v>277</v>
      </c>
      <c r="B278">
        <v>5.2</v>
      </c>
      <c r="C278">
        <v>3.7</v>
      </c>
      <c r="D278">
        <v>8.4</v>
      </c>
      <c r="E278">
        <v>4.0999999999999996</v>
      </c>
      <c r="F278">
        <v>2.6</v>
      </c>
      <c r="G278">
        <v>2.91</v>
      </c>
      <c r="H278" t="s">
        <v>9</v>
      </c>
    </row>
    <row r="279" spans="1:8" x14ac:dyDescent="0.25">
      <c r="A279">
        <v>278</v>
      </c>
      <c r="B279">
        <v>7</v>
      </c>
      <c r="C279">
        <v>2.6</v>
      </c>
      <c r="D279">
        <v>5.5</v>
      </c>
      <c r="E279">
        <v>3.9</v>
      </c>
      <c r="F279">
        <v>5</v>
      </c>
      <c r="G279">
        <v>2.82</v>
      </c>
      <c r="H279" t="s">
        <v>10</v>
      </c>
    </row>
    <row r="280" spans="1:8" x14ac:dyDescent="0.25">
      <c r="A280">
        <v>279</v>
      </c>
      <c r="B280">
        <v>10</v>
      </c>
      <c r="C280">
        <v>0.2</v>
      </c>
      <c r="D280">
        <v>9.9</v>
      </c>
      <c r="E280">
        <v>1.6</v>
      </c>
      <c r="F280">
        <v>2.2999999999999998</v>
      </c>
      <c r="G280">
        <v>3.56</v>
      </c>
      <c r="H280" t="s">
        <v>10</v>
      </c>
    </row>
    <row r="281" spans="1:8" x14ac:dyDescent="0.25">
      <c r="A281">
        <v>280</v>
      </c>
      <c r="B281">
        <v>7.8</v>
      </c>
      <c r="C281">
        <v>3</v>
      </c>
      <c r="D281">
        <v>9.4</v>
      </c>
      <c r="E281">
        <v>1.5</v>
      </c>
      <c r="F281">
        <v>2.2999999999999998</v>
      </c>
      <c r="G281">
        <v>3.25</v>
      </c>
      <c r="H281" t="s">
        <v>8</v>
      </c>
    </row>
    <row r="282" spans="1:8" x14ac:dyDescent="0.25">
      <c r="A282">
        <v>281</v>
      </c>
      <c r="B282">
        <v>6.6</v>
      </c>
      <c r="C282">
        <v>2.7</v>
      </c>
      <c r="D282">
        <v>9</v>
      </c>
      <c r="E282">
        <v>4.3</v>
      </c>
      <c r="F282">
        <v>1.4</v>
      </c>
      <c r="G282">
        <v>2.93</v>
      </c>
      <c r="H282" t="s">
        <v>8</v>
      </c>
    </row>
    <row r="283" spans="1:8" x14ac:dyDescent="0.25">
      <c r="A283">
        <v>282</v>
      </c>
      <c r="B283">
        <v>9.1</v>
      </c>
      <c r="C283">
        <v>0.5</v>
      </c>
      <c r="D283">
        <v>7.7</v>
      </c>
      <c r="E283">
        <v>0</v>
      </c>
      <c r="F283">
        <v>6.7</v>
      </c>
      <c r="G283">
        <v>3.64</v>
      </c>
      <c r="H283" t="s">
        <v>10</v>
      </c>
    </row>
    <row r="284" spans="1:8" x14ac:dyDescent="0.25">
      <c r="A284">
        <v>283</v>
      </c>
      <c r="B284">
        <v>6.6</v>
      </c>
      <c r="C284">
        <v>1.5</v>
      </c>
      <c r="D284">
        <v>7</v>
      </c>
      <c r="E284">
        <v>4.2</v>
      </c>
      <c r="F284">
        <v>4.7</v>
      </c>
      <c r="G284">
        <v>2.79</v>
      </c>
      <c r="H284" t="s">
        <v>8</v>
      </c>
    </row>
    <row r="285" spans="1:8" x14ac:dyDescent="0.25">
      <c r="A285">
        <v>284</v>
      </c>
      <c r="B285">
        <v>6.2</v>
      </c>
      <c r="C285">
        <v>1.5</v>
      </c>
      <c r="D285">
        <v>6.1</v>
      </c>
      <c r="E285">
        <v>0.4</v>
      </c>
      <c r="F285">
        <v>9.8000000000000007</v>
      </c>
      <c r="G285">
        <v>2.5</v>
      </c>
      <c r="H285" t="s">
        <v>8</v>
      </c>
    </row>
    <row r="286" spans="1:8" x14ac:dyDescent="0.25">
      <c r="A286">
        <v>285</v>
      </c>
      <c r="B286">
        <v>8</v>
      </c>
      <c r="C286">
        <v>2.7</v>
      </c>
      <c r="D286">
        <v>8.1</v>
      </c>
      <c r="E286">
        <v>2.4</v>
      </c>
      <c r="F286">
        <v>2.8</v>
      </c>
      <c r="G286">
        <v>3.4</v>
      </c>
      <c r="H286" t="s">
        <v>8</v>
      </c>
    </row>
    <row r="287" spans="1:8" x14ac:dyDescent="0.25">
      <c r="A287">
        <v>286</v>
      </c>
      <c r="B287">
        <v>7.6</v>
      </c>
      <c r="C287">
        <v>1.9</v>
      </c>
      <c r="D287">
        <v>5.0999999999999996</v>
      </c>
      <c r="E287">
        <v>2</v>
      </c>
      <c r="F287">
        <v>7.4</v>
      </c>
      <c r="G287">
        <v>3.08</v>
      </c>
      <c r="H287" t="s">
        <v>10</v>
      </c>
    </row>
    <row r="288" spans="1:8" x14ac:dyDescent="0.25">
      <c r="A288">
        <v>287</v>
      </c>
      <c r="B288">
        <v>6.9</v>
      </c>
      <c r="C288">
        <v>1.6</v>
      </c>
      <c r="D288">
        <v>7.9</v>
      </c>
      <c r="E288">
        <v>3.2</v>
      </c>
      <c r="F288">
        <v>4.4000000000000004</v>
      </c>
      <c r="G288">
        <v>3.31</v>
      </c>
      <c r="H288" t="s">
        <v>8</v>
      </c>
    </row>
    <row r="289" spans="1:8" x14ac:dyDescent="0.25">
      <c r="A289">
        <v>288</v>
      </c>
      <c r="B289">
        <v>9.1</v>
      </c>
      <c r="C289">
        <v>2.9</v>
      </c>
      <c r="D289">
        <v>9.8000000000000007</v>
      </c>
      <c r="E289">
        <v>0</v>
      </c>
      <c r="F289">
        <v>2.2000000000000002</v>
      </c>
      <c r="G289">
        <v>3.48</v>
      </c>
      <c r="H289" t="s">
        <v>10</v>
      </c>
    </row>
    <row r="290" spans="1:8" x14ac:dyDescent="0.25">
      <c r="A290">
        <v>289</v>
      </c>
      <c r="B290">
        <v>6</v>
      </c>
      <c r="C290">
        <v>0</v>
      </c>
      <c r="D290">
        <v>8.1999999999999993</v>
      </c>
      <c r="E290">
        <v>5.4</v>
      </c>
      <c r="F290">
        <v>4.4000000000000004</v>
      </c>
      <c r="G290">
        <v>2.92</v>
      </c>
      <c r="H290" t="s">
        <v>8</v>
      </c>
    </row>
    <row r="291" spans="1:8" x14ac:dyDescent="0.25">
      <c r="A291">
        <v>290</v>
      </c>
      <c r="B291">
        <v>5.3</v>
      </c>
      <c r="C291">
        <v>3.7</v>
      </c>
      <c r="D291">
        <v>6.8</v>
      </c>
      <c r="E291">
        <v>0.6</v>
      </c>
      <c r="F291">
        <v>7.6</v>
      </c>
      <c r="G291">
        <v>2.78</v>
      </c>
      <c r="H291" t="s">
        <v>9</v>
      </c>
    </row>
    <row r="292" spans="1:8" x14ac:dyDescent="0.25">
      <c r="A292">
        <v>291</v>
      </c>
      <c r="B292">
        <v>7.4</v>
      </c>
      <c r="C292">
        <v>1</v>
      </c>
      <c r="D292">
        <v>6.4</v>
      </c>
      <c r="E292">
        <v>1.8</v>
      </c>
      <c r="F292">
        <v>7.4</v>
      </c>
      <c r="G292">
        <v>3.15</v>
      </c>
      <c r="H292" t="s">
        <v>8</v>
      </c>
    </row>
    <row r="293" spans="1:8" x14ac:dyDescent="0.25">
      <c r="A293">
        <v>292</v>
      </c>
      <c r="B293">
        <v>6.6</v>
      </c>
      <c r="C293">
        <v>2.4</v>
      </c>
      <c r="D293">
        <v>8.6</v>
      </c>
      <c r="E293">
        <v>1.6</v>
      </c>
      <c r="F293">
        <v>4.8</v>
      </c>
      <c r="G293">
        <v>3.27</v>
      </c>
      <c r="H293" t="s">
        <v>8</v>
      </c>
    </row>
    <row r="294" spans="1:8" x14ac:dyDescent="0.25">
      <c r="A294">
        <v>293</v>
      </c>
      <c r="B294">
        <v>7.1</v>
      </c>
      <c r="C294">
        <v>0.5</v>
      </c>
      <c r="D294">
        <v>5.9</v>
      </c>
      <c r="E294">
        <v>4.0999999999999996</v>
      </c>
      <c r="F294">
        <v>6.4</v>
      </c>
      <c r="G294">
        <v>3.09</v>
      </c>
      <c r="H294" t="s">
        <v>10</v>
      </c>
    </row>
    <row r="295" spans="1:8" x14ac:dyDescent="0.25">
      <c r="A295">
        <v>294</v>
      </c>
      <c r="B295">
        <v>8.5</v>
      </c>
      <c r="C295">
        <v>0.4</v>
      </c>
      <c r="D295">
        <v>7.8</v>
      </c>
      <c r="E295">
        <v>1.5</v>
      </c>
      <c r="F295">
        <v>5.8</v>
      </c>
      <c r="G295">
        <v>3.01</v>
      </c>
      <c r="H295" t="s">
        <v>10</v>
      </c>
    </row>
    <row r="296" spans="1:8" x14ac:dyDescent="0.25">
      <c r="A296">
        <v>295</v>
      </c>
      <c r="B296">
        <v>9.8000000000000007</v>
      </c>
      <c r="C296">
        <v>1.9</v>
      </c>
      <c r="D296">
        <v>9</v>
      </c>
      <c r="E296">
        <v>1.8</v>
      </c>
      <c r="F296">
        <v>1.5</v>
      </c>
      <c r="G296">
        <v>3.5</v>
      </c>
      <c r="H296" t="s">
        <v>10</v>
      </c>
    </row>
    <row r="297" spans="1:8" x14ac:dyDescent="0.25">
      <c r="A297">
        <v>296</v>
      </c>
      <c r="B297">
        <v>9.8000000000000007</v>
      </c>
      <c r="C297">
        <v>2.4</v>
      </c>
      <c r="D297">
        <v>9.1</v>
      </c>
      <c r="E297">
        <v>2.4</v>
      </c>
      <c r="F297">
        <v>0.3</v>
      </c>
      <c r="G297">
        <v>3.38</v>
      </c>
      <c r="H297" t="s">
        <v>10</v>
      </c>
    </row>
    <row r="298" spans="1:8" x14ac:dyDescent="0.25">
      <c r="A298">
        <v>297</v>
      </c>
      <c r="B298">
        <v>6.1</v>
      </c>
      <c r="C298">
        <v>0.8</v>
      </c>
      <c r="D298">
        <v>8.1</v>
      </c>
      <c r="E298">
        <v>2.5</v>
      </c>
      <c r="F298">
        <v>6.5</v>
      </c>
      <c r="G298">
        <v>2.67</v>
      </c>
      <c r="H298" t="s">
        <v>8</v>
      </c>
    </row>
    <row r="299" spans="1:8" x14ac:dyDescent="0.25">
      <c r="A299">
        <v>298</v>
      </c>
      <c r="B299">
        <v>8.9</v>
      </c>
      <c r="C299">
        <v>1.1000000000000001</v>
      </c>
      <c r="D299">
        <v>9.1</v>
      </c>
      <c r="E299">
        <v>2.1</v>
      </c>
      <c r="F299">
        <v>2.8</v>
      </c>
      <c r="G299">
        <v>3.2</v>
      </c>
      <c r="H299" t="s">
        <v>10</v>
      </c>
    </row>
    <row r="300" spans="1:8" x14ac:dyDescent="0.25">
      <c r="A300">
        <v>299</v>
      </c>
      <c r="B300">
        <v>8.3000000000000007</v>
      </c>
      <c r="C300">
        <v>0.4</v>
      </c>
      <c r="D300">
        <v>8.1</v>
      </c>
      <c r="E300">
        <v>2.7</v>
      </c>
      <c r="F300">
        <v>4.5</v>
      </c>
      <c r="G300">
        <v>3.01</v>
      </c>
      <c r="H300" t="s">
        <v>10</v>
      </c>
    </row>
    <row r="301" spans="1:8" x14ac:dyDescent="0.25">
      <c r="A301">
        <v>300</v>
      </c>
      <c r="B301">
        <v>8.6999999999999993</v>
      </c>
      <c r="C301">
        <v>3.5</v>
      </c>
      <c r="D301">
        <v>6.1</v>
      </c>
      <c r="E301">
        <v>0.5</v>
      </c>
      <c r="F301">
        <v>5.2</v>
      </c>
      <c r="G301">
        <v>3.37</v>
      </c>
      <c r="H301" t="s">
        <v>10</v>
      </c>
    </row>
    <row r="302" spans="1:8" x14ac:dyDescent="0.25">
      <c r="A302">
        <v>301</v>
      </c>
      <c r="B302">
        <v>5.0999999999999996</v>
      </c>
      <c r="C302">
        <v>2.6</v>
      </c>
      <c r="D302">
        <v>8</v>
      </c>
      <c r="E302">
        <v>3.3</v>
      </c>
      <c r="F302">
        <v>5</v>
      </c>
      <c r="G302">
        <v>2.65</v>
      </c>
      <c r="H302" t="s">
        <v>9</v>
      </c>
    </row>
    <row r="303" spans="1:8" x14ac:dyDescent="0.25">
      <c r="A303">
        <v>302</v>
      </c>
      <c r="B303">
        <v>8</v>
      </c>
      <c r="C303">
        <v>2</v>
      </c>
      <c r="D303">
        <v>9.9</v>
      </c>
      <c r="E303">
        <v>0.6</v>
      </c>
      <c r="F303">
        <v>3.5</v>
      </c>
      <c r="G303">
        <v>2.93</v>
      </c>
      <c r="H303" t="s">
        <v>8</v>
      </c>
    </row>
    <row r="304" spans="1:8" x14ac:dyDescent="0.25">
      <c r="A304">
        <v>303</v>
      </c>
      <c r="B304">
        <v>8.5</v>
      </c>
      <c r="C304">
        <v>1.6</v>
      </c>
      <c r="D304">
        <v>7.1</v>
      </c>
      <c r="E304">
        <v>4.3</v>
      </c>
      <c r="F304">
        <v>2.5</v>
      </c>
      <c r="G304">
        <v>3.39</v>
      </c>
      <c r="H304" t="s">
        <v>10</v>
      </c>
    </row>
    <row r="305" spans="1:8" x14ac:dyDescent="0.25">
      <c r="A305">
        <v>304</v>
      </c>
      <c r="B305">
        <v>6.4</v>
      </c>
      <c r="C305">
        <v>0.3</v>
      </c>
      <c r="D305">
        <v>5.4</v>
      </c>
      <c r="E305">
        <v>5.4</v>
      </c>
      <c r="F305">
        <v>6.5</v>
      </c>
      <c r="G305">
        <v>3.29</v>
      </c>
      <c r="H305" t="s">
        <v>10</v>
      </c>
    </row>
    <row r="306" spans="1:8" x14ac:dyDescent="0.25">
      <c r="A306">
        <v>305</v>
      </c>
      <c r="B306">
        <v>6</v>
      </c>
      <c r="C306">
        <v>1.3</v>
      </c>
      <c r="D306">
        <v>6.1</v>
      </c>
      <c r="E306">
        <v>2.1</v>
      </c>
      <c r="F306">
        <v>8.5</v>
      </c>
      <c r="G306">
        <v>2.91</v>
      </c>
      <c r="H306" t="s">
        <v>8</v>
      </c>
    </row>
    <row r="307" spans="1:8" x14ac:dyDescent="0.25">
      <c r="A307">
        <v>306</v>
      </c>
      <c r="B307">
        <v>5.3</v>
      </c>
      <c r="C307">
        <v>3.2</v>
      </c>
      <c r="D307">
        <v>6.2</v>
      </c>
      <c r="E307">
        <v>3.2</v>
      </c>
      <c r="F307">
        <v>6.1</v>
      </c>
      <c r="G307">
        <v>2.64</v>
      </c>
      <c r="H307" t="s">
        <v>9</v>
      </c>
    </row>
    <row r="308" spans="1:8" x14ac:dyDescent="0.25">
      <c r="A308">
        <v>307</v>
      </c>
      <c r="B308">
        <v>9.4</v>
      </c>
      <c r="C308">
        <v>2.6</v>
      </c>
      <c r="D308">
        <v>7.7</v>
      </c>
      <c r="E308">
        <v>1.4</v>
      </c>
      <c r="F308">
        <v>2.9</v>
      </c>
      <c r="G308">
        <v>3.66</v>
      </c>
      <c r="H308" t="s">
        <v>10</v>
      </c>
    </row>
    <row r="309" spans="1:8" x14ac:dyDescent="0.25">
      <c r="A309">
        <v>308</v>
      </c>
      <c r="B309">
        <v>10</v>
      </c>
      <c r="C309">
        <v>2.6</v>
      </c>
      <c r="D309">
        <v>7.8</v>
      </c>
      <c r="E309">
        <v>2.6</v>
      </c>
      <c r="F309">
        <v>1</v>
      </c>
      <c r="G309">
        <v>3.26</v>
      </c>
      <c r="H309" t="s">
        <v>10</v>
      </c>
    </row>
    <row r="310" spans="1:8" x14ac:dyDescent="0.25">
      <c r="A310">
        <v>309</v>
      </c>
      <c r="B310">
        <v>7.3</v>
      </c>
      <c r="C310">
        <v>0.2</v>
      </c>
      <c r="D310">
        <v>7.8</v>
      </c>
      <c r="E310">
        <v>5.7</v>
      </c>
      <c r="F310">
        <v>3</v>
      </c>
      <c r="G310">
        <v>3.2</v>
      </c>
      <c r="H310" t="s">
        <v>8</v>
      </c>
    </row>
    <row r="311" spans="1:8" x14ac:dyDescent="0.25">
      <c r="A311">
        <v>310</v>
      </c>
      <c r="B311">
        <v>6</v>
      </c>
      <c r="C311">
        <v>2.1</v>
      </c>
      <c r="D311">
        <v>5.5</v>
      </c>
      <c r="E311">
        <v>2.7</v>
      </c>
      <c r="F311">
        <v>7.7</v>
      </c>
      <c r="G311">
        <v>2.72</v>
      </c>
      <c r="H311" t="s">
        <v>10</v>
      </c>
    </row>
    <row r="312" spans="1:8" x14ac:dyDescent="0.25">
      <c r="A312">
        <v>311</v>
      </c>
      <c r="B312">
        <v>8.8000000000000007</v>
      </c>
      <c r="C312">
        <v>1.4</v>
      </c>
      <c r="D312">
        <v>8.3000000000000007</v>
      </c>
      <c r="E312">
        <v>4.4000000000000004</v>
      </c>
      <c r="F312">
        <v>1.1000000000000001</v>
      </c>
      <c r="G312">
        <v>3.1</v>
      </c>
      <c r="H312" t="s">
        <v>10</v>
      </c>
    </row>
    <row r="313" spans="1:8" x14ac:dyDescent="0.25">
      <c r="A313">
        <v>312</v>
      </c>
      <c r="B313">
        <v>10</v>
      </c>
      <c r="C313">
        <v>3.7</v>
      </c>
      <c r="D313">
        <v>7.7</v>
      </c>
      <c r="E313">
        <v>2.2000000000000002</v>
      </c>
      <c r="F313">
        <v>0.4</v>
      </c>
      <c r="G313">
        <v>3.44</v>
      </c>
      <c r="H313" t="s">
        <v>10</v>
      </c>
    </row>
    <row r="314" spans="1:8" x14ac:dyDescent="0.25">
      <c r="A314">
        <v>313</v>
      </c>
      <c r="B314">
        <v>7.6</v>
      </c>
      <c r="C314">
        <v>2.5</v>
      </c>
      <c r="D314">
        <v>5.4</v>
      </c>
      <c r="E314">
        <v>4.5</v>
      </c>
      <c r="F314">
        <v>4</v>
      </c>
      <c r="G314">
        <v>3.17</v>
      </c>
      <c r="H314" t="s">
        <v>10</v>
      </c>
    </row>
    <row r="315" spans="1:8" x14ac:dyDescent="0.25">
      <c r="A315">
        <v>314</v>
      </c>
      <c r="B315">
        <v>8.9</v>
      </c>
      <c r="C315">
        <v>2.8</v>
      </c>
      <c r="D315">
        <v>5.2</v>
      </c>
      <c r="E315">
        <v>1.8</v>
      </c>
      <c r="F315">
        <v>5.3</v>
      </c>
      <c r="G315">
        <v>3.3</v>
      </c>
      <c r="H315" t="s">
        <v>10</v>
      </c>
    </row>
    <row r="316" spans="1:8" x14ac:dyDescent="0.25">
      <c r="A316">
        <v>315</v>
      </c>
      <c r="B316">
        <v>6.3</v>
      </c>
      <c r="C316">
        <v>1.4</v>
      </c>
      <c r="D316">
        <v>5.4</v>
      </c>
      <c r="E316">
        <v>5.6</v>
      </c>
      <c r="F316">
        <v>5.3</v>
      </c>
      <c r="G316">
        <v>2.58</v>
      </c>
      <c r="H316" t="s">
        <v>10</v>
      </c>
    </row>
    <row r="317" spans="1:8" x14ac:dyDescent="0.25">
      <c r="A317">
        <v>316</v>
      </c>
      <c r="B317">
        <v>7</v>
      </c>
      <c r="C317">
        <v>1.8</v>
      </c>
      <c r="D317">
        <v>8</v>
      </c>
      <c r="E317">
        <v>3.1</v>
      </c>
      <c r="F317">
        <v>4.0999999999999996</v>
      </c>
      <c r="G317">
        <v>3.15</v>
      </c>
      <c r="H317" t="s">
        <v>8</v>
      </c>
    </row>
    <row r="318" spans="1:8" x14ac:dyDescent="0.25">
      <c r="A318">
        <v>317</v>
      </c>
      <c r="B318">
        <v>9.6</v>
      </c>
      <c r="C318">
        <v>2</v>
      </c>
      <c r="D318">
        <v>10</v>
      </c>
      <c r="E318">
        <v>2</v>
      </c>
      <c r="F318">
        <v>0.4</v>
      </c>
      <c r="G318">
        <v>3.46</v>
      </c>
      <c r="H318" t="s">
        <v>10</v>
      </c>
    </row>
    <row r="319" spans="1:8" x14ac:dyDescent="0.25">
      <c r="A319">
        <v>318</v>
      </c>
      <c r="B319">
        <v>6.9</v>
      </c>
      <c r="C319">
        <v>3.5</v>
      </c>
      <c r="D319">
        <v>9.3000000000000007</v>
      </c>
      <c r="E319">
        <v>3.5</v>
      </c>
      <c r="F319">
        <v>0.8</v>
      </c>
      <c r="G319">
        <v>3.02</v>
      </c>
      <c r="H319" t="s">
        <v>8</v>
      </c>
    </row>
    <row r="320" spans="1:8" x14ac:dyDescent="0.25">
      <c r="A320">
        <v>319</v>
      </c>
      <c r="B320">
        <v>9</v>
      </c>
      <c r="C320">
        <v>1.2</v>
      </c>
      <c r="D320">
        <v>5.4</v>
      </c>
      <c r="E320">
        <v>2.4</v>
      </c>
      <c r="F320">
        <v>6</v>
      </c>
      <c r="G320">
        <v>3.46</v>
      </c>
      <c r="H320" t="s">
        <v>10</v>
      </c>
    </row>
    <row r="321" spans="1:8" x14ac:dyDescent="0.25">
      <c r="A321">
        <v>320</v>
      </c>
      <c r="B321">
        <v>6.7</v>
      </c>
      <c r="C321">
        <v>3.9</v>
      </c>
      <c r="D321">
        <v>8.1999999999999993</v>
      </c>
      <c r="E321">
        <v>4.3</v>
      </c>
      <c r="F321">
        <v>0.9</v>
      </c>
      <c r="G321">
        <v>2.83</v>
      </c>
      <c r="H321" t="s">
        <v>8</v>
      </c>
    </row>
    <row r="322" spans="1:8" x14ac:dyDescent="0.25">
      <c r="A322">
        <v>321</v>
      </c>
      <c r="B322">
        <v>5.7</v>
      </c>
      <c r="C322">
        <v>3.4</v>
      </c>
      <c r="D322">
        <v>9.6</v>
      </c>
      <c r="E322">
        <v>2.6</v>
      </c>
      <c r="F322">
        <v>2.7</v>
      </c>
      <c r="G322">
        <v>3.13</v>
      </c>
      <c r="H322" t="s">
        <v>9</v>
      </c>
    </row>
    <row r="323" spans="1:8" x14ac:dyDescent="0.25">
      <c r="A323">
        <v>322</v>
      </c>
      <c r="B323">
        <v>5.9</v>
      </c>
      <c r="C323">
        <v>2</v>
      </c>
      <c r="D323">
        <v>7</v>
      </c>
      <c r="E323">
        <v>0.9</v>
      </c>
      <c r="F323">
        <v>8.1999999999999993</v>
      </c>
      <c r="G323">
        <v>3</v>
      </c>
      <c r="H323" t="s">
        <v>9</v>
      </c>
    </row>
    <row r="324" spans="1:8" x14ac:dyDescent="0.25">
      <c r="A324">
        <v>323</v>
      </c>
      <c r="B324">
        <v>6.8</v>
      </c>
      <c r="C324">
        <v>0.3</v>
      </c>
      <c r="D324">
        <v>5.0999999999999996</v>
      </c>
      <c r="E324">
        <v>0.8</v>
      </c>
      <c r="F324">
        <v>11</v>
      </c>
      <c r="G324">
        <v>3.03</v>
      </c>
      <c r="H324" t="s">
        <v>10</v>
      </c>
    </row>
    <row r="325" spans="1:8" x14ac:dyDescent="0.25">
      <c r="A325">
        <v>324</v>
      </c>
      <c r="B325">
        <v>9.8000000000000007</v>
      </c>
      <c r="C325">
        <v>1.7</v>
      </c>
      <c r="D325">
        <v>6.6</v>
      </c>
      <c r="E325">
        <v>3</v>
      </c>
      <c r="F325">
        <v>2.9</v>
      </c>
      <c r="G325">
        <v>3.58</v>
      </c>
      <c r="H325" t="s">
        <v>10</v>
      </c>
    </row>
    <row r="326" spans="1:8" x14ac:dyDescent="0.25">
      <c r="A326">
        <v>325</v>
      </c>
      <c r="B326">
        <v>7.2</v>
      </c>
      <c r="C326">
        <v>0.4</v>
      </c>
      <c r="D326">
        <v>8.1999999999999993</v>
      </c>
      <c r="E326">
        <v>1.3</v>
      </c>
      <c r="F326">
        <v>6.9</v>
      </c>
      <c r="G326">
        <v>3.39</v>
      </c>
      <c r="H326" t="s">
        <v>8</v>
      </c>
    </row>
    <row r="327" spans="1:8" x14ac:dyDescent="0.25">
      <c r="A327">
        <v>326</v>
      </c>
      <c r="B327">
        <v>5.8</v>
      </c>
      <c r="C327">
        <v>0.2</v>
      </c>
      <c r="D327">
        <v>8.9</v>
      </c>
      <c r="E327">
        <v>2.8</v>
      </c>
      <c r="F327">
        <v>6.3</v>
      </c>
      <c r="G327">
        <v>3.11</v>
      </c>
      <c r="H327" t="s">
        <v>9</v>
      </c>
    </row>
    <row r="328" spans="1:8" x14ac:dyDescent="0.25">
      <c r="A328">
        <v>327</v>
      </c>
      <c r="B328">
        <v>5.3</v>
      </c>
      <c r="C328">
        <v>4</v>
      </c>
      <c r="D328">
        <v>5.3</v>
      </c>
      <c r="E328">
        <v>4.2</v>
      </c>
      <c r="F328">
        <v>5.2</v>
      </c>
      <c r="G328">
        <v>2.67</v>
      </c>
      <c r="H328" t="s">
        <v>10</v>
      </c>
    </row>
    <row r="329" spans="1:8" x14ac:dyDescent="0.25">
      <c r="A329">
        <v>328</v>
      </c>
      <c r="B329">
        <v>8.5</v>
      </c>
      <c r="C329">
        <v>0.2</v>
      </c>
      <c r="D329">
        <v>7.5</v>
      </c>
      <c r="E329">
        <v>6</v>
      </c>
      <c r="F329">
        <v>1.8</v>
      </c>
      <c r="G329">
        <v>3.21</v>
      </c>
      <c r="H329" t="s">
        <v>10</v>
      </c>
    </row>
    <row r="330" spans="1:8" x14ac:dyDescent="0.25">
      <c r="A330">
        <v>329</v>
      </c>
      <c r="B330">
        <v>9.1</v>
      </c>
      <c r="C330">
        <v>2.5</v>
      </c>
      <c r="D330">
        <v>6.5</v>
      </c>
      <c r="E330">
        <v>3.7</v>
      </c>
      <c r="F330">
        <v>2.2000000000000002</v>
      </c>
      <c r="G330">
        <v>2.85</v>
      </c>
      <c r="H330" t="s">
        <v>10</v>
      </c>
    </row>
    <row r="331" spans="1:8" x14ac:dyDescent="0.25">
      <c r="A331">
        <v>330</v>
      </c>
      <c r="B331">
        <v>5.7</v>
      </c>
      <c r="C331">
        <v>3.5</v>
      </c>
      <c r="D331">
        <v>7.2</v>
      </c>
      <c r="E331">
        <v>1.2</v>
      </c>
      <c r="F331">
        <v>6.4</v>
      </c>
      <c r="G331">
        <v>3.04</v>
      </c>
      <c r="H331" t="s">
        <v>9</v>
      </c>
    </row>
    <row r="332" spans="1:8" x14ac:dyDescent="0.25">
      <c r="A332">
        <v>331</v>
      </c>
      <c r="B332">
        <v>6.8</v>
      </c>
      <c r="C332">
        <v>1.7</v>
      </c>
      <c r="D332">
        <v>9.1</v>
      </c>
      <c r="E332">
        <v>4.4000000000000004</v>
      </c>
      <c r="F332">
        <v>2</v>
      </c>
      <c r="G332">
        <v>2.9</v>
      </c>
      <c r="H332" t="s">
        <v>8</v>
      </c>
    </row>
    <row r="333" spans="1:8" x14ac:dyDescent="0.25">
      <c r="A333">
        <v>332</v>
      </c>
      <c r="B333">
        <v>5.0999999999999996</v>
      </c>
      <c r="C333">
        <v>1</v>
      </c>
      <c r="D333">
        <v>8.8000000000000007</v>
      </c>
      <c r="E333">
        <v>0.8</v>
      </c>
      <c r="F333">
        <v>8.3000000000000007</v>
      </c>
      <c r="G333">
        <v>2.25</v>
      </c>
      <c r="H333" t="s">
        <v>9</v>
      </c>
    </row>
    <row r="334" spans="1:8" x14ac:dyDescent="0.25">
      <c r="A334">
        <v>333</v>
      </c>
      <c r="B334">
        <v>7.7</v>
      </c>
      <c r="C334">
        <v>0.9</v>
      </c>
      <c r="D334">
        <v>5.0999999999999996</v>
      </c>
      <c r="E334">
        <v>1.4</v>
      </c>
      <c r="F334">
        <v>8.9</v>
      </c>
      <c r="G334">
        <v>3.15</v>
      </c>
      <c r="H334" t="s">
        <v>10</v>
      </c>
    </row>
    <row r="335" spans="1:8" x14ac:dyDescent="0.25">
      <c r="A335">
        <v>334</v>
      </c>
      <c r="B335">
        <v>5.5</v>
      </c>
      <c r="C335">
        <v>2.2000000000000002</v>
      </c>
      <c r="D335">
        <v>7.3</v>
      </c>
      <c r="E335">
        <v>5.0999999999999996</v>
      </c>
      <c r="F335">
        <v>3.9</v>
      </c>
      <c r="G335">
        <v>2.94</v>
      </c>
      <c r="H335" t="s">
        <v>9</v>
      </c>
    </row>
    <row r="336" spans="1:8" x14ac:dyDescent="0.25">
      <c r="A336">
        <v>335</v>
      </c>
      <c r="B336">
        <v>5.5</v>
      </c>
      <c r="C336">
        <v>2</v>
      </c>
      <c r="D336">
        <v>5.8</v>
      </c>
      <c r="E336">
        <v>1.9</v>
      </c>
      <c r="F336">
        <v>8.8000000000000007</v>
      </c>
      <c r="G336">
        <v>2.79</v>
      </c>
      <c r="H336" t="s">
        <v>10</v>
      </c>
    </row>
    <row r="337" spans="1:8" x14ac:dyDescent="0.25">
      <c r="A337">
        <v>336</v>
      </c>
      <c r="B337">
        <v>6.9</v>
      </c>
      <c r="C337">
        <v>1.6</v>
      </c>
      <c r="D337">
        <v>7.3</v>
      </c>
      <c r="E337">
        <v>4.7</v>
      </c>
      <c r="F337">
        <v>3.5</v>
      </c>
      <c r="G337">
        <v>3.38</v>
      </c>
      <c r="H337" t="s">
        <v>8</v>
      </c>
    </row>
    <row r="338" spans="1:8" x14ac:dyDescent="0.25">
      <c r="A338">
        <v>337</v>
      </c>
      <c r="B338">
        <v>9.5</v>
      </c>
      <c r="C338">
        <v>3.8</v>
      </c>
      <c r="D338">
        <v>8.9</v>
      </c>
      <c r="E338">
        <v>0.6</v>
      </c>
      <c r="F338">
        <v>1.2</v>
      </c>
      <c r="G338">
        <v>3.3</v>
      </c>
      <c r="H338" t="s">
        <v>10</v>
      </c>
    </row>
    <row r="339" spans="1:8" x14ac:dyDescent="0.25">
      <c r="A339">
        <v>338</v>
      </c>
      <c r="B339">
        <v>6.3</v>
      </c>
      <c r="C339">
        <v>3.4</v>
      </c>
      <c r="D339">
        <v>5.2</v>
      </c>
      <c r="E339">
        <v>5.4</v>
      </c>
      <c r="F339">
        <v>3.7</v>
      </c>
      <c r="G339">
        <v>3.31</v>
      </c>
      <c r="H339" t="s">
        <v>10</v>
      </c>
    </row>
    <row r="340" spans="1:8" x14ac:dyDescent="0.25">
      <c r="A340">
        <v>339</v>
      </c>
      <c r="B340">
        <v>7.3</v>
      </c>
      <c r="C340">
        <v>2.5</v>
      </c>
      <c r="D340">
        <v>8.3000000000000007</v>
      </c>
      <c r="E340">
        <v>5.3</v>
      </c>
      <c r="F340">
        <v>0.6</v>
      </c>
      <c r="G340">
        <v>3.36</v>
      </c>
      <c r="H340" t="s">
        <v>8</v>
      </c>
    </row>
    <row r="341" spans="1:8" x14ac:dyDescent="0.25">
      <c r="A341">
        <v>340</v>
      </c>
      <c r="B341">
        <v>5.3</v>
      </c>
      <c r="C341">
        <v>2.1</v>
      </c>
      <c r="D341">
        <v>5.8</v>
      </c>
      <c r="E341">
        <v>4.4000000000000004</v>
      </c>
      <c r="F341">
        <v>6.4</v>
      </c>
      <c r="G341">
        <v>3.11</v>
      </c>
      <c r="H341" t="s">
        <v>10</v>
      </c>
    </row>
    <row r="342" spans="1:8" x14ac:dyDescent="0.25">
      <c r="A342">
        <v>341</v>
      </c>
      <c r="B342">
        <v>7.6</v>
      </c>
      <c r="C342">
        <v>2.7</v>
      </c>
      <c r="D342">
        <v>5.2</v>
      </c>
      <c r="E342">
        <v>0.5</v>
      </c>
      <c r="F342">
        <v>8</v>
      </c>
      <c r="G342">
        <v>3.07</v>
      </c>
      <c r="H342" t="s">
        <v>10</v>
      </c>
    </row>
    <row r="343" spans="1:8" x14ac:dyDescent="0.25">
      <c r="A343">
        <v>342</v>
      </c>
      <c r="B343">
        <v>5.4</v>
      </c>
      <c r="C343">
        <v>0</v>
      </c>
      <c r="D343">
        <v>9.8000000000000007</v>
      </c>
      <c r="E343">
        <v>4.4000000000000004</v>
      </c>
      <c r="F343">
        <v>4.4000000000000004</v>
      </c>
      <c r="G343">
        <v>2.85</v>
      </c>
      <c r="H343" t="s">
        <v>9</v>
      </c>
    </row>
    <row r="344" spans="1:8" x14ac:dyDescent="0.25">
      <c r="A344">
        <v>343</v>
      </c>
      <c r="B344">
        <v>6.8</v>
      </c>
      <c r="C344">
        <v>1.2</v>
      </c>
      <c r="D344">
        <v>6.7</v>
      </c>
      <c r="E344">
        <v>4.5999999999999996</v>
      </c>
      <c r="F344">
        <v>4.7</v>
      </c>
      <c r="G344">
        <v>2.81</v>
      </c>
      <c r="H344" t="s">
        <v>8</v>
      </c>
    </row>
    <row r="345" spans="1:8" x14ac:dyDescent="0.25">
      <c r="A345">
        <v>344</v>
      </c>
      <c r="B345">
        <v>5.9</v>
      </c>
      <c r="C345">
        <v>0.4</v>
      </c>
      <c r="D345">
        <v>8.3000000000000007</v>
      </c>
      <c r="E345">
        <v>4.5999999999999996</v>
      </c>
      <c r="F345">
        <v>4.8</v>
      </c>
      <c r="G345">
        <v>2.99</v>
      </c>
      <c r="H345" t="s">
        <v>9</v>
      </c>
    </row>
    <row r="346" spans="1:8" x14ac:dyDescent="0.25">
      <c r="A346">
        <v>345</v>
      </c>
      <c r="B346">
        <v>6.3</v>
      </c>
      <c r="C346">
        <v>0.1</v>
      </c>
      <c r="D346">
        <v>5.4</v>
      </c>
      <c r="E346">
        <v>5.8</v>
      </c>
      <c r="F346">
        <v>6.4</v>
      </c>
      <c r="G346">
        <v>3.14</v>
      </c>
      <c r="H346" t="s">
        <v>10</v>
      </c>
    </row>
    <row r="347" spans="1:8" x14ac:dyDescent="0.25">
      <c r="A347">
        <v>346</v>
      </c>
      <c r="B347">
        <v>8.1</v>
      </c>
      <c r="C347">
        <v>1.5</v>
      </c>
      <c r="D347">
        <v>6</v>
      </c>
      <c r="E347">
        <v>0.7</v>
      </c>
      <c r="F347">
        <v>7.7</v>
      </c>
      <c r="G347">
        <v>3.06</v>
      </c>
      <c r="H347" t="s">
        <v>10</v>
      </c>
    </row>
    <row r="348" spans="1:8" x14ac:dyDescent="0.25">
      <c r="A348">
        <v>347</v>
      </c>
      <c r="B348">
        <v>8.1</v>
      </c>
      <c r="C348">
        <v>3.1</v>
      </c>
      <c r="D348">
        <v>8.1999999999999993</v>
      </c>
      <c r="E348">
        <v>2.4</v>
      </c>
      <c r="F348">
        <v>2.2000000000000002</v>
      </c>
      <c r="G348">
        <v>3.09</v>
      </c>
      <c r="H348" t="s">
        <v>10</v>
      </c>
    </row>
    <row r="349" spans="1:8" x14ac:dyDescent="0.25">
      <c r="A349">
        <v>348</v>
      </c>
      <c r="B349">
        <v>9.9</v>
      </c>
      <c r="C349">
        <v>2.4</v>
      </c>
      <c r="D349">
        <v>7.9</v>
      </c>
      <c r="E349">
        <v>2.8</v>
      </c>
      <c r="F349">
        <v>1</v>
      </c>
      <c r="G349">
        <v>3.67</v>
      </c>
      <c r="H349" t="s">
        <v>10</v>
      </c>
    </row>
    <row r="350" spans="1:8" x14ac:dyDescent="0.25">
      <c r="A350">
        <v>349</v>
      </c>
      <c r="B350">
        <v>9.1</v>
      </c>
      <c r="C350">
        <v>2.6</v>
      </c>
      <c r="D350">
        <v>5.6</v>
      </c>
      <c r="E350">
        <v>2</v>
      </c>
      <c r="F350">
        <v>4.7</v>
      </c>
      <c r="G350">
        <v>3.16</v>
      </c>
      <c r="H350" t="s">
        <v>10</v>
      </c>
    </row>
    <row r="351" spans="1:8" x14ac:dyDescent="0.25">
      <c r="A351">
        <v>350</v>
      </c>
      <c r="B351">
        <v>7.2</v>
      </c>
      <c r="C351">
        <v>2.5</v>
      </c>
      <c r="D351">
        <v>9.6999999999999993</v>
      </c>
      <c r="E351">
        <v>1.1000000000000001</v>
      </c>
      <c r="F351">
        <v>3.5</v>
      </c>
      <c r="G351">
        <v>2.69</v>
      </c>
      <c r="H351" t="s">
        <v>8</v>
      </c>
    </row>
    <row r="352" spans="1:8" x14ac:dyDescent="0.25">
      <c r="A352">
        <v>351</v>
      </c>
      <c r="B352">
        <v>5.6</v>
      </c>
      <c r="C352">
        <v>0.8</v>
      </c>
      <c r="D352">
        <v>9.4</v>
      </c>
      <c r="E352">
        <v>3.9</v>
      </c>
      <c r="F352">
        <v>4.3</v>
      </c>
      <c r="G352">
        <v>3.01</v>
      </c>
      <c r="H352" t="s">
        <v>9</v>
      </c>
    </row>
    <row r="353" spans="1:8" x14ac:dyDescent="0.25">
      <c r="A353">
        <v>352</v>
      </c>
      <c r="B353">
        <v>9.3000000000000007</v>
      </c>
      <c r="C353">
        <v>3.4</v>
      </c>
      <c r="D353">
        <v>9.6</v>
      </c>
      <c r="E353">
        <v>0.4</v>
      </c>
      <c r="F353">
        <v>1.3</v>
      </c>
      <c r="G353">
        <v>3.28</v>
      </c>
      <c r="H353" t="s">
        <v>10</v>
      </c>
    </row>
    <row r="354" spans="1:8" x14ac:dyDescent="0.25">
      <c r="A354">
        <v>353</v>
      </c>
      <c r="B354">
        <v>8.8000000000000007</v>
      </c>
      <c r="C354">
        <v>1.8</v>
      </c>
      <c r="D354">
        <v>9.1999999999999993</v>
      </c>
      <c r="E354">
        <v>3.1</v>
      </c>
      <c r="F354">
        <v>1.1000000000000001</v>
      </c>
      <c r="G354">
        <v>3.45</v>
      </c>
      <c r="H354" t="s">
        <v>10</v>
      </c>
    </row>
    <row r="355" spans="1:8" x14ac:dyDescent="0.25">
      <c r="A355">
        <v>354</v>
      </c>
      <c r="B355">
        <v>5.9</v>
      </c>
      <c r="C355">
        <v>2.2000000000000002</v>
      </c>
      <c r="D355">
        <v>9.9</v>
      </c>
      <c r="E355">
        <v>5.6</v>
      </c>
      <c r="F355">
        <v>0.4</v>
      </c>
      <c r="G355">
        <v>3.12</v>
      </c>
      <c r="H355" t="s">
        <v>9</v>
      </c>
    </row>
    <row r="356" spans="1:8" x14ac:dyDescent="0.25">
      <c r="A356">
        <v>355</v>
      </c>
      <c r="B356">
        <v>5.2</v>
      </c>
      <c r="C356">
        <v>0.7</v>
      </c>
      <c r="D356">
        <v>5.7</v>
      </c>
      <c r="E356">
        <v>4.4000000000000004</v>
      </c>
      <c r="F356">
        <v>8</v>
      </c>
      <c r="G356">
        <v>2.67</v>
      </c>
      <c r="H356" t="s">
        <v>10</v>
      </c>
    </row>
    <row r="357" spans="1:8" x14ac:dyDescent="0.25">
      <c r="A357">
        <v>356</v>
      </c>
      <c r="B357">
        <v>7.5</v>
      </c>
      <c r="C357">
        <v>3.4</v>
      </c>
      <c r="D357">
        <v>8.6999999999999993</v>
      </c>
      <c r="E357">
        <v>2.4</v>
      </c>
      <c r="F357">
        <v>2</v>
      </c>
      <c r="G357">
        <v>3.24</v>
      </c>
      <c r="H357" t="s">
        <v>8</v>
      </c>
    </row>
    <row r="358" spans="1:8" x14ac:dyDescent="0.25">
      <c r="A358">
        <v>357</v>
      </c>
      <c r="B358">
        <v>8</v>
      </c>
      <c r="C358">
        <v>2</v>
      </c>
      <c r="D358">
        <v>6.5</v>
      </c>
      <c r="E358">
        <v>3.4</v>
      </c>
      <c r="F358">
        <v>4.0999999999999996</v>
      </c>
      <c r="G358">
        <v>3.35</v>
      </c>
      <c r="H358" t="s">
        <v>8</v>
      </c>
    </row>
    <row r="359" spans="1:8" x14ac:dyDescent="0.25">
      <c r="A359">
        <v>358</v>
      </c>
      <c r="B359">
        <v>8.1999999999999993</v>
      </c>
      <c r="C359">
        <v>3</v>
      </c>
      <c r="D359">
        <v>5.8</v>
      </c>
      <c r="E359">
        <v>2.8</v>
      </c>
      <c r="F359">
        <v>4.2</v>
      </c>
      <c r="G359">
        <v>3.31</v>
      </c>
      <c r="H359" t="s">
        <v>10</v>
      </c>
    </row>
    <row r="360" spans="1:8" x14ac:dyDescent="0.25">
      <c r="A360">
        <v>359</v>
      </c>
      <c r="B360">
        <v>5</v>
      </c>
      <c r="C360">
        <v>1</v>
      </c>
      <c r="D360">
        <v>8.6</v>
      </c>
      <c r="E360">
        <v>6</v>
      </c>
      <c r="F360">
        <v>3.4</v>
      </c>
      <c r="G360">
        <v>2.71</v>
      </c>
      <c r="H360" t="s">
        <v>9</v>
      </c>
    </row>
    <row r="361" spans="1:8" x14ac:dyDescent="0.25">
      <c r="A361">
        <v>360</v>
      </c>
      <c r="B361">
        <v>9</v>
      </c>
      <c r="C361">
        <v>0.8</v>
      </c>
      <c r="D361">
        <v>7.8</v>
      </c>
      <c r="E361">
        <v>4.4000000000000004</v>
      </c>
      <c r="F361">
        <v>2</v>
      </c>
      <c r="G361">
        <v>3.18</v>
      </c>
      <c r="H361" t="s">
        <v>10</v>
      </c>
    </row>
    <row r="362" spans="1:8" x14ac:dyDescent="0.25">
      <c r="A362">
        <v>361</v>
      </c>
      <c r="B362">
        <v>8.1</v>
      </c>
      <c r="C362">
        <v>0.8</v>
      </c>
      <c r="D362">
        <v>6.8</v>
      </c>
      <c r="E362">
        <v>4.7</v>
      </c>
      <c r="F362">
        <v>3.6</v>
      </c>
      <c r="G362">
        <v>3.19</v>
      </c>
      <c r="H362" t="s">
        <v>10</v>
      </c>
    </row>
    <row r="363" spans="1:8" x14ac:dyDescent="0.25">
      <c r="A363">
        <v>362</v>
      </c>
      <c r="B363">
        <v>8.8000000000000007</v>
      </c>
      <c r="C363">
        <v>0.1</v>
      </c>
      <c r="D363">
        <v>8.6999999999999993</v>
      </c>
      <c r="E363">
        <v>1.2</v>
      </c>
      <c r="F363">
        <v>5.2</v>
      </c>
      <c r="G363">
        <v>3.32</v>
      </c>
      <c r="H363" t="s">
        <v>10</v>
      </c>
    </row>
    <row r="364" spans="1:8" x14ac:dyDescent="0.25">
      <c r="A364">
        <v>363</v>
      </c>
      <c r="B364">
        <v>9.8000000000000007</v>
      </c>
      <c r="C364">
        <v>1.5</v>
      </c>
      <c r="D364">
        <v>6.6</v>
      </c>
      <c r="E364">
        <v>0.9</v>
      </c>
      <c r="F364">
        <v>5.2</v>
      </c>
      <c r="G364">
        <v>3.61</v>
      </c>
      <c r="H364" t="s">
        <v>10</v>
      </c>
    </row>
    <row r="365" spans="1:8" x14ac:dyDescent="0.25">
      <c r="A365">
        <v>364</v>
      </c>
      <c r="B365">
        <v>10</v>
      </c>
      <c r="C365">
        <v>1.5</v>
      </c>
      <c r="D365">
        <v>7.2</v>
      </c>
      <c r="E365">
        <v>3.8</v>
      </c>
      <c r="F365">
        <v>1.5</v>
      </c>
      <c r="G365">
        <v>3.43</v>
      </c>
      <c r="H365" t="s">
        <v>10</v>
      </c>
    </row>
    <row r="366" spans="1:8" x14ac:dyDescent="0.25">
      <c r="A366">
        <v>365</v>
      </c>
      <c r="B366">
        <v>9.4</v>
      </c>
      <c r="C366">
        <v>2.4</v>
      </c>
      <c r="D366">
        <v>7</v>
      </c>
      <c r="E366">
        <v>2.1</v>
      </c>
      <c r="F366">
        <v>3.1</v>
      </c>
      <c r="G366">
        <v>3.1</v>
      </c>
      <c r="H366" t="s">
        <v>10</v>
      </c>
    </row>
    <row r="367" spans="1:8" x14ac:dyDescent="0.25">
      <c r="A367">
        <v>366</v>
      </c>
      <c r="B367">
        <v>9</v>
      </c>
      <c r="C367">
        <v>0.4</v>
      </c>
      <c r="D367">
        <v>7.9</v>
      </c>
      <c r="E367">
        <v>2.9</v>
      </c>
      <c r="F367">
        <v>3.8</v>
      </c>
      <c r="G367">
        <v>3.6</v>
      </c>
      <c r="H367" t="s">
        <v>10</v>
      </c>
    </row>
    <row r="368" spans="1:8" x14ac:dyDescent="0.25">
      <c r="A368">
        <v>367</v>
      </c>
      <c r="B368">
        <v>8.1999999999999993</v>
      </c>
      <c r="C368">
        <v>0.3</v>
      </c>
      <c r="D368">
        <v>7.9</v>
      </c>
      <c r="E368">
        <v>3.4</v>
      </c>
      <c r="F368">
        <v>4.2</v>
      </c>
      <c r="G368">
        <v>3.64</v>
      </c>
      <c r="H368" t="s">
        <v>10</v>
      </c>
    </row>
    <row r="369" spans="1:8" x14ac:dyDescent="0.25">
      <c r="A369">
        <v>368</v>
      </c>
      <c r="B369">
        <v>8.4</v>
      </c>
      <c r="C369">
        <v>3.2</v>
      </c>
      <c r="D369">
        <v>6.3</v>
      </c>
      <c r="E369">
        <v>5</v>
      </c>
      <c r="F369">
        <v>1.1000000000000001</v>
      </c>
      <c r="G369">
        <v>3.5</v>
      </c>
      <c r="H369" t="s">
        <v>10</v>
      </c>
    </row>
    <row r="370" spans="1:8" x14ac:dyDescent="0.25">
      <c r="A370">
        <v>369</v>
      </c>
      <c r="B370">
        <v>7.5</v>
      </c>
      <c r="C370">
        <v>0.3</v>
      </c>
      <c r="D370">
        <v>5.3</v>
      </c>
      <c r="E370">
        <v>2</v>
      </c>
      <c r="F370">
        <v>8.9</v>
      </c>
      <c r="G370">
        <v>3.26</v>
      </c>
      <c r="H370" t="s">
        <v>10</v>
      </c>
    </row>
    <row r="371" spans="1:8" x14ac:dyDescent="0.25">
      <c r="A371">
        <v>370</v>
      </c>
      <c r="B371">
        <v>8.9</v>
      </c>
      <c r="C371">
        <v>2.1</v>
      </c>
      <c r="D371">
        <v>7.2</v>
      </c>
      <c r="E371">
        <v>0.9</v>
      </c>
      <c r="F371">
        <v>4.9000000000000004</v>
      </c>
      <c r="G371">
        <v>3.53</v>
      </c>
      <c r="H371" t="s">
        <v>10</v>
      </c>
    </row>
    <row r="372" spans="1:8" x14ac:dyDescent="0.25">
      <c r="A372">
        <v>371</v>
      </c>
      <c r="B372">
        <v>6.6</v>
      </c>
      <c r="C372">
        <v>1.7</v>
      </c>
      <c r="D372">
        <v>5.4</v>
      </c>
      <c r="E372">
        <v>1.3</v>
      </c>
      <c r="F372">
        <v>9</v>
      </c>
      <c r="G372">
        <v>3.29</v>
      </c>
      <c r="H372" t="s">
        <v>10</v>
      </c>
    </row>
    <row r="373" spans="1:8" x14ac:dyDescent="0.25">
      <c r="A373">
        <v>372</v>
      </c>
      <c r="B373">
        <v>10</v>
      </c>
      <c r="C373">
        <v>3.7</v>
      </c>
      <c r="D373">
        <v>8.1999999999999993</v>
      </c>
      <c r="E373">
        <v>0.9</v>
      </c>
      <c r="F373">
        <v>1.2</v>
      </c>
      <c r="G373">
        <v>3.63</v>
      </c>
      <c r="H373" t="s">
        <v>10</v>
      </c>
    </row>
    <row r="374" spans="1:8" x14ac:dyDescent="0.25">
      <c r="A374">
        <v>373</v>
      </c>
      <c r="B374">
        <v>8.1999999999999993</v>
      </c>
      <c r="C374">
        <v>3.1</v>
      </c>
      <c r="D374">
        <v>5.6</v>
      </c>
      <c r="E374">
        <v>2.5</v>
      </c>
      <c r="F374">
        <v>4.5999999999999996</v>
      </c>
      <c r="G374">
        <v>3.16</v>
      </c>
      <c r="H374" t="s">
        <v>10</v>
      </c>
    </row>
    <row r="375" spans="1:8" x14ac:dyDescent="0.25">
      <c r="A375">
        <v>374</v>
      </c>
      <c r="B375">
        <v>7.9</v>
      </c>
      <c r="C375">
        <v>2.4</v>
      </c>
      <c r="D375">
        <v>5.9</v>
      </c>
      <c r="E375">
        <v>2.2000000000000002</v>
      </c>
      <c r="F375">
        <v>5.6</v>
      </c>
      <c r="G375">
        <v>3.4</v>
      </c>
      <c r="H375" t="s">
        <v>10</v>
      </c>
    </row>
    <row r="376" spans="1:8" x14ac:dyDescent="0.25">
      <c r="A376">
        <v>375</v>
      </c>
      <c r="B376">
        <v>6.7</v>
      </c>
      <c r="C376">
        <v>0.1</v>
      </c>
      <c r="D376">
        <v>5.0999999999999996</v>
      </c>
      <c r="E376">
        <v>5</v>
      </c>
      <c r="F376">
        <v>7.1</v>
      </c>
      <c r="G376">
        <v>3.03</v>
      </c>
      <c r="H376" t="s">
        <v>10</v>
      </c>
    </row>
    <row r="377" spans="1:8" x14ac:dyDescent="0.25">
      <c r="A377">
        <v>376</v>
      </c>
      <c r="B377">
        <v>6.5</v>
      </c>
      <c r="C377">
        <v>3.8</v>
      </c>
      <c r="D377">
        <v>6.3</v>
      </c>
      <c r="E377">
        <v>2.6</v>
      </c>
      <c r="F377">
        <v>4.8</v>
      </c>
      <c r="G377">
        <v>2.62</v>
      </c>
      <c r="H377" t="s">
        <v>8</v>
      </c>
    </row>
    <row r="378" spans="1:8" x14ac:dyDescent="0.25">
      <c r="A378">
        <v>377</v>
      </c>
      <c r="B378">
        <v>9.4</v>
      </c>
      <c r="C378">
        <v>3.4</v>
      </c>
      <c r="D378">
        <v>5.9</v>
      </c>
      <c r="E378">
        <v>4.3</v>
      </c>
      <c r="F378">
        <v>1</v>
      </c>
      <c r="G378">
        <v>3.18</v>
      </c>
      <c r="H378" t="s">
        <v>10</v>
      </c>
    </row>
    <row r="379" spans="1:8" x14ac:dyDescent="0.25">
      <c r="A379">
        <v>378</v>
      </c>
      <c r="B379">
        <v>5.7</v>
      </c>
      <c r="C379">
        <v>0.3</v>
      </c>
      <c r="D379">
        <v>8.6</v>
      </c>
      <c r="E379">
        <v>3</v>
      </c>
      <c r="F379">
        <v>6.4</v>
      </c>
      <c r="G379">
        <v>2.2799999999999998</v>
      </c>
      <c r="H379" t="s">
        <v>9</v>
      </c>
    </row>
    <row r="380" spans="1:8" x14ac:dyDescent="0.25">
      <c r="A380">
        <v>379</v>
      </c>
      <c r="B380">
        <v>7.2</v>
      </c>
      <c r="C380">
        <v>2.9</v>
      </c>
      <c r="D380">
        <v>8.8000000000000007</v>
      </c>
      <c r="E380">
        <v>0.8</v>
      </c>
      <c r="F380">
        <v>4.3</v>
      </c>
      <c r="G380">
        <v>2.88</v>
      </c>
      <c r="H380" t="s">
        <v>8</v>
      </c>
    </row>
    <row r="381" spans="1:8" x14ac:dyDescent="0.25">
      <c r="A381">
        <v>380</v>
      </c>
      <c r="B381">
        <v>8.8000000000000007</v>
      </c>
      <c r="C381">
        <v>2.6</v>
      </c>
      <c r="D381">
        <v>9.8000000000000007</v>
      </c>
      <c r="E381">
        <v>0.2</v>
      </c>
      <c r="F381">
        <v>2.6</v>
      </c>
      <c r="G381">
        <v>3.38</v>
      </c>
      <c r="H381" t="s">
        <v>10</v>
      </c>
    </row>
    <row r="382" spans="1:8" x14ac:dyDescent="0.25">
      <c r="A382">
        <v>381</v>
      </c>
      <c r="B382">
        <v>5.3</v>
      </c>
      <c r="C382">
        <v>1.1000000000000001</v>
      </c>
      <c r="D382">
        <v>6.3</v>
      </c>
      <c r="E382">
        <v>1.5</v>
      </c>
      <c r="F382">
        <v>9.8000000000000007</v>
      </c>
      <c r="G382">
        <v>2.75</v>
      </c>
      <c r="H382" t="s">
        <v>9</v>
      </c>
    </row>
    <row r="383" spans="1:8" x14ac:dyDescent="0.25">
      <c r="A383">
        <v>382</v>
      </c>
      <c r="B383">
        <v>6.4</v>
      </c>
      <c r="C383">
        <v>3</v>
      </c>
      <c r="D383">
        <v>7.2</v>
      </c>
      <c r="E383">
        <v>4.7</v>
      </c>
      <c r="F383">
        <v>2.7</v>
      </c>
      <c r="G383">
        <v>3.03</v>
      </c>
      <c r="H383" t="s">
        <v>8</v>
      </c>
    </row>
    <row r="384" spans="1:8" x14ac:dyDescent="0.25">
      <c r="A384">
        <v>383</v>
      </c>
      <c r="B384">
        <v>5.3</v>
      </c>
      <c r="C384">
        <v>2</v>
      </c>
      <c r="D384">
        <v>5.2</v>
      </c>
      <c r="E384">
        <v>0.4</v>
      </c>
      <c r="F384">
        <v>11.1</v>
      </c>
      <c r="G384">
        <v>2.31</v>
      </c>
      <c r="H384" t="s">
        <v>10</v>
      </c>
    </row>
    <row r="385" spans="1:8" x14ac:dyDescent="0.25">
      <c r="A385">
        <v>384</v>
      </c>
      <c r="B385">
        <v>6.7</v>
      </c>
      <c r="C385">
        <v>3.6</v>
      </c>
      <c r="D385">
        <v>5.0999999999999996</v>
      </c>
      <c r="E385">
        <v>4</v>
      </c>
      <c r="F385">
        <v>4.5999999999999996</v>
      </c>
      <c r="G385">
        <v>3.18</v>
      </c>
      <c r="H385" t="s">
        <v>10</v>
      </c>
    </row>
    <row r="386" spans="1:8" x14ac:dyDescent="0.25">
      <c r="A386">
        <v>385</v>
      </c>
      <c r="B386">
        <v>9.8000000000000007</v>
      </c>
      <c r="C386">
        <v>2.2000000000000002</v>
      </c>
      <c r="D386">
        <v>9.6999999999999993</v>
      </c>
      <c r="E386">
        <v>0.1</v>
      </c>
      <c r="F386">
        <v>2.2000000000000002</v>
      </c>
      <c r="G386">
        <v>3.16</v>
      </c>
      <c r="H386" t="s">
        <v>10</v>
      </c>
    </row>
    <row r="387" spans="1:8" x14ac:dyDescent="0.25">
      <c r="A387">
        <v>386</v>
      </c>
      <c r="B387">
        <v>8.6999999999999993</v>
      </c>
      <c r="C387">
        <v>3.9</v>
      </c>
      <c r="D387">
        <v>6.3</v>
      </c>
      <c r="E387">
        <v>3.3</v>
      </c>
      <c r="F387">
        <v>1.8</v>
      </c>
      <c r="G387">
        <v>3.2</v>
      </c>
      <c r="H387" t="s">
        <v>10</v>
      </c>
    </row>
    <row r="388" spans="1:8" x14ac:dyDescent="0.25">
      <c r="A388">
        <v>387</v>
      </c>
      <c r="B388">
        <v>6</v>
      </c>
      <c r="C388">
        <v>2.2999999999999998</v>
      </c>
      <c r="D388">
        <v>7.3</v>
      </c>
      <c r="E388">
        <v>5.8</v>
      </c>
      <c r="F388">
        <v>2.6</v>
      </c>
      <c r="G388">
        <v>2.58</v>
      </c>
      <c r="H388" t="s">
        <v>8</v>
      </c>
    </row>
    <row r="389" spans="1:8" x14ac:dyDescent="0.25">
      <c r="A389">
        <v>388</v>
      </c>
      <c r="B389">
        <v>5.6</v>
      </c>
      <c r="C389">
        <v>0.6</v>
      </c>
      <c r="D389">
        <v>6.1</v>
      </c>
      <c r="E389">
        <v>1.5</v>
      </c>
      <c r="F389">
        <v>10.199999999999999</v>
      </c>
      <c r="G389">
        <v>3.07</v>
      </c>
      <c r="H389" t="s">
        <v>9</v>
      </c>
    </row>
    <row r="390" spans="1:8" x14ac:dyDescent="0.25">
      <c r="A390">
        <v>389</v>
      </c>
      <c r="B390">
        <v>9.3000000000000007</v>
      </c>
      <c r="C390">
        <v>2.2000000000000002</v>
      </c>
      <c r="D390">
        <v>7.6</v>
      </c>
      <c r="E390">
        <v>0.6</v>
      </c>
      <c r="F390">
        <v>4.3</v>
      </c>
      <c r="G390">
        <v>3.48</v>
      </c>
      <c r="H390" t="s">
        <v>10</v>
      </c>
    </row>
    <row r="391" spans="1:8" x14ac:dyDescent="0.25">
      <c r="A391">
        <v>390</v>
      </c>
      <c r="B391">
        <v>5.3</v>
      </c>
      <c r="C391">
        <v>2.8</v>
      </c>
      <c r="D391">
        <v>7.7</v>
      </c>
      <c r="E391">
        <v>0.5</v>
      </c>
      <c r="F391">
        <v>7.7</v>
      </c>
      <c r="G391">
        <v>2.93</v>
      </c>
      <c r="H391" t="s">
        <v>9</v>
      </c>
    </row>
    <row r="392" spans="1:8" x14ac:dyDescent="0.25">
      <c r="A392">
        <v>391</v>
      </c>
      <c r="B392">
        <v>7.3</v>
      </c>
      <c r="C392">
        <v>1.9</v>
      </c>
      <c r="D392">
        <v>5.8</v>
      </c>
      <c r="E392">
        <v>5.7</v>
      </c>
      <c r="F392">
        <v>3.3</v>
      </c>
      <c r="G392">
        <v>3.18</v>
      </c>
      <c r="H392" t="s">
        <v>10</v>
      </c>
    </row>
    <row r="393" spans="1:8" x14ac:dyDescent="0.25">
      <c r="A393">
        <v>392</v>
      </c>
      <c r="B393">
        <v>7.3</v>
      </c>
      <c r="C393">
        <v>1.6</v>
      </c>
      <c r="D393">
        <v>8.3000000000000007</v>
      </c>
      <c r="E393">
        <v>3.3</v>
      </c>
      <c r="F393">
        <v>3.5</v>
      </c>
      <c r="G393">
        <v>3.28</v>
      </c>
      <c r="H393" t="s">
        <v>8</v>
      </c>
    </row>
    <row r="394" spans="1:8" x14ac:dyDescent="0.25">
      <c r="A394">
        <v>393</v>
      </c>
      <c r="B394">
        <v>5.3</v>
      </c>
      <c r="C394">
        <v>2.1</v>
      </c>
      <c r="D394">
        <v>9</v>
      </c>
      <c r="E394">
        <v>2.8</v>
      </c>
      <c r="F394">
        <v>4.8</v>
      </c>
      <c r="G394">
        <v>2.67</v>
      </c>
      <c r="H394" t="s">
        <v>9</v>
      </c>
    </row>
    <row r="395" spans="1:8" x14ac:dyDescent="0.25">
      <c r="A395">
        <v>394</v>
      </c>
      <c r="B395">
        <v>5.8</v>
      </c>
      <c r="C395">
        <v>1.3</v>
      </c>
      <c r="D395">
        <v>8.8000000000000007</v>
      </c>
      <c r="E395">
        <v>3.1</v>
      </c>
      <c r="F395">
        <v>5</v>
      </c>
      <c r="G395">
        <v>2.71</v>
      </c>
      <c r="H395" t="s">
        <v>9</v>
      </c>
    </row>
    <row r="396" spans="1:8" x14ac:dyDescent="0.25">
      <c r="A396">
        <v>395</v>
      </c>
      <c r="B396">
        <v>6</v>
      </c>
      <c r="C396">
        <v>3.5</v>
      </c>
      <c r="D396">
        <v>9.4</v>
      </c>
      <c r="E396">
        <v>4.4000000000000004</v>
      </c>
      <c r="F396">
        <v>0.7</v>
      </c>
      <c r="G396">
        <v>2.84</v>
      </c>
      <c r="H396" t="s">
        <v>8</v>
      </c>
    </row>
    <row r="397" spans="1:8" x14ac:dyDescent="0.25">
      <c r="A397">
        <v>396</v>
      </c>
      <c r="B397">
        <v>9.9</v>
      </c>
      <c r="C397">
        <v>3.1</v>
      </c>
      <c r="D397">
        <v>5.0999999999999996</v>
      </c>
      <c r="E397">
        <v>0.4</v>
      </c>
      <c r="F397">
        <v>5.5</v>
      </c>
      <c r="G397">
        <v>3.17</v>
      </c>
      <c r="H397" t="s">
        <v>10</v>
      </c>
    </row>
    <row r="398" spans="1:8" x14ac:dyDescent="0.25">
      <c r="A398">
        <v>397</v>
      </c>
      <c r="B398">
        <v>7.3</v>
      </c>
      <c r="C398">
        <v>3.6</v>
      </c>
      <c r="D398">
        <v>7.7</v>
      </c>
      <c r="E398">
        <v>2.7</v>
      </c>
      <c r="F398">
        <v>2.7</v>
      </c>
      <c r="G398">
        <v>3.15</v>
      </c>
      <c r="H398" t="s">
        <v>8</v>
      </c>
    </row>
    <row r="399" spans="1:8" x14ac:dyDescent="0.25">
      <c r="A399">
        <v>398</v>
      </c>
      <c r="B399">
        <v>9.1</v>
      </c>
      <c r="C399">
        <v>1.5</v>
      </c>
      <c r="D399">
        <v>8.9</v>
      </c>
      <c r="E399">
        <v>4.3</v>
      </c>
      <c r="F399">
        <v>0.2</v>
      </c>
      <c r="G399">
        <v>3.21</v>
      </c>
      <c r="H399" t="s">
        <v>10</v>
      </c>
    </row>
    <row r="400" spans="1:8" x14ac:dyDescent="0.25">
      <c r="A400">
        <v>399</v>
      </c>
      <c r="B400">
        <v>6</v>
      </c>
      <c r="C400">
        <v>2.1</v>
      </c>
      <c r="D400">
        <v>6.4</v>
      </c>
      <c r="E400">
        <v>4.8</v>
      </c>
      <c r="F400">
        <v>4.7</v>
      </c>
      <c r="G400">
        <v>3.27</v>
      </c>
      <c r="H400" t="s">
        <v>8</v>
      </c>
    </row>
    <row r="401" spans="1:8" x14ac:dyDescent="0.25">
      <c r="A401">
        <v>400</v>
      </c>
      <c r="B401">
        <v>9</v>
      </c>
      <c r="C401">
        <v>1.6</v>
      </c>
      <c r="D401">
        <v>9.6</v>
      </c>
      <c r="E401">
        <v>2</v>
      </c>
      <c r="F401">
        <v>1.8</v>
      </c>
      <c r="G401">
        <v>3.57</v>
      </c>
      <c r="H401" t="s">
        <v>10</v>
      </c>
    </row>
    <row r="402" spans="1:8" x14ac:dyDescent="0.25">
      <c r="A402">
        <v>401</v>
      </c>
      <c r="B402">
        <v>5.8</v>
      </c>
      <c r="C402">
        <v>2.8</v>
      </c>
      <c r="D402">
        <v>9</v>
      </c>
      <c r="E402">
        <v>1.9</v>
      </c>
      <c r="F402">
        <v>4.5</v>
      </c>
      <c r="G402">
        <v>2.8</v>
      </c>
      <c r="H402" t="s">
        <v>9</v>
      </c>
    </row>
    <row r="403" spans="1:8" x14ac:dyDescent="0.25">
      <c r="A403">
        <v>402</v>
      </c>
      <c r="B403">
        <v>5.9</v>
      </c>
      <c r="C403">
        <v>3.6</v>
      </c>
      <c r="D403">
        <v>8.3000000000000007</v>
      </c>
      <c r="E403">
        <v>0.9</v>
      </c>
      <c r="F403">
        <v>5.3</v>
      </c>
      <c r="G403">
        <v>2.8</v>
      </c>
      <c r="H403" t="s">
        <v>9</v>
      </c>
    </row>
    <row r="404" spans="1:8" x14ac:dyDescent="0.25">
      <c r="A404">
        <v>403</v>
      </c>
      <c r="B404">
        <v>7.2</v>
      </c>
      <c r="C404">
        <v>2.5</v>
      </c>
      <c r="D404">
        <v>5.4</v>
      </c>
      <c r="E404">
        <v>5.3</v>
      </c>
      <c r="F404">
        <v>3.6</v>
      </c>
      <c r="G404">
        <v>3.08</v>
      </c>
      <c r="H404" t="s">
        <v>10</v>
      </c>
    </row>
    <row r="405" spans="1:8" x14ac:dyDescent="0.25">
      <c r="A405">
        <v>404</v>
      </c>
      <c r="B405">
        <v>9.8000000000000007</v>
      </c>
      <c r="C405">
        <v>1.7</v>
      </c>
      <c r="D405">
        <v>9.9</v>
      </c>
      <c r="E405">
        <v>1.7</v>
      </c>
      <c r="F405">
        <v>0.9</v>
      </c>
      <c r="G405">
        <v>3.75</v>
      </c>
      <c r="H405" t="s">
        <v>10</v>
      </c>
    </row>
    <row r="406" spans="1:8" x14ac:dyDescent="0.25">
      <c r="A406">
        <v>405</v>
      </c>
      <c r="B406">
        <v>8.1999999999999993</v>
      </c>
      <c r="C406">
        <v>0.7</v>
      </c>
      <c r="D406">
        <v>9.4</v>
      </c>
      <c r="E406">
        <v>2.4</v>
      </c>
      <c r="F406">
        <v>3.3</v>
      </c>
      <c r="G406">
        <v>3.47</v>
      </c>
      <c r="H406" t="s">
        <v>10</v>
      </c>
    </row>
    <row r="407" spans="1:8" x14ac:dyDescent="0.25">
      <c r="A407">
        <v>406</v>
      </c>
      <c r="B407">
        <v>8.6</v>
      </c>
      <c r="C407">
        <v>3.6</v>
      </c>
      <c r="D407">
        <v>5.4</v>
      </c>
      <c r="E407">
        <v>4.4000000000000004</v>
      </c>
      <c r="F407">
        <v>2</v>
      </c>
      <c r="G407">
        <v>3.81</v>
      </c>
      <c r="H407" t="s">
        <v>10</v>
      </c>
    </row>
    <row r="408" spans="1:8" x14ac:dyDescent="0.25">
      <c r="A408">
        <v>407</v>
      </c>
      <c r="B408">
        <v>5.9</v>
      </c>
      <c r="C408">
        <v>3.4</v>
      </c>
      <c r="D408">
        <v>9.1</v>
      </c>
      <c r="E408">
        <v>3</v>
      </c>
      <c r="F408">
        <v>2.6</v>
      </c>
      <c r="G408">
        <v>2.68</v>
      </c>
      <c r="H408" t="s">
        <v>9</v>
      </c>
    </row>
    <row r="409" spans="1:8" x14ac:dyDescent="0.25">
      <c r="A409">
        <v>408</v>
      </c>
      <c r="B409">
        <v>7.4</v>
      </c>
      <c r="C409">
        <v>3.3</v>
      </c>
      <c r="D409">
        <v>7.3</v>
      </c>
      <c r="E409">
        <v>2.1</v>
      </c>
      <c r="F409">
        <v>3.9</v>
      </c>
      <c r="G409">
        <v>3.34</v>
      </c>
      <c r="H409" t="s">
        <v>8</v>
      </c>
    </row>
    <row r="410" spans="1:8" x14ac:dyDescent="0.25">
      <c r="A410">
        <v>409</v>
      </c>
      <c r="B410">
        <v>7.5</v>
      </c>
      <c r="C410">
        <v>3.3</v>
      </c>
      <c r="D410">
        <v>6.7</v>
      </c>
      <c r="E410">
        <v>1</v>
      </c>
      <c r="F410">
        <v>5.5</v>
      </c>
      <c r="G410">
        <v>3.29</v>
      </c>
      <c r="H410" t="s">
        <v>8</v>
      </c>
    </row>
    <row r="411" spans="1:8" x14ac:dyDescent="0.25">
      <c r="A411">
        <v>410</v>
      </c>
      <c r="B411">
        <v>5.5</v>
      </c>
      <c r="C411">
        <v>1</v>
      </c>
      <c r="D411">
        <v>5.7</v>
      </c>
      <c r="E411">
        <v>2.1</v>
      </c>
      <c r="F411">
        <v>9.6999999999999993</v>
      </c>
      <c r="G411">
        <v>2.93</v>
      </c>
      <c r="H411" t="s">
        <v>10</v>
      </c>
    </row>
    <row r="412" spans="1:8" x14ac:dyDescent="0.25">
      <c r="A412">
        <v>411</v>
      </c>
      <c r="B412">
        <v>7.3</v>
      </c>
      <c r="C412">
        <v>3</v>
      </c>
      <c r="D412">
        <v>8.3000000000000007</v>
      </c>
      <c r="E412">
        <v>3.4</v>
      </c>
      <c r="F412">
        <v>2</v>
      </c>
      <c r="G412">
        <v>3.29</v>
      </c>
      <c r="H412" t="s">
        <v>8</v>
      </c>
    </row>
    <row r="413" spans="1:8" x14ac:dyDescent="0.25">
      <c r="A413">
        <v>412</v>
      </c>
      <c r="B413">
        <v>7.4</v>
      </c>
      <c r="C413">
        <v>3.9</v>
      </c>
      <c r="D413">
        <v>8.1999999999999993</v>
      </c>
      <c r="E413">
        <v>0.6</v>
      </c>
      <c r="F413">
        <v>3.9</v>
      </c>
      <c r="G413">
        <v>3.02</v>
      </c>
      <c r="H413" t="s">
        <v>8</v>
      </c>
    </row>
    <row r="414" spans="1:8" x14ac:dyDescent="0.25">
      <c r="A414">
        <v>413</v>
      </c>
      <c r="B414">
        <v>8.4</v>
      </c>
      <c r="C414">
        <v>1.3</v>
      </c>
      <c r="D414">
        <v>8.4</v>
      </c>
      <c r="E414">
        <v>0.4</v>
      </c>
      <c r="F414">
        <v>5.5</v>
      </c>
      <c r="G414">
        <v>3.32</v>
      </c>
      <c r="H414" t="s">
        <v>10</v>
      </c>
    </row>
    <row r="415" spans="1:8" x14ac:dyDescent="0.25">
      <c r="A415">
        <v>414</v>
      </c>
      <c r="B415">
        <v>6.1</v>
      </c>
      <c r="C415">
        <v>3.3</v>
      </c>
      <c r="D415">
        <v>6.4</v>
      </c>
      <c r="E415">
        <v>3.9</v>
      </c>
      <c r="F415">
        <v>4.3</v>
      </c>
      <c r="G415">
        <v>2.86</v>
      </c>
      <c r="H415" t="s">
        <v>8</v>
      </c>
    </row>
    <row r="416" spans="1:8" x14ac:dyDescent="0.25">
      <c r="A416">
        <v>415</v>
      </c>
      <c r="B416">
        <v>8.5</v>
      </c>
      <c r="C416">
        <v>2.1</v>
      </c>
      <c r="D416">
        <v>6.5</v>
      </c>
      <c r="E416">
        <v>1.3</v>
      </c>
      <c r="F416">
        <v>5.6</v>
      </c>
      <c r="G416">
        <v>3.38</v>
      </c>
      <c r="H416" t="s">
        <v>10</v>
      </c>
    </row>
    <row r="417" spans="1:8" x14ac:dyDescent="0.25">
      <c r="A417">
        <v>416</v>
      </c>
      <c r="B417">
        <v>9.4</v>
      </c>
      <c r="C417">
        <v>3.1</v>
      </c>
      <c r="D417">
        <v>8.9</v>
      </c>
      <c r="E417">
        <v>1.7</v>
      </c>
      <c r="F417">
        <v>0.9</v>
      </c>
      <c r="G417">
        <v>3.45</v>
      </c>
      <c r="H417" t="s">
        <v>10</v>
      </c>
    </row>
    <row r="418" spans="1:8" x14ac:dyDescent="0.25">
      <c r="A418">
        <v>417</v>
      </c>
      <c r="B418">
        <v>6.3</v>
      </c>
      <c r="C418">
        <v>3.6</v>
      </c>
      <c r="D418">
        <v>8.4</v>
      </c>
      <c r="E418">
        <v>3.2</v>
      </c>
      <c r="F418">
        <v>2.5</v>
      </c>
      <c r="G418">
        <v>2.92</v>
      </c>
      <c r="H418" t="s">
        <v>8</v>
      </c>
    </row>
    <row r="419" spans="1:8" x14ac:dyDescent="0.25">
      <c r="A419">
        <v>418</v>
      </c>
      <c r="B419">
        <v>7.3</v>
      </c>
      <c r="C419">
        <v>3.5</v>
      </c>
      <c r="D419">
        <v>7.7</v>
      </c>
      <c r="E419">
        <v>2.1</v>
      </c>
      <c r="F419">
        <v>3.4</v>
      </c>
      <c r="G419">
        <v>2.9</v>
      </c>
      <c r="H419" t="s">
        <v>8</v>
      </c>
    </row>
    <row r="420" spans="1:8" x14ac:dyDescent="0.25">
      <c r="A420">
        <v>419</v>
      </c>
      <c r="B420">
        <v>9.9</v>
      </c>
      <c r="C420">
        <v>0.4</v>
      </c>
      <c r="D420">
        <v>7.1</v>
      </c>
      <c r="E420">
        <v>0.3</v>
      </c>
      <c r="F420">
        <v>6.3</v>
      </c>
      <c r="G420">
        <v>3.55</v>
      </c>
      <c r="H420" t="s">
        <v>10</v>
      </c>
    </row>
    <row r="421" spans="1:8" x14ac:dyDescent="0.25">
      <c r="A421">
        <v>420</v>
      </c>
      <c r="B421">
        <v>6.4</v>
      </c>
      <c r="C421">
        <v>3.4</v>
      </c>
      <c r="D421">
        <v>6.5</v>
      </c>
      <c r="E421">
        <v>5.5</v>
      </c>
      <c r="F421">
        <v>2.2000000000000002</v>
      </c>
      <c r="G421">
        <v>3</v>
      </c>
      <c r="H421" t="s">
        <v>8</v>
      </c>
    </row>
    <row r="422" spans="1:8" x14ac:dyDescent="0.25">
      <c r="A422">
        <v>421</v>
      </c>
      <c r="B422">
        <v>8.8000000000000007</v>
      </c>
      <c r="C422">
        <v>3.2</v>
      </c>
      <c r="D422">
        <v>5.0999999999999996</v>
      </c>
      <c r="E422">
        <v>5.8</v>
      </c>
      <c r="F422">
        <v>1.1000000000000001</v>
      </c>
      <c r="G422">
        <v>3.13</v>
      </c>
      <c r="H422" t="s">
        <v>10</v>
      </c>
    </row>
    <row r="423" spans="1:8" x14ac:dyDescent="0.25">
      <c r="A423">
        <v>422</v>
      </c>
      <c r="B423">
        <v>9.1</v>
      </c>
      <c r="C423">
        <v>1.1000000000000001</v>
      </c>
      <c r="D423">
        <v>9.4</v>
      </c>
      <c r="E423">
        <v>0.5</v>
      </c>
      <c r="F423">
        <v>3.9</v>
      </c>
      <c r="G423">
        <v>3.58</v>
      </c>
      <c r="H423" t="s">
        <v>10</v>
      </c>
    </row>
    <row r="424" spans="1:8" x14ac:dyDescent="0.25">
      <c r="A424">
        <v>423</v>
      </c>
      <c r="B424">
        <v>8.5</v>
      </c>
      <c r="C424">
        <v>2.2000000000000002</v>
      </c>
      <c r="D424">
        <v>5.5</v>
      </c>
      <c r="E424">
        <v>1.5</v>
      </c>
      <c r="F424">
        <v>6.3</v>
      </c>
      <c r="G424">
        <v>3.27</v>
      </c>
      <c r="H424" t="s">
        <v>10</v>
      </c>
    </row>
    <row r="425" spans="1:8" x14ac:dyDescent="0.25">
      <c r="A425">
        <v>424</v>
      </c>
      <c r="B425">
        <v>6.5</v>
      </c>
      <c r="C425">
        <v>2.4</v>
      </c>
      <c r="D425">
        <v>6.5</v>
      </c>
      <c r="E425">
        <v>1.8</v>
      </c>
      <c r="F425">
        <v>6.8</v>
      </c>
      <c r="G425">
        <v>2.91</v>
      </c>
      <c r="H425" t="s">
        <v>8</v>
      </c>
    </row>
    <row r="426" spans="1:8" x14ac:dyDescent="0.25">
      <c r="A426">
        <v>425</v>
      </c>
      <c r="B426">
        <v>8.6999999999999993</v>
      </c>
      <c r="C426">
        <v>0.2</v>
      </c>
      <c r="D426">
        <v>9.5</v>
      </c>
      <c r="E426">
        <v>4.8</v>
      </c>
      <c r="F426">
        <v>0.8</v>
      </c>
      <c r="G426">
        <v>3.5</v>
      </c>
      <c r="H426" t="s">
        <v>10</v>
      </c>
    </row>
    <row r="427" spans="1:8" x14ac:dyDescent="0.25">
      <c r="A427">
        <v>426</v>
      </c>
      <c r="B427">
        <v>9.5</v>
      </c>
      <c r="C427">
        <v>0.7</v>
      </c>
      <c r="D427">
        <v>5.4</v>
      </c>
      <c r="E427">
        <v>1.4</v>
      </c>
      <c r="F427">
        <v>7</v>
      </c>
      <c r="G427">
        <v>3.77</v>
      </c>
      <c r="H427" t="s">
        <v>10</v>
      </c>
    </row>
    <row r="428" spans="1:8" x14ac:dyDescent="0.25">
      <c r="A428">
        <v>427</v>
      </c>
      <c r="B428">
        <v>9</v>
      </c>
      <c r="C428">
        <v>0.1</v>
      </c>
      <c r="D428">
        <v>7.9</v>
      </c>
      <c r="E428">
        <v>6</v>
      </c>
      <c r="F428">
        <v>1</v>
      </c>
      <c r="G428">
        <v>3.36</v>
      </c>
      <c r="H428" t="s">
        <v>10</v>
      </c>
    </row>
    <row r="429" spans="1:8" x14ac:dyDescent="0.25">
      <c r="A429">
        <v>428</v>
      </c>
      <c r="B429">
        <v>5.3</v>
      </c>
      <c r="C429">
        <v>3.3</v>
      </c>
      <c r="D429">
        <v>8</v>
      </c>
      <c r="E429">
        <v>0.7</v>
      </c>
      <c r="F429">
        <v>6.7</v>
      </c>
      <c r="G429">
        <v>3.03</v>
      </c>
      <c r="H429" t="s">
        <v>9</v>
      </c>
    </row>
    <row r="430" spans="1:8" x14ac:dyDescent="0.25">
      <c r="A430">
        <v>429</v>
      </c>
      <c r="B430">
        <v>5.5</v>
      </c>
      <c r="C430">
        <v>3.6</v>
      </c>
      <c r="D430">
        <v>8.3000000000000007</v>
      </c>
      <c r="E430">
        <v>5</v>
      </c>
      <c r="F430">
        <v>1.6</v>
      </c>
      <c r="G430">
        <v>2.86</v>
      </c>
      <c r="H430" t="s">
        <v>9</v>
      </c>
    </row>
    <row r="431" spans="1:8" x14ac:dyDescent="0.25">
      <c r="A431">
        <v>430</v>
      </c>
      <c r="B431">
        <v>7.6</v>
      </c>
      <c r="C431">
        <v>1.7</v>
      </c>
      <c r="D431">
        <v>6.6</v>
      </c>
      <c r="E431">
        <v>2.6</v>
      </c>
      <c r="F431">
        <v>5.5</v>
      </c>
      <c r="G431">
        <v>3.34</v>
      </c>
      <c r="H431" t="s">
        <v>8</v>
      </c>
    </row>
    <row r="432" spans="1:8" x14ac:dyDescent="0.25">
      <c r="A432">
        <v>431</v>
      </c>
      <c r="B432">
        <v>8.9</v>
      </c>
      <c r="C432">
        <v>2.4</v>
      </c>
      <c r="D432">
        <v>9.5</v>
      </c>
      <c r="E432">
        <v>1.4</v>
      </c>
      <c r="F432">
        <v>1.8</v>
      </c>
      <c r="G432">
        <v>3.66</v>
      </c>
      <c r="H432" t="s">
        <v>10</v>
      </c>
    </row>
    <row r="433" spans="1:8" x14ac:dyDescent="0.25">
      <c r="A433">
        <v>432</v>
      </c>
      <c r="B433">
        <v>8</v>
      </c>
      <c r="C433">
        <v>2.8</v>
      </c>
      <c r="D433">
        <v>6.2</v>
      </c>
      <c r="E433">
        <v>3.1</v>
      </c>
      <c r="F433">
        <v>3.9</v>
      </c>
      <c r="G433">
        <v>3.46</v>
      </c>
      <c r="H433" t="s">
        <v>8</v>
      </c>
    </row>
    <row r="434" spans="1:8" x14ac:dyDescent="0.25">
      <c r="A434">
        <v>433</v>
      </c>
      <c r="B434">
        <v>5.5</v>
      </c>
      <c r="C434">
        <v>1.5</v>
      </c>
      <c r="D434">
        <v>7.4</v>
      </c>
      <c r="E434">
        <v>3.9</v>
      </c>
      <c r="F434">
        <v>5.7</v>
      </c>
      <c r="G434">
        <v>2.85</v>
      </c>
      <c r="H434" t="s">
        <v>9</v>
      </c>
    </row>
    <row r="435" spans="1:8" x14ac:dyDescent="0.25">
      <c r="A435">
        <v>434</v>
      </c>
      <c r="B435">
        <v>8.6999999999999993</v>
      </c>
      <c r="C435">
        <v>2</v>
      </c>
      <c r="D435">
        <v>8.1999999999999993</v>
      </c>
      <c r="E435">
        <v>0.4</v>
      </c>
      <c r="F435">
        <v>4.7</v>
      </c>
      <c r="G435">
        <v>3.42</v>
      </c>
      <c r="H435" t="s">
        <v>10</v>
      </c>
    </row>
    <row r="436" spans="1:8" x14ac:dyDescent="0.25">
      <c r="A436">
        <v>435</v>
      </c>
      <c r="B436">
        <v>6.3</v>
      </c>
      <c r="C436">
        <v>1.4</v>
      </c>
      <c r="D436">
        <v>7.4</v>
      </c>
      <c r="E436">
        <v>0.3</v>
      </c>
      <c r="F436">
        <v>8.6</v>
      </c>
      <c r="G436">
        <v>2.86</v>
      </c>
      <c r="H436" t="s">
        <v>8</v>
      </c>
    </row>
    <row r="437" spans="1:8" x14ac:dyDescent="0.25">
      <c r="A437">
        <v>436</v>
      </c>
      <c r="B437">
        <v>9.9</v>
      </c>
      <c r="C437">
        <v>1.3</v>
      </c>
      <c r="D437">
        <v>7.4</v>
      </c>
      <c r="E437">
        <v>1.1000000000000001</v>
      </c>
      <c r="F437">
        <v>4.3</v>
      </c>
      <c r="G437">
        <v>3.35</v>
      </c>
      <c r="H437" t="s">
        <v>10</v>
      </c>
    </row>
    <row r="438" spans="1:8" x14ac:dyDescent="0.25">
      <c r="A438">
        <v>437</v>
      </c>
      <c r="B438">
        <v>8.1</v>
      </c>
      <c r="C438">
        <v>1.1000000000000001</v>
      </c>
      <c r="D438">
        <v>6</v>
      </c>
      <c r="E438">
        <v>3.1</v>
      </c>
      <c r="F438">
        <v>5.7</v>
      </c>
      <c r="G438">
        <v>3.15</v>
      </c>
      <c r="H438" t="s">
        <v>10</v>
      </c>
    </row>
    <row r="439" spans="1:8" x14ac:dyDescent="0.25">
      <c r="A439">
        <v>438</v>
      </c>
      <c r="B439">
        <v>9</v>
      </c>
      <c r="C439">
        <v>2.2999999999999998</v>
      </c>
      <c r="D439">
        <v>7.6</v>
      </c>
      <c r="E439">
        <v>1.5</v>
      </c>
      <c r="F439">
        <v>3.6</v>
      </c>
      <c r="G439">
        <v>3.2</v>
      </c>
      <c r="H439" t="s">
        <v>10</v>
      </c>
    </row>
    <row r="440" spans="1:8" x14ac:dyDescent="0.25">
      <c r="A440">
        <v>439</v>
      </c>
      <c r="B440">
        <v>9.6999999999999993</v>
      </c>
      <c r="C440">
        <v>1.6</v>
      </c>
      <c r="D440">
        <v>5.4</v>
      </c>
      <c r="E440">
        <v>3.7</v>
      </c>
      <c r="F440">
        <v>3.6</v>
      </c>
      <c r="G440">
        <v>3.39</v>
      </c>
      <c r="H440" t="s">
        <v>10</v>
      </c>
    </row>
    <row r="441" spans="1:8" x14ac:dyDescent="0.25">
      <c r="A441">
        <v>440</v>
      </c>
      <c r="B441">
        <v>7.5</v>
      </c>
      <c r="C441">
        <v>3.5</v>
      </c>
      <c r="D441">
        <v>7.5</v>
      </c>
      <c r="E441">
        <v>3.9</v>
      </c>
      <c r="F441">
        <v>1.6</v>
      </c>
      <c r="G441">
        <v>2.97</v>
      </c>
      <c r="H441" t="s">
        <v>8</v>
      </c>
    </row>
    <row r="442" spans="1:8" x14ac:dyDescent="0.25">
      <c r="A442">
        <v>441</v>
      </c>
      <c r="B442">
        <v>10</v>
      </c>
      <c r="C442">
        <v>0.5</v>
      </c>
      <c r="D442">
        <v>6.4</v>
      </c>
      <c r="E442">
        <v>2.4</v>
      </c>
      <c r="F442">
        <v>4.7</v>
      </c>
      <c r="G442">
        <v>3.14</v>
      </c>
      <c r="H442" t="s">
        <v>10</v>
      </c>
    </row>
    <row r="443" spans="1:8" x14ac:dyDescent="0.25">
      <c r="A443">
        <v>442</v>
      </c>
      <c r="B443">
        <v>9.5</v>
      </c>
      <c r="C443">
        <v>2.9</v>
      </c>
      <c r="D443">
        <v>8</v>
      </c>
      <c r="E443">
        <v>1.1000000000000001</v>
      </c>
      <c r="F443">
        <v>2.5</v>
      </c>
      <c r="G443">
        <v>3.11</v>
      </c>
      <c r="H443" t="s">
        <v>10</v>
      </c>
    </row>
    <row r="444" spans="1:8" x14ac:dyDescent="0.25">
      <c r="A444">
        <v>443</v>
      </c>
      <c r="B444">
        <v>9.1</v>
      </c>
      <c r="C444">
        <v>3.8</v>
      </c>
      <c r="D444">
        <v>9.1</v>
      </c>
      <c r="E444">
        <v>0</v>
      </c>
      <c r="F444">
        <v>2</v>
      </c>
      <c r="G444">
        <v>3.27</v>
      </c>
      <c r="H444" t="s">
        <v>10</v>
      </c>
    </row>
    <row r="445" spans="1:8" x14ac:dyDescent="0.25">
      <c r="A445">
        <v>444</v>
      </c>
      <c r="B445">
        <v>6.3</v>
      </c>
      <c r="C445">
        <v>0.2</v>
      </c>
      <c r="D445">
        <v>8</v>
      </c>
      <c r="E445">
        <v>4.0999999999999996</v>
      </c>
      <c r="F445">
        <v>5.4</v>
      </c>
      <c r="G445">
        <v>2.97</v>
      </c>
      <c r="H445" t="s">
        <v>8</v>
      </c>
    </row>
    <row r="446" spans="1:8" x14ac:dyDescent="0.25">
      <c r="A446">
        <v>445</v>
      </c>
      <c r="B446">
        <v>5.6</v>
      </c>
      <c r="C446">
        <v>1.5</v>
      </c>
      <c r="D446">
        <v>7.3</v>
      </c>
      <c r="E446">
        <v>2.2000000000000002</v>
      </c>
      <c r="F446">
        <v>7.4</v>
      </c>
      <c r="G446">
        <v>2.8</v>
      </c>
      <c r="H446" t="s">
        <v>9</v>
      </c>
    </row>
    <row r="447" spans="1:8" x14ac:dyDescent="0.25">
      <c r="A447">
        <v>446</v>
      </c>
      <c r="B447">
        <v>8.8000000000000007</v>
      </c>
      <c r="C447">
        <v>0.3</v>
      </c>
      <c r="D447">
        <v>5.4</v>
      </c>
      <c r="E447">
        <v>2.1</v>
      </c>
      <c r="F447">
        <v>7.4</v>
      </c>
      <c r="G447">
        <v>3.12</v>
      </c>
      <c r="H447" t="s">
        <v>10</v>
      </c>
    </row>
    <row r="448" spans="1:8" x14ac:dyDescent="0.25">
      <c r="A448">
        <v>447</v>
      </c>
      <c r="B448">
        <v>9.6999999999999993</v>
      </c>
      <c r="C448">
        <v>2.7</v>
      </c>
      <c r="D448">
        <v>8.4</v>
      </c>
      <c r="E448">
        <v>1.2</v>
      </c>
      <c r="F448">
        <v>2</v>
      </c>
      <c r="G448">
        <v>3.44</v>
      </c>
      <c r="H448" t="s">
        <v>10</v>
      </c>
    </row>
    <row r="449" spans="1:8" x14ac:dyDescent="0.25">
      <c r="A449">
        <v>448</v>
      </c>
      <c r="B449">
        <v>8.1999999999999993</v>
      </c>
      <c r="C449">
        <v>3.7</v>
      </c>
      <c r="D449">
        <v>8.1</v>
      </c>
      <c r="E449">
        <v>3.5</v>
      </c>
      <c r="F449">
        <v>0.5</v>
      </c>
      <c r="G449">
        <v>3.23</v>
      </c>
      <c r="H449" t="s">
        <v>10</v>
      </c>
    </row>
    <row r="450" spans="1:8" x14ac:dyDescent="0.25">
      <c r="A450">
        <v>449</v>
      </c>
      <c r="B450">
        <v>8.6</v>
      </c>
      <c r="C450">
        <v>0.5</v>
      </c>
      <c r="D450">
        <v>9.5</v>
      </c>
      <c r="E450">
        <v>0.4</v>
      </c>
      <c r="F450">
        <v>5</v>
      </c>
      <c r="G450">
        <v>3.06</v>
      </c>
      <c r="H450" t="s">
        <v>10</v>
      </c>
    </row>
    <row r="451" spans="1:8" x14ac:dyDescent="0.25">
      <c r="A451">
        <v>450</v>
      </c>
      <c r="B451">
        <v>5.0999999999999996</v>
      </c>
      <c r="C451">
        <v>1.7</v>
      </c>
      <c r="D451">
        <v>6.5</v>
      </c>
      <c r="E451">
        <v>2.9</v>
      </c>
      <c r="F451">
        <v>7.8</v>
      </c>
      <c r="G451">
        <v>2.79</v>
      </c>
      <c r="H451" t="s">
        <v>9</v>
      </c>
    </row>
    <row r="452" spans="1:8" x14ac:dyDescent="0.25">
      <c r="A452">
        <v>451</v>
      </c>
      <c r="B452">
        <v>7.9</v>
      </c>
      <c r="C452">
        <v>0.2</v>
      </c>
      <c r="D452">
        <v>5.6</v>
      </c>
      <c r="E452">
        <v>3.4</v>
      </c>
      <c r="F452">
        <v>6.9</v>
      </c>
      <c r="G452">
        <v>3.44</v>
      </c>
      <c r="H452" t="s">
        <v>10</v>
      </c>
    </row>
    <row r="453" spans="1:8" x14ac:dyDescent="0.25">
      <c r="A453">
        <v>452</v>
      </c>
      <c r="B453">
        <v>8.3000000000000007</v>
      </c>
      <c r="C453">
        <v>3.4</v>
      </c>
      <c r="D453">
        <v>8.5</v>
      </c>
      <c r="E453">
        <v>1.6</v>
      </c>
      <c r="F453">
        <v>2.2000000000000002</v>
      </c>
      <c r="G453">
        <v>3.07</v>
      </c>
      <c r="H453" t="s">
        <v>10</v>
      </c>
    </row>
    <row r="454" spans="1:8" x14ac:dyDescent="0.25">
      <c r="A454">
        <v>453</v>
      </c>
      <c r="B454">
        <v>8.4</v>
      </c>
      <c r="C454">
        <v>1.1000000000000001</v>
      </c>
      <c r="D454">
        <v>6.5</v>
      </c>
      <c r="E454">
        <v>4.7</v>
      </c>
      <c r="F454">
        <v>3.3</v>
      </c>
      <c r="G454">
        <v>3.54</v>
      </c>
      <c r="H454" t="s">
        <v>10</v>
      </c>
    </row>
    <row r="455" spans="1:8" x14ac:dyDescent="0.25">
      <c r="A455">
        <v>454</v>
      </c>
      <c r="B455">
        <v>9.1</v>
      </c>
      <c r="C455">
        <v>3.4</v>
      </c>
      <c r="D455">
        <v>9.6</v>
      </c>
      <c r="E455">
        <v>0.8</v>
      </c>
      <c r="F455">
        <v>1.1000000000000001</v>
      </c>
      <c r="G455">
        <v>3.31</v>
      </c>
      <c r="H455" t="s">
        <v>10</v>
      </c>
    </row>
    <row r="456" spans="1:8" x14ac:dyDescent="0.25">
      <c r="A456">
        <v>455</v>
      </c>
      <c r="B456">
        <v>6.6</v>
      </c>
      <c r="C456">
        <v>2.2999999999999998</v>
      </c>
      <c r="D456">
        <v>6.9</v>
      </c>
      <c r="E456">
        <v>3.6</v>
      </c>
      <c r="F456">
        <v>4.5999999999999996</v>
      </c>
      <c r="G456">
        <v>3.2</v>
      </c>
      <c r="H456" t="s">
        <v>8</v>
      </c>
    </row>
    <row r="457" spans="1:8" x14ac:dyDescent="0.25">
      <c r="A457">
        <v>456</v>
      </c>
      <c r="B457">
        <v>6.9</v>
      </c>
      <c r="C457">
        <v>0.7</v>
      </c>
      <c r="D457">
        <v>7.2</v>
      </c>
      <c r="E457">
        <v>0.9</v>
      </c>
      <c r="F457">
        <v>8.3000000000000007</v>
      </c>
      <c r="G457">
        <v>3.26</v>
      </c>
      <c r="H457" t="s">
        <v>8</v>
      </c>
    </row>
    <row r="458" spans="1:8" x14ac:dyDescent="0.25">
      <c r="A458">
        <v>457</v>
      </c>
      <c r="B458">
        <v>9.5</v>
      </c>
      <c r="C458">
        <v>1.4</v>
      </c>
      <c r="D458">
        <v>5.8</v>
      </c>
      <c r="E458">
        <v>0.2</v>
      </c>
      <c r="F458">
        <v>7.1</v>
      </c>
      <c r="G458">
        <v>3.69</v>
      </c>
      <c r="H458" t="s">
        <v>10</v>
      </c>
    </row>
    <row r="459" spans="1:8" x14ac:dyDescent="0.25">
      <c r="A459">
        <v>458</v>
      </c>
      <c r="B459">
        <v>6.7</v>
      </c>
      <c r="C459">
        <v>0.3</v>
      </c>
      <c r="D459">
        <v>7</v>
      </c>
      <c r="E459">
        <v>1.9</v>
      </c>
      <c r="F459">
        <v>8.1</v>
      </c>
      <c r="G459">
        <v>3.28</v>
      </c>
      <c r="H459" t="s">
        <v>8</v>
      </c>
    </row>
    <row r="460" spans="1:8" x14ac:dyDescent="0.25">
      <c r="A460">
        <v>459</v>
      </c>
      <c r="B460">
        <v>8.4</v>
      </c>
      <c r="C460">
        <v>2.4</v>
      </c>
      <c r="D460">
        <v>6.8</v>
      </c>
      <c r="E460">
        <v>1.3</v>
      </c>
      <c r="F460">
        <v>5.0999999999999996</v>
      </c>
      <c r="G460">
        <v>3.25</v>
      </c>
      <c r="H460" t="s">
        <v>10</v>
      </c>
    </row>
    <row r="461" spans="1:8" x14ac:dyDescent="0.25">
      <c r="A461">
        <v>460</v>
      </c>
      <c r="B461">
        <v>8.4</v>
      </c>
      <c r="C461">
        <v>0.6</v>
      </c>
      <c r="D461">
        <v>7.4</v>
      </c>
      <c r="E461">
        <v>0.2</v>
      </c>
      <c r="F461">
        <v>7.4</v>
      </c>
      <c r="G461">
        <v>3.32</v>
      </c>
      <c r="H461" t="s">
        <v>10</v>
      </c>
    </row>
    <row r="462" spans="1:8" x14ac:dyDescent="0.25">
      <c r="A462">
        <v>461</v>
      </c>
      <c r="B462">
        <v>7.5</v>
      </c>
      <c r="C462">
        <v>3.9</v>
      </c>
      <c r="D462">
        <v>6.9</v>
      </c>
      <c r="E462">
        <v>0.2</v>
      </c>
      <c r="F462">
        <v>5.5</v>
      </c>
      <c r="G462">
        <v>3.11</v>
      </c>
      <c r="H462" t="s">
        <v>8</v>
      </c>
    </row>
    <row r="463" spans="1:8" x14ac:dyDescent="0.25">
      <c r="A463">
        <v>462</v>
      </c>
      <c r="B463">
        <v>5.8</v>
      </c>
      <c r="C463">
        <v>0.1</v>
      </c>
      <c r="D463">
        <v>8.8000000000000007</v>
      </c>
      <c r="E463">
        <v>2.8</v>
      </c>
      <c r="F463">
        <v>6.5</v>
      </c>
      <c r="G463">
        <v>2.8</v>
      </c>
      <c r="H463" t="s">
        <v>9</v>
      </c>
    </row>
    <row r="464" spans="1:8" x14ac:dyDescent="0.25">
      <c r="A464">
        <v>463</v>
      </c>
      <c r="B464">
        <v>6.4</v>
      </c>
      <c r="C464">
        <v>3.6</v>
      </c>
      <c r="D464">
        <v>5.6</v>
      </c>
      <c r="E464">
        <v>5.7</v>
      </c>
      <c r="F464">
        <v>2.7</v>
      </c>
      <c r="G464">
        <v>3.1</v>
      </c>
      <c r="H464" t="s">
        <v>10</v>
      </c>
    </row>
    <row r="465" spans="1:8" x14ac:dyDescent="0.25">
      <c r="A465">
        <v>464</v>
      </c>
      <c r="B465">
        <v>8</v>
      </c>
      <c r="C465">
        <v>3.3</v>
      </c>
      <c r="D465">
        <v>9.9</v>
      </c>
      <c r="E465">
        <v>0.8</v>
      </c>
      <c r="F465">
        <v>2</v>
      </c>
      <c r="G465">
        <v>3.13</v>
      </c>
      <c r="H465" t="s">
        <v>8</v>
      </c>
    </row>
    <row r="466" spans="1:8" x14ac:dyDescent="0.25">
      <c r="A466">
        <v>465</v>
      </c>
      <c r="B466">
        <v>9.8000000000000007</v>
      </c>
      <c r="C466">
        <v>1.6</v>
      </c>
      <c r="D466">
        <v>6.9</v>
      </c>
      <c r="E466">
        <v>1.9</v>
      </c>
      <c r="F466">
        <v>3.8</v>
      </c>
      <c r="G466">
        <v>3.23</v>
      </c>
      <c r="H466" t="s">
        <v>10</v>
      </c>
    </row>
    <row r="467" spans="1:8" x14ac:dyDescent="0.25">
      <c r="A467">
        <v>466</v>
      </c>
      <c r="B467">
        <v>7.8</v>
      </c>
      <c r="C467">
        <v>2.2000000000000002</v>
      </c>
      <c r="D467">
        <v>8.8000000000000007</v>
      </c>
      <c r="E467">
        <v>4.3</v>
      </c>
      <c r="F467">
        <v>0.9</v>
      </c>
      <c r="G467">
        <v>3.2</v>
      </c>
      <c r="H467" t="s">
        <v>8</v>
      </c>
    </row>
    <row r="468" spans="1:8" x14ac:dyDescent="0.25">
      <c r="A468">
        <v>467</v>
      </c>
      <c r="B468">
        <v>7.2</v>
      </c>
      <c r="C468">
        <v>1.2</v>
      </c>
      <c r="D468">
        <v>6.3</v>
      </c>
      <c r="E468">
        <v>1.2</v>
      </c>
      <c r="F468">
        <v>8.1</v>
      </c>
      <c r="G468">
        <v>3.05</v>
      </c>
      <c r="H468" t="s">
        <v>8</v>
      </c>
    </row>
    <row r="469" spans="1:8" x14ac:dyDescent="0.25">
      <c r="A469">
        <v>468</v>
      </c>
      <c r="B469">
        <v>6.4</v>
      </c>
      <c r="C469">
        <v>3.9</v>
      </c>
      <c r="D469">
        <v>7.8</v>
      </c>
      <c r="E469">
        <v>2</v>
      </c>
      <c r="F469">
        <v>3.9</v>
      </c>
      <c r="G469">
        <v>2.87</v>
      </c>
      <c r="H469" t="s">
        <v>8</v>
      </c>
    </row>
    <row r="470" spans="1:8" x14ac:dyDescent="0.25">
      <c r="A470">
        <v>469</v>
      </c>
      <c r="B470">
        <v>7.9</v>
      </c>
      <c r="C470">
        <v>0.6</v>
      </c>
      <c r="D470">
        <v>7.2</v>
      </c>
      <c r="E470">
        <v>3.8</v>
      </c>
      <c r="F470">
        <v>4.5</v>
      </c>
      <c r="G470">
        <v>2.68</v>
      </c>
      <c r="H470" t="s">
        <v>8</v>
      </c>
    </row>
    <row r="471" spans="1:8" x14ac:dyDescent="0.25">
      <c r="A471">
        <v>470</v>
      </c>
      <c r="B471">
        <v>10</v>
      </c>
      <c r="C471">
        <v>3.5</v>
      </c>
      <c r="D471">
        <v>8.1</v>
      </c>
      <c r="E471">
        <v>1.4</v>
      </c>
      <c r="F471">
        <v>1</v>
      </c>
      <c r="G471">
        <v>3.44</v>
      </c>
      <c r="H471" t="s">
        <v>10</v>
      </c>
    </row>
    <row r="472" spans="1:8" x14ac:dyDescent="0.25">
      <c r="A472">
        <v>471</v>
      </c>
      <c r="B472">
        <v>8.1</v>
      </c>
      <c r="C472">
        <v>0.8</v>
      </c>
      <c r="D472">
        <v>7</v>
      </c>
      <c r="E472">
        <v>0.2</v>
      </c>
      <c r="F472">
        <v>7.9</v>
      </c>
      <c r="G472">
        <v>3.74</v>
      </c>
      <c r="H472" t="s">
        <v>10</v>
      </c>
    </row>
    <row r="473" spans="1:8" x14ac:dyDescent="0.25">
      <c r="A473">
        <v>472</v>
      </c>
      <c r="B473">
        <v>6.1</v>
      </c>
      <c r="C473">
        <v>3.9</v>
      </c>
      <c r="D473">
        <v>9.5</v>
      </c>
      <c r="E473">
        <v>3.2</v>
      </c>
      <c r="F473">
        <v>1.3</v>
      </c>
      <c r="G473">
        <v>2.61</v>
      </c>
      <c r="H473" t="s">
        <v>8</v>
      </c>
    </row>
    <row r="474" spans="1:8" x14ac:dyDescent="0.25">
      <c r="A474">
        <v>473</v>
      </c>
      <c r="B474">
        <v>7.7</v>
      </c>
      <c r="C474">
        <v>3.5</v>
      </c>
      <c r="D474">
        <v>5.7</v>
      </c>
      <c r="E474">
        <v>4.7</v>
      </c>
      <c r="F474">
        <v>2.4</v>
      </c>
      <c r="G474">
        <v>3.21</v>
      </c>
      <c r="H474" t="s">
        <v>10</v>
      </c>
    </row>
    <row r="475" spans="1:8" x14ac:dyDescent="0.25">
      <c r="A475">
        <v>474</v>
      </c>
      <c r="B475">
        <v>6.4</v>
      </c>
      <c r="C475">
        <v>3.5</v>
      </c>
      <c r="D475">
        <v>9.6999999999999993</v>
      </c>
      <c r="E475">
        <v>0.7</v>
      </c>
      <c r="F475">
        <v>3.7</v>
      </c>
      <c r="G475">
        <v>2.89</v>
      </c>
      <c r="H475" t="s">
        <v>8</v>
      </c>
    </row>
    <row r="476" spans="1:8" x14ac:dyDescent="0.25">
      <c r="A476">
        <v>475</v>
      </c>
      <c r="B476">
        <v>7.3</v>
      </c>
      <c r="C476">
        <v>3.9</v>
      </c>
      <c r="D476">
        <v>7.4</v>
      </c>
      <c r="E476">
        <v>4.7</v>
      </c>
      <c r="F476">
        <v>0.7</v>
      </c>
      <c r="G476">
        <v>2.74</v>
      </c>
      <c r="H476" t="s">
        <v>8</v>
      </c>
    </row>
    <row r="477" spans="1:8" x14ac:dyDescent="0.25">
      <c r="A477">
        <v>476</v>
      </c>
      <c r="B477">
        <v>6.4</v>
      </c>
      <c r="C477">
        <v>0.8</v>
      </c>
      <c r="D477">
        <v>8.8000000000000007</v>
      </c>
      <c r="E477">
        <v>2.2999999999999998</v>
      </c>
      <c r="F477">
        <v>5.7</v>
      </c>
      <c r="G477">
        <v>3.21</v>
      </c>
      <c r="H477" t="s">
        <v>8</v>
      </c>
    </row>
    <row r="478" spans="1:8" x14ac:dyDescent="0.25">
      <c r="A478">
        <v>477</v>
      </c>
      <c r="B478">
        <v>7.6</v>
      </c>
      <c r="C478">
        <v>2</v>
      </c>
      <c r="D478">
        <v>7.9</v>
      </c>
      <c r="E478">
        <v>5.2</v>
      </c>
      <c r="F478">
        <v>1.3</v>
      </c>
      <c r="G478">
        <v>3.13</v>
      </c>
      <c r="H478" t="s">
        <v>8</v>
      </c>
    </row>
    <row r="479" spans="1:8" x14ac:dyDescent="0.25">
      <c r="A479">
        <v>478</v>
      </c>
      <c r="B479">
        <v>9.1</v>
      </c>
      <c r="C479">
        <v>3.1</v>
      </c>
      <c r="D479">
        <v>7.9</v>
      </c>
      <c r="E479">
        <v>3.7</v>
      </c>
      <c r="F479">
        <v>0.2</v>
      </c>
      <c r="G479">
        <v>3.42</v>
      </c>
      <c r="H479" t="s">
        <v>10</v>
      </c>
    </row>
    <row r="480" spans="1:8" x14ac:dyDescent="0.25">
      <c r="A480">
        <v>479</v>
      </c>
      <c r="B480">
        <v>6</v>
      </c>
      <c r="C480">
        <v>0.4</v>
      </c>
      <c r="D480">
        <v>9.3000000000000007</v>
      </c>
      <c r="E480">
        <v>2.6</v>
      </c>
      <c r="F480">
        <v>5.7</v>
      </c>
      <c r="G480">
        <v>3.02</v>
      </c>
      <c r="H480" t="s">
        <v>8</v>
      </c>
    </row>
    <row r="481" spans="1:8" x14ac:dyDescent="0.25">
      <c r="A481">
        <v>480</v>
      </c>
      <c r="B481">
        <v>8.1</v>
      </c>
      <c r="C481">
        <v>3.7</v>
      </c>
      <c r="D481">
        <v>5.0999999999999996</v>
      </c>
      <c r="E481">
        <v>2.9</v>
      </c>
      <c r="F481">
        <v>4.2</v>
      </c>
      <c r="G481">
        <v>2.63</v>
      </c>
      <c r="H481" t="s">
        <v>10</v>
      </c>
    </row>
    <row r="482" spans="1:8" x14ac:dyDescent="0.25">
      <c r="A482">
        <v>481</v>
      </c>
      <c r="B482">
        <v>8.4</v>
      </c>
      <c r="C482">
        <v>2.9</v>
      </c>
      <c r="D482">
        <v>8.5</v>
      </c>
      <c r="E482">
        <v>0.6</v>
      </c>
      <c r="F482">
        <v>3.6</v>
      </c>
      <c r="G482">
        <v>3.07</v>
      </c>
      <c r="H482" t="s">
        <v>10</v>
      </c>
    </row>
    <row r="483" spans="1:8" x14ac:dyDescent="0.25">
      <c r="A483">
        <v>482</v>
      </c>
      <c r="B483">
        <v>9</v>
      </c>
      <c r="C483">
        <v>1.1000000000000001</v>
      </c>
      <c r="D483">
        <v>6.1</v>
      </c>
      <c r="E483">
        <v>5.7</v>
      </c>
      <c r="F483">
        <v>2.1</v>
      </c>
      <c r="G483">
        <v>3.07</v>
      </c>
      <c r="H483" t="s">
        <v>10</v>
      </c>
    </row>
    <row r="484" spans="1:8" x14ac:dyDescent="0.25">
      <c r="A484">
        <v>483</v>
      </c>
      <c r="B484">
        <v>5</v>
      </c>
      <c r="C484">
        <v>4</v>
      </c>
      <c r="D484">
        <v>8.4</v>
      </c>
      <c r="E484">
        <v>5</v>
      </c>
      <c r="F484">
        <v>1.6</v>
      </c>
      <c r="G484">
        <v>2.9</v>
      </c>
      <c r="H484" t="s">
        <v>9</v>
      </c>
    </row>
    <row r="485" spans="1:8" x14ac:dyDescent="0.25">
      <c r="A485">
        <v>484</v>
      </c>
      <c r="B485">
        <v>8.6999999999999993</v>
      </c>
      <c r="C485">
        <v>0.6</v>
      </c>
      <c r="D485">
        <v>8.8000000000000007</v>
      </c>
      <c r="E485">
        <v>4.5</v>
      </c>
      <c r="F485">
        <v>1.4</v>
      </c>
      <c r="G485">
        <v>3.41</v>
      </c>
      <c r="H485" t="s">
        <v>10</v>
      </c>
    </row>
    <row r="486" spans="1:8" x14ac:dyDescent="0.25">
      <c r="A486">
        <v>485</v>
      </c>
      <c r="B486">
        <v>8.3000000000000007</v>
      </c>
      <c r="C486">
        <v>3.1</v>
      </c>
      <c r="D486">
        <v>9.1999999999999993</v>
      </c>
      <c r="E486">
        <v>2.1</v>
      </c>
      <c r="F486">
        <v>1.3</v>
      </c>
      <c r="G486">
        <v>3.24</v>
      </c>
      <c r="H486" t="s">
        <v>10</v>
      </c>
    </row>
    <row r="487" spans="1:8" x14ac:dyDescent="0.25">
      <c r="A487">
        <v>486</v>
      </c>
      <c r="B487">
        <v>5.4</v>
      </c>
      <c r="C487">
        <v>1.6</v>
      </c>
      <c r="D487">
        <v>7</v>
      </c>
      <c r="E487">
        <v>0.4</v>
      </c>
      <c r="F487">
        <v>9.6</v>
      </c>
      <c r="G487">
        <v>2.63</v>
      </c>
      <c r="H487" t="s">
        <v>9</v>
      </c>
    </row>
    <row r="488" spans="1:8" x14ac:dyDescent="0.25">
      <c r="A488">
        <v>487</v>
      </c>
      <c r="B488">
        <v>6.7</v>
      </c>
      <c r="C488">
        <v>0.4</v>
      </c>
      <c r="D488">
        <v>9</v>
      </c>
      <c r="E488">
        <v>5.7</v>
      </c>
      <c r="F488">
        <v>2.2000000000000002</v>
      </c>
      <c r="G488">
        <v>2.63</v>
      </c>
      <c r="H488" t="s">
        <v>8</v>
      </c>
    </row>
    <row r="489" spans="1:8" x14ac:dyDescent="0.25">
      <c r="A489">
        <v>488</v>
      </c>
      <c r="B489">
        <v>5.4</v>
      </c>
      <c r="C489">
        <v>2</v>
      </c>
      <c r="D489">
        <v>9</v>
      </c>
      <c r="E489">
        <v>4.2</v>
      </c>
      <c r="F489">
        <v>3.4</v>
      </c>
      <c r="G489">
        <v>2.85</v>
      </c>
      <c r="H489" t="s">
        <v>9</v>
      </c>
    </row>
    <row r="490" spans="1:8" x14ac:dyDescent="0.25">
      <c r="A490">
        <v>489</v>
      </c>
      <c r="B490">
        <v>5.3</v>
      </c>
      <c r="C490">
        <v>0.3</v>
      </c>
      <c r="D490">
        <v>7</v>
      </c>
      <c r="E490">
        <v>1.8</v>
      </c>
      <c r="F490">
        <v>9.6</v>
      </c>
      <c r="G490">
        <v>2.64</v>
      </c>
      <c r="H490" t="s">
        <v>9</v>
      </c>
    </row>
    <row r="491" spans="1:8" x14ac:dyDescent="0.25">
      <c r="A491">
        <v>490</v>
      </c>
      <c r="B491">
        <v>9</v>
      </c>
      <c r="C491">
        <v>3.7</v>
      </c>
      <c r="D491">
        <v>7</v>
      </c>
      <c r="E491">
        <v>3.9</v>
      </c>
      <c r="F491">
        <v>0.4</v>
      </c>
      <c r="G491">
        <v>3.16</v>
      </c>
      <c r="H491" t="s">
        <v>10</v>
      </c>
    </row>
    <row r="492" spans="1:8" x14ac:dyDescent="0.25">
      <c r="A492">
        <v>491</v>
      </c>
      <c r="B492">
        <v>6.6</v>
      </c>
      <c r="C492">
        <v>1.9</v>
      </c>
      <c r="D492">
        <v>6.1</v>
      </c>
      <c r="E492">
        <v>3.8</v>
      </c>
      <c r="F492">
        <v>5.6</v>
      </c>
      <c r="G492">
        <v>3</v>
      </c>
      <c r="H492" t="s">
        <v>8</v>
      </c>
    </row>
    <row r="493" spans="1:8" x14ac:dyDescent="0.25">
      <c r="A493">
        <v>492</v>
      </c>
      <c r="B493">
        <v>6.8</v>
      </c>
      <c r="C493">
        <v>2.6</v>
      </c>
      <c r="D493">
        <v>5.6</v>
      </c>
      <c r="E493">
        <v>5.3</v>
      </c>
      <c r="F493">
        <v>3.7</v>
      </c>
      <c r="G493">
        <v>3.08</v>
      </c>
      <c r="H493" t="s">
        <v>10</v>
      </c>
    </row>
    <row r="494" spans="1:8" x14ac:dyDescent="0.25">
      <c r="A494">
        <v>493</v>
      </c>
      <c r="B494">
        <v>7.5</v>
      </c>
      <c r="C494">
        <v>1.8</v>
      </c>
      <c r="D494">
        <v>7.9</v>
      </c>
      <c r="E494">
        <v>3.7</v>
      </c>
      <c r="F494">
        <v>3.1</v>
      </c>
      <c r="G494">
        <v>3.17</v>
      </c>
      <c r="H494" t="s">
        <v>8</v>
      </c>
    </row>
    <row r="495" spans="1:8" x14ac:dyDescent="0.25">
      <c r="A495">
        <v>494</v>
      </c>
      <c r="B495">
        <v>6.2</v>
      </c>
      <c r="C495">
        <v>2.9</v>
      </c>
      <c r="D495">
        <v>9.1</v>
      </c>
      <c r="E495">
        <v>4.7</v>
      </c>
      <c r="F495">
        <v>1.1000000000000001</v>
      </c>
      <c r="G495">
        <v>2.83</v>
      </c>
      <c r="H495" t="s">
        <v>8</v>
      </c>
    </row>
    <row r="496" spans="1:8" x14ac:dyDescent="0.25">
      <c r="A496">
        <v>495</v>
      </c>
      <c r="B496">
        <v>7.8</v>
      </c>
      <c r="C496">
        <v>2.1</v>
      </c>
      <c r="D496">
        <v>5.7</v>
      </c>
      <c r="E496">
        <v>4.7</v>
      </c>
      <c r="F496">
        <v>3.7</v>
      </c>
      <c r="G496">
        <v>3.16</v>
      </c>
      <c r="H496" t="s">
        <v>10</v>
      </c>
    </row>
    <row r="497" spans="1:8" x14ac:dyDescent="0.25">
      <c r="A497">
        <v>496</v>
      </c>
      <c r="B497">
        <v>6.4</v>
      </c>
      <c r="C497">
        <v>0.5</v>
      </c>
      <c r="D497">
        <v>8.1</v>
      </c>
      <c r="E497">
        <v>0.3</v>
      </c>
      <c r="F497">
        <v>8.6999999999999993</v>
      </c>
      <c r="G497">
        <v>2.61</v>
      </c>
      <c r="H497" t="s">
        <v>8</v>
      </c>
    </row>
    <row r="498" spans="1:8" x14ac:dyDescent="0.25">
      <c r="A498">
        <v>497</v>
      </c>
      <c r="B498">
        <v>8.6999999999999993</v>
      </c>
      <c r="C498">
        <v>1.3</v>
      </c>
      <c r="D498">
        <v>5</v>
      </c>
      <c r="E498">
        <v>3.1</v>
      </c>
      <c r="F498">
        <v>5.9</v>
      </c>
      <c r="G498">
        <v>3.24</v>
      </c>
      <c r="H498" t="s">
        <v>10</v>
      </c>
    </row>
    <row r="499" spans="1:8" x14ac:dyDescent="0.25">
      <c r="A499">
        <v>498</v>
      </c>
      <c r="B499">
        <v>9.1999999999999993</v>
      </c>
      <c r="C499">
        <v>0</v>
      </c>
      <c r="D499">
        <v>6.2</v>
      </c>
      <c r="E499">
        <v>4.4000000000000004</v>
      </c>
      <c r="F499">
        <v>4.2</v>
      </c>
      <c r="G499">
        <v>3.41</v>
      </c>
      <c r="H499" t="s">
        <v>10</v>
      </c>
    </row>
    <row r="500" spans="1:8" x14ac:dyDescent="0.25">
      <c r="A500">
        <v>499</v>
      </c>
      <c r="B500">
        <v>6.6</v>
      </c>
      <c r="C500">
        <v>0.4</v>
      </c>
      <c r="D500">
        <v>6.8</v>
      </c>
      <c r="E500">
        <v>1.6</v>
      </c>
      <c r="F500">
        <v>8.6</v>
      </c>
      <c r="G500">
        <v>2.89</v>
      </c>
      <c r="H500" t="s">
        <v>8</v>
      </c>
    </row>
    <row r="501" spans="1:8" x14ac:dyDescent="0.25">
      <c r="A501">
        <v>500</v>
      </c>
      <c r="B501">
        <v>8.9</v>
      </c>
      <c r="C501">
        <v>3.6</v>
      </c>
      <c r="D501">
        <v>7.2</v>
      </c>
      <c r="E501">
        <v>3.9</v>
      </c>
      <c r="F501">
        <v>0.4</v>
      </c>
      <c r="G501">
        <v>3.51</v>
      </c>
      <c r="H501" t="s">
        <v>10</v>
      </c>
    </row>
    <row r="502" spans="1:8" x14ac:dyDescent="0.25">
      <c r="A502">
        <v>501</v>
      </c>
      <c r="B502">
        <v>6.9</v>
      </c>
      <c r="C502">
        <v>3.9</v>
      </c>
      <c r="D502">
        <v>5.4</v>
      </c>
      <c r="E502">
        <v>4.0999999999999996</v>
      </c>
      <c r="F502">
        <v>3.7</v>
      </c>
      <c r="G502">
        <v>2.5499999999999998</v>
      </c>
      <c r="H502" t="s">
        <v>10</v>
      </c>
    </row>
    <row r="503" spans="1:8" x14ac:dyDescent="0.25">
      <c r="A503">
        <v>502</v>
      </c>
      <c r="B503">
        <v>8.1999999999999993</v>
      </c>
      <c r="C503">
        <v>2.8</v>
      </c>
      <c r="D503">
        <v>5</v>
      </c>
      <c r="E503">
        <v>1</v>
      </c>
      <c r="F503">
        <v>7</v>
      </c>
      <c r="G503">
        <v>3.2</v>
      </c>
      <c r="H503" t="s">
        <v>10</v>
      </c>
    </row>
    <row r="504" spans="1:8" x14ac:dyDescent="0.25">
      <c r="A504">
        <v>503</v>
      </c>
      <c r="B504">
        <v>8.6</v>
      </c>
      <c r="C504">
        <v>2.7</v>
      </c>
      <c r="D504">
        <v>9.8000000000000007</v>
      </c>
      <c r="E504">
        <v>2.2000000000000002</v>
      </c>
      <c r="F504">
        <v>0.7</v>
      </c>
      <c r="G504">
        <v>3.31</v>
      </c>
      <c r="H504" t="s">
        <v>10</v>
      </c>
    </row>
    <row r="505" spans="1:8" x14ac:dyDescent="0.25">
      <c r="A505">
        <v>504</v>
      </c>
      <c r="B505">
        <v>6.5</v>
      </c>
      <c r="C505">
        <v>0.4</v>
      </c>
      <c r="D505">
        <v>8.9</v>
      </c>
      <c r="E505">
        <v>3.9</v>
      </c>
      <c r="F505">
        <v>4.3</v>
      </c>
      <c r="G505">
        <v>3.01</v>
      </c>
      <c r="H505" t="s">
        <v>8</v>
      </c>
    </row>
    <row r="506" spans="1:8" x14ac:dyDescent="0.25">
      <c r="A506">
        <v>505</v>
      </c>
      <c r="B506">
        <v>5.2</v>
      </c>
      <c r="C506">
        <v>1.4</v>
      </c>
      <c r="D506">
        <v>9.8000000000000007</v>
      </c>
      <c r="E506">
        <v>3</v>
      </c>
      <c r="F506">
        <v>4.5999999999999996</v>
      </c>
      <c r="G506">
        <v>2.4900000000000002</v>
      </c>
      <c r="H506" t="s">
        <v>9</v>
      </c>
    </row>
    <row r="507" spans="1:8" x14ac:dyDescent="0.25">
      <c r="A507">
        <v>506</v>
      </c>
      <c r="B507">
        <v>6</v>
      </c>
      <c r="C507">
        <v>1.5</v>
      </c>
      <c r="D507">
        <v>6.8</v>
      </c>
      <c r="E507">
        <v>0.3</v>
      </c>
      <c r="F507">
        <v>9.4</v>
      </c>
      <c r="G507">
        <v>2.44</v>
      </c>
      <c r="H507" t="s">
        <v>8</v>
      </c>
    </row>
    <row r="508" spans="1:8" x14ac:dyDescent="0.25">
      <c r="A508">
        <v>507</v>
      </c>
      <c r="B508">
        <v>8.8000000000000007</v>
      </c>
      <c r="C508">
        <v>1.7</v>
      </c>
      <c r="D508">
        <v>9.1</v>
      </c>
      <c r="E508">
        <v>3.7</v>
      </c>
      <c r="F508">
        <v>0.7</v>
      </c>
      <c r="G508">
        <v>3.44</v>
      </c>
      <c r="H508" t="s">
        <v>10</v>
      </c>
    </row>
    <row r="509" spans="1:8" x14ac:dyDescent="0.25">
      <c r="A509">
        <v>508</v>
      </c>
      <c r="B509">
        <v>7.4</v>
      </c>
      <c r="C509">
        <v>3.5</v>
      </c>
      <c r="D509">
        <v>6.1</v>
      </c>
      <c r="E509">
        <v>4.0999999999999996</v>
      </c>
      <c r="F509">
        <v>2.9</v>
      </c>
      <c r="G509">
        <v>2.88</v>
      </c>
      <c r="H509" t="s">
        <v>8</v>
      </c>
    </row>
    <row r="510" spans="1:8" x14ac:dyDescent="0.25">
      <c r="A510">
        <v>509</v>
      </c>
      <c r="B510">
        <v>8</v>
      </c>
      <c r="C510">
        <v>1.2</v>
      </c>
      <c r="D510">
        <v>5.7</v>
      </c>
      <c r="E510">
        <v>3.9</v>
      </c>
      <c r="F510">
        <v>5.2</v>
      </c>
      <c r="G510">
        <v>3.03</v>
      </c>
      <c r="H510" t="s">
        <v>10</v>
      </c>
    </row>
    <row r="511" spans="1:8" x14ac:dyDescent="0.25">
      <c r="A511">
        <v>510</v>
      </c>
      <c r="B511">
        <v>8.1999999999999993</v>
      </c>
      <c r="C511">
        <v>1.6</v>
      </c>
      <c r="D511">
        <v>8.6</v>
      </c>
      <c r="E511">
        <v>1.1000000000000001</v>
      </c>
      <c r="F511">
        <v>4.5</v>
      </c>
      <c r="G511">
        <v>3.46</v>
      </c>
      <c r="H511" t="s">
        <v>10</v>
      </c>
    </row>
    <row r="512" spans="1:8" x14ac:dyDescent="0.25">
      <c r="A512">
        <v>511</v>
      </c>
      <c r="B512">
        <v>9.5</v>
      </c>
      <c r="C512">
        <v>1.1000000000000001</v>
      </c>
      <c r="D512">
        <v>6.8</v>
      </c>
      <c r="E512">
        <v>0.3</v>
      </c>
      <c r="F512">
        <v>6.3</v>
      </c>
      <c r="G512">
        <v>3.43</v>
      </c>
      <c r="H512" t="s">
        <v>10</v>
      </c>
    </row>
    <row r="513" spans="1:8" x14ac:dyDescent="0.25">
      <c r="A513">
        <v>512</v>
      </c>
      <c r="B513">
        <v>6.3</v>
      </c>
      <c r="C513">
        <v>3.3</v>
      </c>
      <c r="D513">
        <v>5.0999999999999996</v>
      </c>
      <c r="E513">
        <v>2.2999999999999998</v>
      </c>
      <c r="F513">
        <v>7</v>
      </c>
      <c r="G513">
        <v>2.74</v>
      </c>
      <c r="H513" t="s">
        <v>10</v>
      </c>
    </row>
    <row r="514" spans="1:8" x14ac:dyDescent="0.25">
      <c r="A514">
        <v>513</v>
      </c>
      <c r="B514">
        <v>6.7</v>
      </c>
      <c r="C514">
        <v>0.1</v>
      </c>
      <c r="D514">
        <v>5.6</v>
      </c>
      <c r="E514">
        <v>2.5</v>
      </c>
      <c r="F514">
        <v>9.1</v>
      </c>
      <c r="G514">
        <v>2.4900000000000002</v>
      </c>
      <c r="H514" t="s">
        <v>10</v>
      </c>
    </row>
    <row r="515" spans="1:8" x14ac:dyDescent="0.25">
      <c r="A515">
        <v>514</v>
      </c>
      <c r="B515">
        <v>7.7</v>
      </c>
      <c r="C515">
        <v>2.4</v>
      </c>
      <c r="D515">
        <v>5</v>
      </c>
      <c r="E515">
        <v>2.8</v>
      </c>
      <c r="F515">
        <v>6.1</v>
      </c>
      <c r="G515">
        <v>3.12</v>
      </c>
      <c r="H515" t="s">
        <v>10</v>
      </c>
    </row>
    <row r="516" spans="1:8" x14ac:dyDescent="0.25">
      <c r="A516">
        <v>515</v>
      </c>
      <c r="B516">
        <v>9.8000000000000007</v>
      </c>
      <c r="C516">
        <v>2.1</v>
      </c>
      <c r="D516">
        <v>8.4</v>
      </c>
      <c r="E516">
        <v>1.2</v>
      </c>
      <c r="F516">
        <v>2.5</v>
      </c>
      <c r="G516">
        <v>3.61</v>
      </c>
      <c r="H516" t="s">
        <v>10</v>
      </c>
    </row>
    <row r="517" spans="1:8" x14ac:dyDescent="0.25">
      <c r="A517">
        <v>516</v>
      </c>
      <c r="B517">
        <v>7.6</v>
      </c>
      <c r="C517">
        <v>3.9</v>
      </c>
      <c r="D517">
        <v>5.6</v>
      </c>
      <c r="E517">
        <v>0.1</v>
      </c>
      <c r="F517">
        <v>6.8</v>
      </c>
      <c r="G517">
        <v>3.28</v>
      </c>
      <c r="H517" t="s">
        <v>10</v>
      </c>
    </row>
    <row r="518" spans="1:8" x14ac:dyDescent="0.25">
      <c r="A518">
        <v>517</v>
      </c>
      <c r="B518">
        <v>8.9</v>
      </c>
      <c r="C518">
        <v>3.2</v>
      </c>
      <c r="D518">
        <v>5.6</v>
      </c>
      <c r="E518">
        <v>1.6</v>
      </c>
      <c r="F518">
        <v>4.7</v>
      </c>
      <c r="G518">
        <v>3.36</v>
      </c>
      <c r="H518" t="s">
        <v>10</v>
      </c>
    </row>
    <row r="519" spans="1:8" x14ac:dyDescent="0.25">
      <c r="A519">
        <v>518</v>
      </c>
      <c r="B519">
        <v>6.7</v>
      </c>
      <c r="C519">
        <v>1.5</v>
      </c>
      <c r="D519">
        <v>5</v>
      </c>
      <c r="E519">
        <v>1.8</v>
      </c>
      <c r="F519">
        <v>9</v>
      </c>
      <c r="G519">
        <v>3.31</v>
      </c>
      <c r="H519" t="s">
        <v>10</v>
      </c>
    </row>
    <row r="520" spans="1:8" x14ac:dyDescent="0.25">
      <c r="A520">
        <v>519</v>
      </c>
      <c r="B520">
        <v>8.1999999999999993</v>
      </c>
      <c r="C520">
        <v>3.9</v>
      </c>
      <c r="D520">
        <v>9.1999999999999993</v>
      </c>
      <c r="E520">
        <v>0.1</v>
      </c>
      <c r="F520">
        <v>2.6</v>
      </c>
      <c r="G520">
        <v>3.26</v>
      </c>
      <c r="H520" t="s">
        <v>10</v>
      </c>
    </row>
    <row r="521" spans="1:8" x14ac:dyDescent="0.25">
      <c r="A521">
        <v>520</v>
      </c>
      <c r="B521">
        <v>8.9</v>
      </c>
      <c r="C521">
        <v>1.8</v>
      </c>
      <c r="D521">
        <v>7</v>
      </c>
      <c r="E521">
        <v>1.8</v>
      </c>
      <c r="F521">
        <v>4.5</v>
      </c>
      <c r="G521">
        <v>3.38</v>
      </c>
      <c r="H521" t="s">
        <v>10</v>
      </c>
    </row>
    <row r="522" spans="1:8" x14ac:dyDescent="0.25">
      <c r="A522">
        <v>521</v>
      </c>
      <c r="B522">
        <v>5.3</v>
      </c>
      <c r="C522">
        <v>0.9</v>
      </c>
      <c r="D522">
        <v>6.2</v>
      </c>
      <c r="E522">
        <v>2.9</v>
      </c>
      <c r="F522">
        <v>8.6999999999999993</v>
      </c>
      <c r="G522">
        <v>2.76</v>
      </c>
      <c r="H522" t="s">
        <v>9</v>
      </c>
    </row>
    <row r="523" spans="1:8" x14ac:dyDescent="0.25">
      <c r="A523">
        <v>522</v>
      </c>
      <c r="B523">
        <v>5.3</v>
      </c>
      <c r="C523">
        <v>3.8</v>
      </c>
      <c r="D523">
        <v>9.6999999999999993</v>
      </c>
      <c r="E523">
        <v>4.0999999999999996</v>
      </c>
      <c r="F523">
        <v>1.1000000000000001</v>
      </c>
      <c r="G523">
        <v>3.13</v>
      </c>
      <c r="H523" t="s">
        <v>9</v>
      </c>
    </row>
    <row r="524" spans="1:8" x14ac:dyDescent="0.25">
      <c r="A524">
        <v>523</v>
      </c>
      <c r="B524">
        <v>10</v>
      </c>
      <c r="C524">
        <v>2.2000000000000002</v>
      </c>
      <c r="D524">
        <v>9.8000000000000007</v>
      </c>
      <c r="E524">
        <v>0.2</v>
      </c>
      <c r="F524">
        <v>1.8</v>
      </c>
      <c r="G524">
        <v>3.25</v>
      </c>
      <c r="H524" t="s">
        <v>10</v>
      </c>
    </row>
    <row r="525" spans="1:8" x14ac:dyDescent="0.25">
      <c r="A525">
        <v>524</v>
      </c>
      <c r="B525">
        <v>6</v>
      </c>
      <c r="C525">
        <v>0.6</v>
      </c>
      <c r="D525">
        <v>8.1</v>
      </c>
      <c r="E525">
        <v>4.7</v>
      </c>
      <c r="F525">
        <v>4.5999999999999996</v>
      </c>
      <c r="G525">
        <v>2.78</v>
      </c>
      <c r="H525" t="s">
        <v>8</v>
      </c>
    </row>
    <row r="526" spans="1:8" x14ac:dyDescent="0.25">
      <c r="A526">
        <v>525</v>
      </c>
      <c r="B526">
        <v>7.9</v>
      </c>
      <c r="C526">
        <v>0.6</v>
      </c>
      <c r="D526">
        <v>9.1</v>
      </c>
      <c r="E526">
        <v>3.8</v>
      </c>
      <c r="F526">
        <v>2.6</v>
      </c>
      <c r="G526">
        <v>3.5</v>
      </c>
      <c r="H526" t="s">
        <v>8</v>
      </c>
    </row>
    <row r="527" spans="1:8" x14ac:dyDescent="0.25">
      <c r="A527">
        <v>526</v>
      </c>
      <c r="B527">
        <v>6.3</v>
      </c>
      <c r="C527">
        <v>1.4</v>
      </c>
      <c r="D527">
        <v>9.6</v>
      </c>
      <c r="E527">
        <v>1.7</v>
      </c>
      <c r="F527">
        <v>5</v>
      </c>
      <c r="G527">
        <v>2.74</v>
      </c>
      <c r="H527" t="s">
        <v>8</v>
      </c>
    </row>
    <row r="528" spans="1:8" x14ac:dyDescent="0.25">
      <c r="A528">
        <v>527</v>
      </c>
      <c r="B528">
        <v>7.3</v>
      </c>
      <c r="C528">
        <v>3.6</v>
      </c>
      <c r="D528">
        <v>8.5</v>
      </c>
      <c r="E528">
        <v>0.3</v>
      </c>
      <c r="F528">
        <v>4.3</v>
      </c>
      <c r="G528">
        <v>2.93</v>
      </c>
      <c r="H528" t="s">
        <v>8</v>
      </c>
    </row>
    <row r="529" spans="1:8" x14ac:dyDescent="0.25">
      <c r="A529">
        <v>528</v>
      </c>
      <c r="B529">
        <v>5.7</v>
      </c>
      <c r="C529">
        <v>3.8</v>
      </c>
      <c r="D529">
        <v>7.6</v>
      </c>
      <c r="E529">
        <v>1.5</v>
      </c>
      <c r="F529">
        <v>5.4</v>
      </c>
      <c r="G529">
        <v>3.27</v>
      </c>
      <c r="H529" t="s">
        <v>9</v>
      </c>
    </row>
    <row r="530" spans="1:8" x14ac:dyDescent="0.25">
      <c r="A530">
        <v>529</v>
      </c>
      <c r="B530">
        <v>7.5</v>
      </c>
      <c r="C530">
        <v>2.7</v>
      </c>
      <c r="D530">
        <v>5.4</v>
      </c>
      <c r="E530">
        <v>1.6</v>
      </c>
      <c r="F530">
        <v>6.8</v>
      </c>
      <c r="G530">
        <v>3.09</v>
      </c>
      <c r="H530" t="s">
        <v>10</v>
      </c>
    </row>
    <row r="531" spans="1:8" x14ac:dyDescent="0.25">
      <c r="A531">
        <v>530</v>
      </c>
      <c r="B531">
        <v>7.7</v>
      </c>
      <c r="C531">
        <v>1.7</v>
      </c>
      <c r="D531">
        <v>5.2</v>
      </c>
      <c r="E531">
        <v>1</v>
      </c>
      <c r="F531">
        <v>8.4</v>
      </c>
      <c r="G531">
        <v>3.43</v>
      </c>
      <c r="H531" t="s">
        <v>10</v>
      </c>
    </row>
    <row r="532" spans="1:8" x14ac:dyDescent="0.25">
      <c r="A532">
        <v>531</v>
      </c>
      <c r="B532">
        <v>7.2</v>
      </c>
      <c r="C532">
        <v>0.8</v>
      </c>
      <c r="D532">
        <v>5.2</v>
      </c>
      <c r="E532">
        <v>5.0999999999999996</v>
      </c>
      <c r="F532">
        <v>5.7</v>
      </c>
      <c r="G532">
        <v>2.99</v>
      </c>
      <c r="H532" t="s">
        <v>10</v>
      </c>
    </row>
    <row r="533" spans="1:8" x14ac:dyDescent="0.25">
      <c r="A533">
        <v>532</v>
      </c>
      <c r="B533">
        <v>9.8000000000000007</v>
      </c>
      <c r="C533">
        <v>0.8</v>
      </c>
      <c r="D533">
        <v>9.8000000000000007</v>
      </c>
      <c r="E533">
        <v>3.6</v>
      </c>
      <c r="F533">
        <v>0</v>
      </c>
      <c r="G533">
        <v>3.59</v>
      </c>
      <c r="H533" t="s">
        <v>10</v>
      </c>
    </row>
    <row r="534" spans="1:8" x14ac:dyDescent="0.25">
      <c r="A534">
        <v>533</v>
      </c>
      <c r="B534">
        <v>8.6</v>
      </c>
      <c r="C534">
        <v>3.9</v>
      </c>
      <c r="D534">
        <v>7.8</v>
      </c>
      <c r="E534">
        <v>1</v>
      </c>
      <c r="F534">
        <v>2.7</v>
      </c>
      <c r="G534">
        <v>3.69</v>
      </c>
      <c r="H534" t="s">
        <v>10</v>
      </c>
    </row>
    <row r="535" spans="1:8" x14ac:dyDescent="0.25">
      <c r="A535">
        <v>534</v>
      </c>
      <c r="B535">
        <v>5.4</v>
      </c>
      <c r="C535">
        <v>2.5</v>
      </c>
      <c r="D535">
        <v>9.9</v>
      </c>
      <c r="E535">
        <v>1.1000000000000001</v>
      </c>
      <c r="F535">
        <v>5.0999999999999996</v>
      </c>
      <c r="G535">
        <v>2.54</v>
      </c>
      <c r="H535" t="s">
        <v>9</v>
      </c>
    </row>
    <row r="536" spans="1:8" x14ac:dyDescent="0.25">
      <c r="A536">
        <v>535</v>
      </c>
      <c r="B536">
        <v>9</v>
      </c>
      <c r="C536">
        <v>3.6</v>
      </c>
      <c r="D536">
        <v>9.6999999999999993</v>
      </c>
      <c r="E536">
        <v>1.6</v>
      </c>
      <c r="F536">
        <v>0.1</v>
      </c>
      <c r="G536">
        <v>3.44</v>
      </c>
      <c r="H536" t="s">
        <v>10</v>
      </c>
    </row>
    <row r="537" spans="1:8" x14ac:dyDescent="0.25">
      <c r="A537">
        <v>536</v>
      </c>
      <c r="B537">
        <v>8.8000000000000007</v>
      </c>
      <c r="C537">
        <v>0.6</v>
      </c>
      <c r="D537">
        <v>7.4</v>
      </c>
      <c r="E537">
        <v>4.3</v>
      </c>
      <c r="F537">
        <v>2.9</v>
      </c>
      <c r="G537">
        <v>3.32</v>
      </c>
      <c r="H537" t="s">
        <v>10</v>
      </c>
    </row>
    <row r="538" spans="1:8" x14ac:dyDescent="0.25">
      <c r="A538">
        <v>537</v>
      </c>
      <c r="B538">
        <v>6.2</v>
      </c>
      <c r="C538">
        <v>2.6</v>
      </c>
      <c r="D538">
        <v>8.3000000000000007</v>
      </c>
      <c r="E538">
        <v>1</v>
      </c>
      <c r="F538">
        <v>5.9</v>
      </c>
      <c r="G538">
        <v>3.23</v>
      </c>
      <c r="H538" t="s">
        <v>8</v>
      </c>
    </row>
    <row r="539" spans="1:8" x14ac:dyDescent="0.25">
      <c r="A539">
        <v>538</v>
      </c>
      <c r="B539">
        <v>7.5</v>
      </c>
      <c r="C539">
        <v>0</v>
      </c>
      <c r="D539">
        <v>5</v>
      </c>
      <c r="E539">
        <v>2.1</v>
      </c>
      <c r="F539">
        <v>9.4</v>
      </c>
      <c r="G539">
        <v>3.2</v>
      </c>
      <c r="H539" t="s">
        <v>10</v>
      </c>
    </row>
    <row r="540" spans="1:8" x14ac:dyDescent="0.25">
      <c r="A540">
        <v>539</v>
      </c>
      <c r="B540">
        <v>9.6</v>
      </c>
      <c r="C540">
        <v>0.9</v>
      </c>
      <c r="D540">
        <v>8.1999999999999993</v>
      </c>
      <c r="E540">
        <v>1.2</v>
      </c>
      <c r="F540">
        <v>4.0999999999999996</v>
      </c>
      <c r="G540">
        <v>3.62</v>
      </c>
      <c r="H540" t="s">
        <v>10</v>
      </c>
    </row>
    <row r="541" spans="1:8" x14ac:dyDescent="0.25">
      <c r="A541">
        <v>540</v>
      </c>
      <c r="B541">
        <v>8.6</v>
      </c>
      <c r="C541">
        <v>0.4</v>
      </c>
      <c r="D541">
        <v>7.1</v>
      </c>
      <c r="E541">
        <v>0.2</v>
      </c>
      <c r="F541">
        <v>7.7</v>
      </c>
      <c r="G541">
        <v>3.2</v>
      </c>
      <c r="H541" t="s">
        <v>10</v>
      </c>
    </row>
    <row r="542" spans="1:8" x14ac:dyDescent="0.25">
      <c r="A542">
        <v>541</v>
      </c>
      <c r="B542">
        <v>7.4</v>
      </c>
      <c r="C542">
        <v>2.6</v>
      </c>
      <c r="D542">
        <v>5.6</v>
      </c>
      <c r="E542">
        <v>1.7</v>
      </c>
      <c r="F542">
        <v>6.7</v>
      </c>
      <c r="G542">
        <v>3.26</v>
      </c>
      <c r="H542" t="s">
        <v>10</v>
      </c>
    </row>
    <row r="543" spans="1:8" x14ac:dyDescent="0.25">
      <c r="A543">
        <v>542</v>
      </c>
      <c r="B543">
        <v>10</v>
      </c>
      <c r="C543">
        <v>0.2</v>
      </c>
      <c r="D543">
        <v>8.8000000000000007</v>
      </c>
      <c r="E543">
        <v>1.9</v>
      </c>
      <c r="F543">
        <v>3.1</v>
      </c>
      <c r="G543">
        <v>3.46</v>
      </c>
      <c r="H543" t="s">
        <v>10</v>
      </c>
    </row>
    <row r="544" spans="1:8" x14ac:dyDescent="0.25">
      <c r="A544">
        <v>543</v>
      </c>
      <c r="B544">
        <v>7</v>
      </c>
      <c r="C544">
        <v>3</v>
      </c>
      <c r="D544">
        <v>9.6</v>
      </c>
      <c r="E544">
        <v>4.2</v>
      </c>
      <c r="F544">
        <v>0.2</v>
      </c>
      <c r="G544">
        <v>2.68</v>
      </c>
      <c r="H544" t="s">
        <v>8</v>
      </c>
    </row>
    <row r="545" spans="1:8" x14ac:dyDescent="0.25">
      <c r="A545">
        <v>544</v>
      </c>
      <c r="B545">
        <v>8.9</v>
      </c>
      <c r="C545">
        <v>1</v>
      </c>
      <c r="D545">
        <v>7.8</v>
      </c>
      <c r="E545">
        <v>2.2000000000000002</v>
      </c>
      <c r="F545">
        <v>4.0999999999999996</v>
      </c>
      <c r="G545">
        <v>3.54</v>
      </c>
      <c r="H545" t="s">
        <v>10</v>
      </c>
    </row>
    <row r="546" spans="1:8" x14ac:dyDescent="0.25">
      <c r="A546">
        <v>545</v>
      </c>
      <c r="B546">
        <v>8.3000000000000007</v>
      </c>
      <c r="C546">
        <v>1</v>
      </c>
      <c r="D546">
        <v>6</v>
      </c>
      <c r="E546">
        <v>5.5</v>
      </c>
      <c r="F546">
        <v>3.2</v>
      </c>
      <c r="G546">
        <v>3.25</v>
      </c>
      <c r="H546" t="s">
        <v>10</v>
      </c>
    </row>
    <row r="547" spans="1:8" x14ac:dyDescent="0.25">
      <c r="A547">
        <v>546</v>
      </c>
      <c r="B547">
        <v>6.1</v>
      </c>
      <c r="C547">
        <v>0.2</v>
      </c>
      <c r="D547">
        <v>5.2</v>
      </c>
      <c r="E547">
        <v>1.1000000000000001</v>
      </c>
      <c r="F547">
        <v>11.4</v>
      </c>
      <c r="G547">
        <v>2.72</v>
      </c>
      <c r="H547" t="s">
        <v>10</v>
      </c>
    </row>
    <row r="548" spans="1:8" x14ac:dyDescent="0.25">
      <c r="A548">
        <v>547</v>
      </c>
      <c r="B548">
        <v>9.3000000000000007</v>
      </c>
      <c r="C548">
        <v>1.1000000000000001</v>
      </c>
      <c r="D548">
        <v>9.8000000000000007</v>
      </c>
      <c r="E548">
        <v>2.2000000000000002</v>
      </c>
      <c r="F548">
        <v>1.6</v>
      </c>
      <c r="G548">
        <v>3.79</v>
      </c>
      <c r="H548" t="s">
        <v>10</v>
      </c>
    </row>
    <row r="549" spans="1:8" x14ac:dyDescent="0.25">
      <c r="A549">
        <v>548</v>
      </c>
      <c r="B549">
        <v>7.6</v>
      </c>
      <c r="C549">
        <v>3</v>
      </c>
      <c r="D549">
        <v>6.4</v>
      </c>
      <c r="E549">
        <v>2.1</v>
      </c>
      <c r="F549">
        <v>4.9000000000000004</v>
      </c>
      <c r="G549">
        <v>2.83</v>
      </c>
      <c r="H549" t="s">
        <v>8</v>
      </c>
    </row>
    <row r="550" spans="1:8" x14ac:dyDescent="0.25">
      <c r="A550">
        <v>549</v>
      </c>
      <c r="B550">
        <v>9.5</v>
      </c>
      <c r="C550">
        <v>3.8</v>
      </c>
      <c r="D550">
        <v>9.5</v>
      </c>
      <c r="E550">
        <v>0.5</v>
      </c>
      <c r="F550">
        <v>0.7</v>
      </c>
      <c r="G550">
        <v>3.4</v>
      </c>
      <c r="H550" t="s">
        <v>10</v>
      </c>
    </row>
    <row r="551" spans="1:8" x14ac:dyDescent="0.25">
      <c r="A551">
        <v>550</v>
      </c>
      <c r="B551">
        <v>7.5</v>
      </c>
      <c r="C551">
        <v>0.8</v>
      </c>
      <c r="D551">
        <v>8</v>
      </c>
      <c r="E551">
        <v>1.1000000000000001</v>
      </c>
      <c r="F551">
        <v>6.6</v>
      </c>
      <c r="G551">
        <v>3.43</v>
      </c>
      <c r="H551" t="s">
        <v>8</v>
      </c>
    </row>
    <row r="552" spans="1:8" x14ac:dyDescent="0.25">
      <c r="A552">
        <v>551</v>
      </c>
      <c r="B552">
        <v>6.7</v>
      </c>
      <c r="C552">
        <v>3.4</v>
      </c>
      <c r="D552">
        <v>6</v>
      </c>
      <c r="E552">
        <v>0.4</v>
      </c>
      <c r="F552">
        <v>7.5</v>
      </c>
      <c r="G552">
        <v>2.48</v>
      </c>
      <c r="H552" t="s">
        <v>8</v>
      </c>
    </row>
    <row r="553" spans="1:8" x14ac:dyDescent="0.25">
      <c r="A553">
        <v>552</v>
      </c>
      <c r="B553">
        <v>9.1</v>
      </c>
      <c r="C553">
        <v>3.3</v>
      </c>
      <c r="D553">
        <v>6.7</v>
      </c>
      <c r="E553">
        <v>3.4</v>
      </c>
      <c r="F553">
        <v>1.5</v>
      </c>
      <c r="G553">
        <v>3.4</v>
      </c>
      <c r="H553" t="s">
        <v>10</v>
      </c>
    </row>
    <row r="554" spans="1:8" x14ac:dyDescent="0.25">
      <c r="A554">
        <v>553</v>
      </c>
      <c r="B554">
        <v>8.9</v>
      </c>
      <c r="C554">
        <v>2.6</v>
      </c>
      <c r="D554">
        <v>5.8</v>
      </c>
      <c r="E554">
        <v>5.3</v>
      </c>
      <c r="F554">
        <v>1.4</v>
      </c>
      <c r="G554">
        <v>2.98</v>
      </c>
      <c r="H554" t="s">
        <v>10</v>
      </c>
    </row>
    <row r="555" spans="1:8" x14ac:dyDescent="0.25">
      <c r="A555">
        <v>554</v>
      </c>
      <c r="B555">
        <v>7.1</v>
      </c>
      <c r="C555">
        <v>0.2</v>
      </c>
      <c r="D555">
        <v>5.6</v>
      </c>
      <c r="E555">
        <v>4.5999999999999996</v>
      </c>
      <c r="F555">
        <v>6.5</v>
      </c>
      <c r="G555">
        <v>3.13</v>
      </c>
      <c r="H555" t="s">
        <v>10</v>
      </c>
    </row>
    <row r="556" spans="1:8" x14ac:dyDescent="0.25">
      <c r="A556">
        <v>555</v>
      </c>
      <c r="B556">
        <v>5</v>
      </c>
      <c r="C556">
        <v>1.7</v>
      </c>
      <c r="D556">
        <v>7.6</v>
      </c>
      <c r="E556">
        <v>0.3</v>
      </c>
      <c r="F556">
        <v>9.4</v>
      </c>
      <c r="G556">
        <v>2.5299999999999998</v>
      </c>
      <c r="H556" t="s">
        <v>9</v>
      </c>
    </row>
    <row r="557" spans="1:8" x14ac:dyDescent="0.25">
      <c r="A557">
        <v>556</v>
      </c>
      <c r="B557">
        <v>6.2</v>
      </c>
      <c r="C557">
        <v>0</v>
      </c>
      <c r="D557">
        <v>8.6</v>
      </c>
      <c r="E557">
        <v>5.8</v>
      </c>
      <c r="F557">
        <v>3.4</v>
      </c>
      <c r="G557">
        <v>2.71</v>
      </c>
      <c r="H557" t="s">
        <v>8</v>
      </c>
    </row>
    <row r="558" spans="1:8" x14ac:dyDescent="0.25">
      <c r="A558">
        <v>557</v>
      </c>
      <c r="B558">
        <v>6.1</v>
      </c>
      <c r="C558">
        <v>2.7</v>
      </c>
      <c r="D558">
        <v>8.6999999999999993</v>
      </c>
      <c r="E558">
        <v>5.0999999999999996</v>
      </c>
      <c r="F558">
        <v>1.4</v>
      </c>
      <c r="G558">
        <v>2.57</v>
      </c>
      <c r="H558" t="s">
        <v>8</v>
      </c>
    </row>
    <row r="559" spans="1:8" x14ac:dyDescent="0.25">
      <c r="A559">
        <v>558</v>
      </c>
      <c r="B559">
        <v>6.6</v>
      </c>
      <c r="C559">
        <v>2.9</v>
      </c>
      <c r="D559">
        <v>9.1</v>
      </c>
      <c r="E559">
        <v>1</v>
      </c>
      <c r="F559">
        <v>4.4000000000000004</v>
      </c>
      <c r="G559">
        <v>2.85</v>
      </c>
      <c r="H559" t="s">
        <v>8</v>
      </c>
    </row>
    <row r="560" spans="1:8" x14ac:dyDescent="0.25">
      <c r="A560">
        <v>559</v>
      </c>
      <c r="B560">
        <v>6.9</v>
      </c>
      <c r="C560">
        <v>3.6</v>
      </c>
      <c r="D560">
        <v>9</v>
      </c>
      <c r="E560">
        <v>4.4000000000000004</v>
      </c>
      <c r="F560">
        <v>0.1</v>
      </c>
      <c r="G560">
        <v>2.92</v>
      </c>
      <c r="H560" t="s">
        <v>8</v>
      </c>
    </row>
    <row r="561" spans="1:8" x14ac:dyDescent="0.25">
      <c r="A561">
        <v>560</v>
      </c>
      <c r="B561">
        <v>8</v>
      </c>
      <c r="C561">
        <v>2.6</v>
      </c>
      <c r="D561">
        <v>5.4</v>
      </c>
      <c r="E561">
        <v>3.3</v>
      </c>
      <c r="F561">
        <v>4.7</v>
      </c>
      <c r="G561">
        <v>3.48</v>
      </c>
      <c r="H561" t="s">
        <v>10</v>
      </c>
    </row>
    <row r="562" spans="1:8" x14ac:dyDescent="0.25">
      <c r="A562">
        <v>561</v>
      </c>
      <c r="B562">
        <v>8.5</v>
      </c>
      <c r="C562">
        <v>0.7</v>
      </c>
      <c r="D562">
        <v>8.9</v>
      </c>
      <c r="E562">
        <v>3.4</v>
      </c>
      <c r="F562">
        <v>2.5</v>
      </c>
      <c r="G562">
        <v>3.41</v>
      </c>
      <c r="H562" t="s">
        <v>10</v>
      </c>
    </row>
    <row r="563" spans="1:8" x14ac:dyDescent="0.25">
      <c r="A563">
        <v>562</v>
      </c>
      <c r="B563">
        <v>6.5</v>
      </c>
      <c r="C563">
        <v>2.9</v>
      </c>
      <c r="D563">
        <v>8.8000000000000007</v>
      </c>
      <c r="E563">
        <v>0.6</v>
      </c>
      <c r="F563">
        <v>5.2</v>
      </c>
      <c r="G563">
        <v>2.67</v>
      </c>
      <c r="H563" t="s">
        <v>8</v>
      </c>
    </row>
    <row r="564" spans="1:8" x14ac:dyDescent="0.25">
      <c r="A564">
        <v>563</v>
      </c>
      <c r="B564">
        <v>7.6</v>
      </c>
      <c r="C564">
        <v>2</v>
      </c>
      <c r="D564">
        <v>6.8</v>
      </c>
      <c r="E564">
        <v>5.6</v>
      </c>
      <c r="F564">
        <v>2</v>
      </c>
      <c r="G564">
        <v>3.25</v>
      </c>
      <c r="H564" t="s">
        <v>8</v>
      </c>
    </row>
    <row r="565" spans="1:8" x14ac:dyDescent="0.25">
      <c r="A565">
        <v>564</v>
      </c>
      <c r="B565">
        <v>8.6</v>
      </c>
      <c r="C565">
        <v>1.8</v>
      </c>
      <c r="D565">
        <v>9.6</v>
      </c>
      <c r="E565">
        <v>2.8</v>
      </c>
      <c r="F565">
        <v>1.2</v>
      </c>
      <c r="G565">
        <v>3.47</v>
      </c>
      <c r="H565" t="s">
        <v>10</v>
      </c>
    </row>
    <row r="566" spans="1:8" x14ac:dyDescent="0.25">
      <c r="A566">
        <v>565</v>
      </c>
      <c r="B566">
        <v>8.6</v>
      </c>
      <c r="C566">
        <v>3.4</v>
      </c>
      <c r="D566">
        <v>6.4</v>
      </c>
      <c r="E566">
        <v>4.5</v>
      </c>
      <c r="F566">
        <v>1.1000000000000001</v>
      </c>
      <c r="G566">
        <v>3.18</v>
      </c>
      <c r="H566" t="s">
        <v>10</v>
      </c>
    </row>
    <row r="567" spans="1:8" x14ac:dyDescent="0.25">
      <c r="A567">
        <v>566</v>
      </c>
      <c r="B567">
        <v>6.7</v>
      </c>
      <c r="C567">
        <v>3.9</v>
      </c>
      <c r="D567">
        <v>9.3000000000000007</v>
      </c>
      <c r="E567">
        <v>2.9</v>
      </c>
      <c r="F567">
        <v>1.2</v>
      </c>
      <c r="G567">
        <v>2.78</v>
      </c>
      <c r="H567" t="s">
        <v>8</v>
      </c>
    </row>
    <row r="568" spans="1:8" x14ac:dyDescent="0.25">
      <c r="A568">
        <v>567</v>
      </c>
      <c r="B568">
        <v>8.6</v>
      </c>
      <c r="C568">
        <v>2.2000000000000002</v>
      </c>
      <c r="D568">
        <v>9.6999999999999993</v>
      </c>
      <c r="E568">
        <v>1.7</v>
      </c>
      <c r="F568">
        <v>1.8</v>
      </c>
      <c r="G568">
        <v>3.07</v>
      </c>
      <c r="H568" t="s">
        <v>10</v>
      </c>
    </row>
    <row r="569" spans="1:8" x14ac:dyDescent="0.25">
      <c r="A569">
        <v>568</v>
      </c>
      <c r="B569">
        <v>8.9</v>
      </c>
      <c r="C569">
        <v>2.9</v>
      </c>
      <c r="D569">
        <v>6.9</v>
      </c>
      <c r="E569">
        <v>0.1</v>
      </c>
      <c r="F569">
        <v>5.2</v>
      </c>
      <c r="G569">
        <v>3.26</v>
      </c>
      <c r="H569" t="s">
        <v>10</v>
      </c>
    </row>
    <row r="570" spans="1:8" x14ac:dyDescent="0.25">
      <c r="A570">
        <v>569</v>
      </c>
      <c r="B570">
        <v>9.1999999999999993</v>
      </c>
      <c r="C570">
        <v>0</v>
      </c>
      <c r="D570">
        <v>8.5</v>
      </c>
      <c r="E570">
        <v>5.8</v>
      </c>
      <c r="F570">
        <v>0.5</v>
      </c>
      <c r="G570">
        <v>3.08</v>
      </c>
      <c r="H570" t="s">
        <v>10</v>
      </c>
    </row>
    <row r="571" spans="1:8" x14ac:dyDescent="0.25">
      <c r="A571">
        <v>570</v>
      </c>
      <c r="B571">
        <v>8.5</v>
      </c>
      <c r="C571">
        <v>3.3</v>
      </c>
      <c r="D571">
        <v>7.7</v>
      </c>
      <c r="E571">
        <v>4.4000000000000004</v>
      </c>
      <c r="F571">
        <v>0.1</v>
      </c>
      <c r="G571">
        <v>3.2</v>
      </c>
      <c r="H571" t="s">
        <v>10</v>
      </c>
    </row>
    <row r="572" spans="1:8" x14ac:dyDescent="0.25">
      <c r="A572">
        <v>571</v>
      </c>
      <c r="B572">
        <v>5.3</v>
      </c>
      <c r="C572">
        <v>2</v>
      </c>
      <c r="D572">
        <v>8.6</v>
      </c>
      <c r="E572">
        <v>5.2</v>
      </c>
      <c r="F572">
        <v>2.9</v>
      </c>
      <c r="G572">
        <v>2.89</v>
      </c>
      <c r="H572" t="s">
        <v>9</v>
      </c>
    </row>
    <row r="573" spans="1:8" x14ac:dyDescent="0.25">
      <c r="A573">
        <v>572</v>
      </c>
      <c r="B573">
        <v>7.8</v>
      </c>
      <c r="C573">
        <v>1.6</v>
      </c>
      <c r="D573">
        <v>5.7</v>
      </c>
      <c r="E573">
        <v>5.2</v>
      </c>
      <c r="F573">
        <v>3.7</v>
      </c>
      <c r="G573">
        <v>3.06</v>
      </c>
      <c r="H573" t="s">
        <v>10</v>
      </c>
    </row>
    <row r="574" spans="1:8" x14ac:dyDescent="0.25">
      <c r="A574">
        <v>573</v>
      </c>
      <c r="B574">
        <v>5.8</v>
      </c>
      <c r="C574">
        <v>1.2</v>
      </c>
      <c r="D574">
        <v>6.5</v>
      </c>
      <c r="E574">
        <v>5.2</v>
      </c>
      <c r="F574">
        <v>5.3</v>
      </c>
      <c r="G574">
        <v>3.08</v>
      </c>
      <c r="H574" t="s">
        <v>9</v>
      </c>
    </row>
    <row r="575" spans="1:8" x14ac:dyDescent="0.25">
      <c r="A575">
        <v>574</v>
      </c>
      <c r="B575">
        <v>6.3</v>
      </c>
      <c r="C575">
        <v>2.5</v>
      </c>
      <c r="D575">
        <v>7.9</v>
      </c>
      <c r="E575">
        <v>5</v>
      </c>
      <c r="F575">
        <v>2.2999999999999998</v>
      </c>
      <c r="G575">
        <v>3.07</v>
      </c>
      <c r="H575" t="s">
        <v>8</v>
      </c>
    </row>
    <row r="576" spans="1:8" x14ac:dyDescent="0.25">
      <c r="A576">
        <v>575</v>
      </c>
      <c r="B576">
        <v>9.5</v>
      </c>
      <c r="C576">
        <v>0</v>
      </c>
      <c r="D576">
        <v>8.4</v>
      </c>
      <c r="E576">
        <v>0.3</v>
      </c>
      <c r="F576">
        <v>5.8</v>
      </c>
      <c r="G576">
        <v>3.07</v>
      </c>
      <c r="H576" t="s">
        <v>10</v>
      </c>
    </row>
    <row r="577" spans="1:8" x14ac:dyDescent="0.25">
      <c r="A577">
        <v>576</v>
      </c>
      <c r="B577">
        <v>6.5</v>
      </c>
      <c r="C577">
        <v>1.4</v>
      </c>
      <c r="D577">
        <v>8.1</v>
      </c>
      <c r="E577">
        <v>2</v>
      </c>
      <c r="F577">
        <v>6</v>
      </c>
      <c r="G577">
        <v>3.06</v>
      </c>
      <c r="H577" t="s">
        <v>8</v>
      </c>
    </row>
    <row r="578" spans="1:8" x14ac:dyDescent="0.25">
      <c r="A578">
        <v>577</v>
      </c>
      <c r="B578">
        <v>8.6999999999999993</v>
      </c>
      <c r="C578">
        <v>1.6</v>
      </c>
      <c r="D578">
        <v>5.3</v>
      </c>
      <c r="E578">
        <v>4.7</v>
      </c>
      <c r="F578">
        <v>3.7</v>
      </c>
      <c r="G578">
        <v>3.2</v>
      </c>
      <c r="H578" t="s">
        <v>10</v>
      </c>
    </row>
    <row r="579" spans="1:8" x14ac:dyDescent="0.25">
      <c r="A579">
        <v>578</v>
      </c>
      <c r="B579">
        <v>8.4</v>
      </c>
      <c r="C579">
        <v>1.3</v>
      </c>
      <c r="D579">
        <v>5.3</v>
      </c>
      <c r="E579">
        <v>2.2000000000000002</v>
      </c>
      <c r="F579">
        <v>6.8</v>
      </c>
      <c r="G579">
        <v>2.92</v>
      </c>
      <c r="H579" t="s">
        <v>10</v>
      </c>
    </row>
    <row r="580" spans="1:8" x14ac:dyDescent="0.25">
      <c r="A580">
        <v>579</v>
      </c>
      <c r="B580">
        <v>9.6999999999999993</v>
      </c>
      <c r="C580">
        <v>2.6</v>
      </c>
      <c r="D580">
        <v>8.4</v>
      </c>
      <c r="E580">
        <v>2.1</v>
      </c>
      <c r="F580">
        <v>1.2</v>
      </c>
      <c r="G580">
        <v>3.38</v>
      </c>
      <c r="H580" t="s">
        <v>10</v>
      </c>
    </row>
    <row r="581" spans="1:8" x14ac:dyDescent="0.25">
      <c r="A581">
        <v>580</v>
      </c>
      <c r="B581">
        <v>8.8000000000000007</v>
      </c>
      <c r="C581">
        <v>0.4</v>
      </c>
      <c r="D581">
        <v>6.4</v>
      </c>
      <c r="E581">
        <v>1.7</v>
      </c>
      <c r="F581">
        <v>6.7</v>
      </c>
      <c r="G581">
        <v>3.05</v>
      </c>
      <c r="H581" t="s">
        <v>10</v>
      </c>
    </row>
    <row r="582" spans="1:8" x14ac:dyDescent="0.25">
      <c r="A582">
        <v>581</v>
      </c>
      <c r="B582">
        <v>7.2</v>
      </c>
      <c r="C582">
        <v>3.9</v>
      </c>
      <c r="D582">
        <v>5.3</v>
      </c>
      <c r="E582">
        <v>3.1</v>
      </c>
      <c r="F582">
        <v>4.5</v>
      </c>
      <c r="G582">
        <v>3.03</v>
      </c>
      <c r="H582" t="s">
        <v>10</v>
      </c>
    </row>
    <row r="583" spans="1:8" x14ac:dyDescent="0.25">
      <c r="A583">
        <v>582</v>
      </c>
      <c r="B583">
        <v>8.6999999999999993</v>
      </c>
      <c r="C583">
        <v>2.8</v>
      </c>
      <c r="D583">
        <v>7.1</v>
      </c>
      <c r="E583">
        <v>1.9</v>
      </c>
      <c r="F583">
        <v>3.5</v>
      </c>
      <c r="G583">
        <v>3.12</v>
      </c>
      <c r="H583" t="s">
        <v>10</v>
      </c>
    </row>
    <row r="584" spans="1:8" x14ac:dyDescent="0.25">
      <c r="A584">
        <v>583</v>
      </c>
      <c r="B584">
        <v>7</v>
      </c>
      <c r="C584">
        <v>1.1000000000000001</v>
      </c>
      <c r="D584">
        <v>6</v>
      </c>
      <c r="E584">
        <v>2.9</v>
      </c>
      <c r="F584">
        <v>7</v>
      </c>
      <c r="G584">
        <v>2.87</v>
      </c>
      <c r="H584" t="s">
        <v>8</v>
      </c>
    </row>
    <row r="585" spans="1:8" x14ac:dyDescent="0.25">
      <c r="A585">
        <v>584</v>
      </c>
      <c r="B585">
        <v>8.3000000000000007</v>
      </c>
      <c r="C585">
        <v>3.9</v>
      </c>
      <c r="D585">
        <v>8</v>
      </c>
      <c r="E585">
        <v>0.3</v>
      </c>
      <c r="F585">
        <v>3.5</v>
      </c>
      <c r="G585">
        <v>3.04</v>
      </c>
      <c r="H585" t="s">
        <v>10</v>
      </c>
    </row>
    <row r="586" spans="1:8" x14ac:dyDescent="0.25">
      <c r="A586">
        <v>585</v>
      </c>
      <c r="B586">
        <v>5.4</v>
      </c>
      <c r="C586">
        <v>3.8</v>
      </c>
      <c r="D586">
        <v>6.5</v>
      </c>
      <c r="E586">
        <v>0.6</v>
      </c>
      <c r="F586">
        <v>7.7</v>
      </c>
      <c r="G586">
        <v>3.14</v>
      </c>
      <c r="H586" t="s">
        <v>9</v>
      </c>
    </row>
    <row r="587" spans="1:8" x14ac:dyDescent="0.25">
      <c r="A587">
        <v>586</v>
      </c>
      <c r="B587">
        <v>8.1999999999999993</v>
      </c>
      <c r="C587">
        <v>1.1000000000000001</v>
      </c>
      <c r="D587">
        <v>5.0999999999999996</v>
      </c>
      <c r="E587">
        <v>5.8</v>
      </c>
      <c r="F587">
        <v>3.8</v>
      </c>
      <c r="G587">
        <v>3.5</v>
      </c>
      <c r="H587" t="s">
        <v>10</v>
      </c>
    </row>
    <row r="588" spans="1:8" x14ac:dyDescent="0.25">
      <c r="A588">
        <v>587</v>
      </c>
      <c r="B588">
        <v>6.3</v>
      </c>
      <c r="C588">
        <v>2.7</v>
      </c>
      <c r="D588">
        <v>8.5</v>
      </c>
      <c r="E588">
        <v>3.7</v>
      </c>
      <c r="F588">
        <v>2.8</v>
      </c>
      <c r="G588">
        <v>2.72</v>
      </c>
      <c r="H588" t="s">
        <v>8</v>
      </c>
    </row>
    <row r="589" spans="1:8" x14ac:dyDescent="0.25">
      <c r="A589">
        <v>588</v>
      </c>
      <c r="B589">
        <v>8</v>
      </c>
      <c r="C589">
        <v>3.5</v>
      </c>
      <c r="D589">
        <v>9.6999999999999993</v>
      </c>
      <c r="E589">
        <v>0.3</v>
      </c>
      <c r="F589">
        <v>2.5</v>
      </c>
      <c r="G589">
        <v>3.02</v>
      </c>
      <c r="H589" t="s">
        <v>8</v>
      </c>
    </row>
    <row r="590" spans="1:8" x14ac:dyDescent="0.25">
      <c r="A590">
        <v>589</v>
      </c>
      <c r="B590">
        <v>5.8</v>
      </c>
      <c r="C590">
        <v>3.8</v>
      </c>
      <c r="D590">
        <v>8.6999999999999993</v>
      </c>
      <c r="E590">
        <v>5</v>
      </c>
      <c r="F590">
        <v>0.7</v>
      </c>
      <c r="G590">
        <v>2.95</v>
      </c>
      <c r="H590" t="s">
        <v>9</v>
      </c>
    </row>
    <row r="591" spans="1:8" x14ac:dyDescent="0.25">
      <c r="A591">
        <v>590</v>
      </c>
      <c r="B591">
        <v>8.5</v>
      </c>
      <c r="C591">
        <v>2.7</v>
      </c>
      <c r="D591">
        <v>7</v>
      </c>
      <c r="E591">
        <v>0.1</v>
      </c>
      <c r="F591">
        <v>5.7</v>
      </c>
      <c r="G591">
        <v>3.01</v>
      </c>
      <c r="H591" t="s">
        <v>10</v>
      </c>
    </row>
    <row r="592" spans="1:8" x14ac:dyDescent="0.25">
      <c r="A592">
        <v>591</v>
      </c>
      <c r="B592">
        <v>7.9</v>
      </c>
      <c r="C592">
        <v>1</v>
      </c>
      <c r="D592">
        <v>7.3</v>
      </c>
      <c r="E592">
        <v>5.7</v>
      </c>
      <c r="F592">
        <v>2.1</v>
      </c>
      <c r="G592">
        <v>3.41</v>
      </c>
      <c r="H592" t="s">
        <v>8</v>
      </c>
    </row>
    <row r="593" spans="1:8" x14ac:dyDescent="0.25">
      <c r="A593">
        <v>592</v>
      </c>
      <c r="B593">
        <v>5.9</v>
      </c>
      <c r="C593">
        <v>2.7</v>
      </c>
      <c r="D593">
        <v>9.9</v>
      </c>
      <c r="E593">
        <v>0.6</v>
      </c>
      <c r="F593">
        <v>4.9000000000000004</v>
      </c>
      <c r="G593">
        <v>2.82</v>
      </c>
      <c r="H593" t="s">
        <v>9</v>
      </c>
    </row>
    <row r="594" spans="1:8" x14ac:dyDescent="0.25">
      <c r="A594">
        <v>593</v>
      </c>
      <c r="B594">
        <v>5</v>
      </c>
      <c r="C594">
        <v>1.7</v>
      </c>
      <c r="D594">
        <v>5.5</v>
      </c>
      <c r="E594">
        <v>4.5</v>
      </c>
      <c r="F594">
        <v>7.3</v>
      </c>
      <c r="G594">
        <v>2.72</v>
      </c>
      <c r="H594" t="s">
        <v>10</v>
      </c>
    </row>
    <row r="595" spans="1:8" x14ac:dyDescent="0.25">
      <c r="A595">
        <v>594</v>
      </c>
      <c r="B595">
        <v>6.3</v>
      </c>
      <c r="C595">
        <v>1.7</v>
      </c>
      <c r="D595">
        <v>8.6</v>
      </c>
      <c r="E595">
        <v>0.1</v>
      </c>
      <c r="F595">
        <v>7.3</v>
      </c>
      <c r="G595">
        <v>3.11</v>
      </c>
      <c r="H595" t="s">
        <v>8</v>
      </c>
    </row>
    <row r="596" spans="1:8" x14ac:dyDescent="0.25">
      <c r="A596">
        <v>595</v>
      </c>
      <c r="B596">
        <v>7.9</v>
      </c>
      <c r="C596">
        <v>2.5</v>
      </c>
      <c r="D596">
        <v>8.1999999999999993</v>
      </c>
      <c r="E596">
        <v>1.3</v>
      </c>
      <c r="F596">
        <v>4.0999999999999996</v>
      </c>
      <c r="G596">
        <v>3.08</v>
      </c>
      <c r="H596" t="s">
        <v>8</v>
      </c>
    </row>
    <row r="597" spans="1:8" x14ac:dyDescent="0.25">
      <c r="A597">
        <v>596</v>
      </c>
      <c r="B597">
        <v>6</v>
      </c>
      <c r="C597">
        <v>3.5</v>
      </c>
      <c r="D597">
        <v>8.6999999999999993</v>
      </c>
      <c r="E597">
        <v>0.1</v>
      </c>
      <c r="F597">
        <v>5.7</v>
      </c>
      <c r="G597">
        <v>2.95</v>
      </c>
      <c r="H597" t="s">
        <v>8</v>
      </c>
    </row>
    <row r="598" spans="1:8" x14ac:dyDescent="0.25">
      <c r="A598">
        <v>597</v>
      </c>
      <c r="B598">
        <v>6.2</v>
      </c>
      <c r="C598">
        <v>0.9</v>
      </c>
      <c r="D598">
        <v>6.4</v>
      </c>
      <c r="E598">
        <v>1.5</v>
      </c>
      <c r="F598">
        <v>9</v>
      </c>
      <c r="G598">
        <v>2.92</v>
      </c>
      <c r="H598" t="s">
        <v>8</v>
      </c>
    </row>
    <row r="599" spans="1:8" x14ac:dyDescent="0.25">
      <c r="A599">
        <v>598</v>
      </c>
      <c r="B599">
        <v>8.6999999999999993</v>
      </c>
      <c r="C599">
        <v>2.4</v>
      </c>
      <c r="D599">
        <v>8.4</v>
      </c>
      <c r="E599">
        <v>0.4</v>
      </c>
      <c r="F599">
        <v>4.0999999999999996</v>
      </c>
      <c r="G599">
        <v>3.16</v>
      </c>
      <c r="H599" t="s">
        <v>10</v>
      </c>
    </row>
    <row r="600" spans="1:8" x14ac:dyDescent="0.25">
      <c r="A600">
        <v>599</v>
      </c>
      <c r="B600">
        <v>9.8000000000000007</v>
      </c>
      <c r="C600">
        <v>3.4</v>
      </c>
      <c r="D600">
        <v>9</v>
      </c>
      <c r="E600">
        <v>1.5</v>
      </c>
      <c r="F600">
        <v>0.3</v>
      </c>
      <c r="G600">
        <v>3.49</v>
      </c>
      <c r="H600" t="s">
        <v>10</v>
      </c>
    </row>
    <row r="601" spans="1:8" x14ac:dyDescent="0.25">
      <c r="A601">
        <v>600</v>
      </c>
      <c r="B601">
        <v>6</v>
      </c>
      <c r="C601">
        <v>2.5</v>
      </c>
      <c r="D601">
        <v>8.6999999999999993</v>
      </c>
      <c r="E601">
        <v>4.4000000000000004</v>
      </c>
      <c r="F601">
        <v>2.4</v>
      </c>
      <c r="G601">
        <v>3.05</v>
      </c>
      <c r="H601" t="s">
        <v>8</v>
      </c>
    </row>
    <row r="602" spans="1:8" x14ac:dyDescent="0.25">
      <c r="A602">
        <v>601</v>
      </c>
      <c r="B602">
        <v>7.6</v>
      </c>
      <c r="C602">
        <v>0.3</v>
      </c>
      <c r="D602">
        <v>6.9</v>
      </c>
      <c r="E602">
        <v>5.5</v>
      </c>
      <c r="F602">
        <v>3.7</v>
      </c>
      <c r="G602">
        <v>3.35</v>
      </c>
      <c r="H602" t="s">
        <v>8</v>
      </c>
    </row>
    <row r="603" spans="1:8" x14ac:dyDescent="0.25">
      <c r="A603">
        <v>602</v>
      </c>
      <c r="B603">
        <v>6.3</v>
      </c>
      <c r="C603">
        <v>1.5</v>
      </c>
      <c r="D603">
        <v>9.5</v>
      </c>
      <c r="E603">
        <v>4</v>
      </c>
      <c r="F603">
        <v>2.7</v>
      </c>
      <c r="G603">
        <v>3.42</v>
      </c>
      <c r="H603" t="s">
        <v>8</v>
      </c>
    </row>
    <row r="604" spans="1:8" x14ac:dyDescent="0.25">
      <c r="A604">
        <v>603</v>
      </c>
      <c r="B604">
        <v>8.9</v>
      </c>
      <c r="C604">
        <v>1.8</v>
      </c>
      <c r="D604">
        <v>8.1999999999999993</v>
      </c>
      <c r="E604">
        <v>1.3</v>
      </c>
      <c r="F604">
        <v>3.8</v>
      </c>
      <c r="G604">
        <v>3.21</v>
      </c>
      <c r="H604" t="s">
        <v>10</v>
      </c>
    </row>
    <row r="605" spans="1:8" x14ac:dyDescent="0.25">
      <c r="A605">
        <v>604</v>
      </c>
      <c r="B605">
        <v>7.2</v>
      </c>
      <c r="C605">
        <v>2.6</v>
      </c>
      <c r="D605">
        <v>9.6999999999999993</v>
      </c>
      <c r="E605">
        <v>0.3</v>
      </c>
      <c r="F605">
        <v>4.2</v>
      </c>
      <c r="G605">
        <v>3.42</v>
      </c>
      <c r="H605" t="s">
        <v>8</v>
      </c>
    </row>
    <row r="606" spans="1:8" x14ac:dyDescent="0.25">
      <c r="A606">
        <v>605</v>
      </c>
      <c r="B606">
        <v>9.1</v>
      </c>
      <c r="C606">
        <v>1.2</v>
      </c>
      <c r="D606">
        <v>7.2</v>
      </c>
      <c r="E606">
        <v>0.1</v>
      </c>
      <c r="F606">
        <v>6.4</v>
      </c>
      <c r="G606">
        <v>3.37</v>
      </c>
      <c r="H606" t="s">
        <v>10</v>
      </c>
    </row>
    <row r="607" spans="1:8" x14ac:dyDescent="0.25">
      <c r="A607">
        <v>606</v>
      </c>
      <c r="B607">
        <v>5.3</v>
      </c>
      <c r="C607">
        <v>2</v>
      </c>
      <c r="D607">
        <v>9.6</v>
      </c>
      <c r="E607">
        <v>0.6</v>
      </c>
      <c r="F607">
        <v>6.5</v>
      </c>
      <c r="G607">
        <v>2.41</v>
      </c>
      <c r="H607" t="s">
        <v>9</v>
      </c>
    </row>
    <row r="608" spans="1:8" x14ac:dyDescent="0.25">
      <c r="A608">
        <v>607</v>
      </c>
      <c r="B608">
        <v>8.8000000000000007</v>
      </c>
      <c r="C608">
        <v>1.6</v>
      </c>
      <c r="D608">
        <v>8.3000000000000007</v>
      </c>
      <c r="E608">
        <v>1.4</v>
      </c>
      <c r="F608">
        <v>3.9</v>
      </c>
      <c r="G608">
        <v>3.26</v>
      </c>
      <c r="H608" t="s">
        <v>10</v>
      </c>
    </row>
    <row r="609" spans="1:8" x14ac:dyDescent="0.25">
      <c r="A609">
        <v>608</v>
      </c>
      <c r="B609">
        <v>5.4</v>
      </c>
      <c r="C609">
        <v>0.7</v>
      </c>
      <c r="D609">
        <v>8.3000000000000007</v>
      </c>
      <c r="E609">
        <v>5.3</v>
      </c>
      <c r="F609">
        <v>4.3</v>
      </c>
      <c r="G609">
        <v>2.75</v>
      </c>
      <c r="H609" t="s">
        <v>9</v>
      </c>
    </row>
    <row r="610" spans="1:8" x14ac:dyDescent="0.25">
      <c r="A610">
        <v>609</v>
      </c>
      <c r="B610">
        <v>9.1</v>
      </c>
      <c r="C610">
        <v>2.7</v>
      </c>
      <c r="D610">
        <v>5.6</v>
      </c>
      <c r="E610">
        <v>1.7</v>
      </c>
      <c r="F610">
        <v>4.9000000000000004</v>
      </c>
      <c r="G610">
        <v>3.15</v>
      </c>
      <c r="H610" t="s">
        <v>10</v>
      </c>
    </row>
    <row r="611" spans="1:8" x14ac:dyDescent="0.25">
      <c r="A611">
        <v>610</v>
      </c>
      <c r="B611">
        <v>7.6</v>
      </c>
      <c r="C611">
        <v>2.1</v>
      </c>
      <c r="D611">
        <v>6.8</v>
      </c>
      <c r="E611">
        <v>2.1</v>
      </c>
      <c r="F611">
        <v>5.4</v>
      </c>
      <c r="G611">
        <v>2.97</v>
      </c>
      <c r="H611" t="s">
        <v>8</v>
      </c>
    </row>
    <row r="612" spans="1:8" x14ac:dyDescent="0.25">
      <c r="A612">
        <v>611</v>
      </c>
      <c r="B612">
        <v>9.1</v>
      </c>
      <c r="C612">
        <v>3.2</v>
      </c>
      <c r="D612">
        <v>6.5</v>
      </c>
      <c r="E612">
        <v>4.8</v>
      </c>
      <c r="F612">
        <v>0.4</v>
      </c>
      <c r="G612">
        <v>3.34</v>
      </c>
      <c r="H612" t="s">
        <v>10</v>
      </c>
    </row>
    <row r="613" spans="1:8" x14ac:dyDescent="0.25">
      <c r="A613">
        <v>612</v>
      </c>
      <c r="B613">
        <v>6.8</v>
      </c>
      <c r="C613">
        <v>2</v>
      </c>
      <c r="D613">
        <v>9.6999999999999993</v>
      </c>
      <c r="E613">
        <v>4.8</v>
      </c>
      <c r="F613">
        <v>0.7</v>
      </c>
      <c r="G613">
        <v>3.09</v>
      </c>
      <c r="H613" t="s">
        <v>8</v>
      </c>
    </row>
    <row r="614" spans="1:8" x14ac:dyDescent="0.25">
      <c r="A614">
        <v>613</v>
      </c>
      <c r="B614">
        <v>5.5</v>
      </c>
      <c r="C614">
        <v>1.6</v>
      </c>
      <c r="D614">
        <v>7.8</v>
      </c>
      <c r="E614">
        <v>3</v>
      </c>
      <c r="F614">
        <v>6.1</v>
      </c>
      <c r="G614">
        <v>2.9</v>
      </c>
      <c r="H614" t="s">
        <v>9</v>
      </c>
    </row>
    <row r="615" spans="1:8" x14ac:dyDescent="0.25">
      <c r="A615">
        <v>614</v>
      </c>
      <c r="B615">
        <v>8.4</v>
      </c>
      <c r="C615">
        <v>3.4</v>
      </c>
      <c r="D615">
        <v>9.3000000000000007</v>
      </c>
      <c r="E615">
        <v>2.2000000000000002</v>
      </c>
      <c r="F615">
        <v>0.7</v>
      </c>
      <c r="G615">
        <v>3.2</v>
      </c>
      <c r="H615" t="s">
        <v>10</v>
      </c>
    </row>
    <row r="616" spans="1:8" x14ac:dyDescent="0.25">
      <c r="A616">
        <v>615</v>
      </c>
      <c r="B616">
        <v>7.2</v>
      </c>
      <c r="C616">
        <v>2.4</v>
      </c>
      <c r="D616">
        <v>5.8</v>
      </c>
      <c r="E616">
        <v>4</v>
      </c>
      <c r="F616">
        <v>4.5999999999999996</v>
      </c>
      <c r="G616">
        <v>3.19</v>
      </c>
      <c r="H616" t="s">
        <v>10</v>
      </c>
    </row>
    <row r="617" spans="1:8" x14ac:dyDescent="0.25">
      <c r="A617">
        <v>616</v>
      </c>
      <c r="B617">
        <v>6.1</v>
      </c>
      <c r="C617">
        <v>0.5</v>
      </c>
      <c r="D617">
        <v>5.8</v>
      </c>
      <c r="E617">
        <v>0</v>
      </c>
      <c r="F617">
        <v>11.6</v>
      </c>
      <c r="G617">
        <v>2.73</v>
      </c>
      <c r="H617" t="s">
        <v>10</v>
      </c>
    </row>
    <row r="618" spans="1:8" x14ac:dyDescent="0.25">
      <c r="A618">
        <v>617</v>
      </c>
      <c r="B618">
        <v>8.6</v>
      </c>
      <c r="C618">
        <v>2.9</v>
      </c>
      <c r="D618">
        <v>7.6</v>
      </c>
      <c r="E618">
        <v>0.8</v>
      </c>
      <c r="F618">
        <v>4.0999999999999996</v>
      </c>
      <c r="G618">
        <v>3.15</v>
      </c>
      <c r="H618" t="s">
        <v>10</v>
      </c>
    </row>
    <row r="619" spans="1:8" x14ac:dyDescent="0.25">
      <c r="A619">
        <v>618</v>
      </c>
      <c r="B619">
        <v>5.5</v>
      </c>
      <c r="C619">
        <v>0.9</v>
      </c>
      <c r="D619">
        <v>7.6</v>
      </c>
      <c r="E619">
        <v>3.6</v>
      </c>
      <c r="F619">
        <v>6.4</v>
      </c>
      <c r="G619">
        <v>2.57</v>
      </c>
      <c r="H619" t="s">
        <v>9</v>
      </c>
    </row>
    <row r="620" spans="1:8" x14ac:dyDescent="0.25">
      <c r="A620">
        <v>619</v>
      </c>
      <c r="B620">
        <v>6.2</v>
      </c>
      <c r="C620">
        <v>0.2</v>
      </c>
      <c r="D620">
        <v>7</v>
      </c>
      <c r="E620">
        <v>1.4</v>
      </c>
      <c r="F620">
        <v>9.1999999999999993</v>
      </c>
      <c r="G620">
        <v>3.13</v>
      </c>
      <c r="H620" t="s">
        <v>8</v>
      </c>
    </row>
    <row r="621" spans="1:8" x14ac:dyDescent="0.25">
      <c r="A621">
        <v>620</v>
      </c>
      <c r="B621">
        <v>7.1</v>
      </c>
      <c r="C621">
        <v>1.7</v>
      </c>
      <c r="D621">
        <v>7.7</v>
      </c>
      <c r="E621">
        <v>4.2</v>
      </c>
      <c r="F621">
        <v>3.3</v>
      </c>
      <c r="G621">
        <v>3.48</v>
      </c>
      <c r="H621" t="s">
        <v>8</v>
      </c>
    </row>
    <row r="622" spans="1:8" x14ac:dyDescent="0.25">
      <c r="A622">
        <v>621</v>
      </c>
      <c r="B622">
        <v>8.5</v>
      </c>
      <c r="C622">
        <v>0.7</v>
      </c>
      <c r="D622">
        <v>7.5</v>
      </c>
      <c r="E622">
        <v>2.5</v>
      </c>
      <c r="F622">
        <v>4.8</v>
      </c>
      <c r="G622">
        <v>3.34</v>
      </c>
      <c r="H622" t="s">
        <v>10</v>
      </c>
    </row>
    <row r="623" spans="1:8" x14ac:dyDescent="0.25">
      <c r="A623">
        <v>622</v>
      </c>
      <c r="B623">
        <v>7.7</v>
      </c>
      <c r="C623">
        <v>0.5</v>
      </c>
      <c r="D623">
        <v>8</v>
      </c>
      <c r="E623">
        <v>0.7</v>
      </c>
      <c r="F623">
        <v>7.1</v>
      </c>
      <c r="G623">
        <v>3.34</v>
      </c>
      <c r="H623" t="s">
        <v>8</v>
      </c>
    </row>
    <row r="624" spans="1:8" x14ac:dyDescent="0.25">
      <c r="A624">
        <v>623</v>
      </c>
      <c r="B624">
        <v>6.7</v>
      </c>
      <c r="C624">
        <v>0.6</v>
      </c>
      <c r="D624">
        <v>8.5</v>
      </c>
      <c r="E624">
        <v>1.2</v>
      </c>
      <c r="F624">
        <v>7</v>
      </c>
      <c r="G624">
        <v>3.18</v>
      </c>
      <c r="H624" t="s">
        <v>8</v>
      </c>
    </row>
    <row r="625" spans="1:8" x14ac:dyDescent="0.25">
      <c r="A625">
        <v>624</v>
      </c>
      <c r="B625">
        <v>6</v>
      </c>
      <c r="C625">
        <v>2</v>
      </c>
      <c r="D625">
        <v>7.1</v>
      </c>
      <c r="E625">
        <v>0.1</v>
      </c>
      <c r="F625">
        <v>8.8000000000000007</v>
      </c>
      <c r="G625">
        <v>2.85</v>
      </c>
      <c r="H625" t="s">
        <v>8</v>
      </c>
    </row>
    <row r="626" spans="1:8" x14ac:dyDescent="0.25">
      <c r="A626">
        <v>625</v>
      </c>
      <c r="B626">
        <v>9</v>
      </c>
      <c r="C626">
        <v>0.3</v>
      </c>
      <c r="D626">
        <v>7.4</v>
      </c>
      <c r="E626">
        <v>3.4</v>
      </c>
      <c r="F626">
        <v>3.9</v>
      </c>
      <c r="G626">
        <v>3.64</v>
      </c>
      <c r="H626" t="s">
        <v>10</v>
      </c>
    </row>
    <row r="627" spans="1:8" x14ac:dyDescent="0.25">
      <c r="A627">
        <v>626</v>
      </c>
      <c r="B627">
        <v>6.3</v>
      </c>
      <c r="C627">
        <v>0</v>
      </c>
      <c r="D627">
        <v>8.6</v>
      </c>
      <c r="E627">
        <v>3.2</v>
      </c>
      <c r="F627">
        <v>5.9</v>
      </c>
      <c r="G627">
        <v>3.14</v>
      </c>
      <c r="H627" t="s">
        <v>8</v>
      </c>
    </row>
    <row r="628" spans="1:8" x14ac:dyDescent="0.25">
      <c r="A628">
        <v>627</v>
      </c>
      <c r="B628">
        <v>9.1999999999999993</v>
      </c>
      <c r="C628">
        <v>3.3</v>
      </c>
      <c r="D628">
        <v>9.1999999999999993</v>
      </c>
      <c r="E628">
        <v>1.1000000000000001</v>
      </c>
      <c r="F628">
        <v>1.2</v>
      </c>
      <c r="G628">
        <v>3.6</v>
      </c>
      <c r="H628" t="s">
        <v>10</v>
      </c>
    </row>
    <row r="629" spans="1:8" x14ac:dyDescent="0.25">
      <c r="A629">
        <v>628</v>
      </c>
      <c r="B629">
        <v>7.3</v>
      </c>
      <c r="C629">
        <v>0.7</v>
      </c>
      <c r="D629">
        <v>9.3000000000000007</v>
      </c>
      <c r="E629">
        <v>5.3</v>
      </c>
      <c r="F629">
        <v>1.4</v>
      </c>
      <c r="G629">
        <v>2.97</v>
      </c>
      <c r="H629" t="s">
        <v>8</v>
      </c>
    </row>
    <row r="630" spans="1:8" x14ac:dyDescent="0.25">
      <c r="A630">
        <v>629</v>
      </c>
      <c r="B630">
        <v>7.3</v>
      </c>
      <c r="C630">
        <v>0.3</v>
      </c>
      <c r="D630">
        <v>6.9</v>
      </c>
      <c r="E630">
        <v>4.8</v>
      </c>
      <c r="F630">
        <v>4.7</v>
      </c>
      <c r="G630">
        <v>3.09</v>
      </c>
      <c r="H630" t="s">
        <v>8</v>
      </c>
    </row>
    <row r="631" spans="1:8" x14ac:dyDescent="0.25">
      <c r="A631">
        <v>630</v>
      </c>
      <c r="B631">
        <v>5.3</v>
      </c>
      <c r="C631">
        <v>3.5</v>
      </c>
      <c r="D631">
        <v>6.9</v>
      </c>
      <c r="E631">
        <v>3.3</v>
      </c>
      <c r="F631">
        <v>5</v>
      </c>
      <c r="G631">
        <v>2.81</v>
      </c>
      <c r="H631" t="s">
        <v>9</v>
      </c>
    </row>
    <row r="632" spans="1:8" x14ac:dyDescent="0.25">
      <c r="A632">
        <v>631</v>
      </c>
      <c r="B632">
        <v>9.8000000000000007</v>
      </c>
      <c r="C632">
        <v>0.3</v>
      </c>
      <c r="D632">
        <v>8.1999999999999993</v>
      </c>
      <c r="E632">
        <v>0.4</v>
      </c>
      <c r="F632">
        <v>5.3</v>
      </c>
      <c r="G632">
        <v>3.71</v>
      </c>
      <c r="H632" t="s">
        <v>10</v>
      </c>
    </row>
    <row r="633" spans="1:8" x14ac:dyDescent="0.25">
      <c r="A633">
        <v>632</v>
      </c>
      <c r="B633">
        <v>7.2</v>
      </c>
      <c r="C633">
        <v>4</v>
      </c>
      <c r="D633">
        <v>7.8</v>
      </c>
      <c r="E633">
        <v>1.6</v>
      </c>
      <c r="F633">
        <v>3.4</v>
      </c>
      <c r="G633">
        <v>2.98</v>
      </c>
      <c r="H633" t="s">
        <v>8</v>
      </c>
    </row>
    <row r="634" spans="1:8" x14ac:dyDescent="0.25">
      <c r="A634">
        <v>633</v>
      </c>
      <c r="B634">
        <v>6.1</v>
      </c>
      <c r="C634">
        <v>1.4</v>
      </c>
      <c r="D634">
        <v>6.9</v>
      </c>
      <c r="E634">
        <v>0.4</v>
      </c>
      <c r="F634">
        <v>9.1999999999999993</v>
      </c>
      <c r="G634">
        <v>2.79</v>
      </c>
      <c r="H634" t="s">
        <v>8</v>
      </c>
    </row>
    <row r="635" spans="1:8" x14ac:dyDescent="0.25">
      <c r="A635">
        <v>634</v>
      </c>
      <c r="B635">
        <v>8.6</v>
      </c>
      <c r="C635">
        <v>2.6</v>
      </c>
      <c r="D635">
        <v>8.5</v>
      </c>
      <c r="E635">
        <v>0</v>
      </c>
      <c r="F635">
        <v>4.3</v>
      </c>
      <c r="G635">
        <v>2.85</v>
      </c>
      <c r="H635" t="s">
        <v>10</v>
      </c>
    </row>
    <row r="636" spans="1:8" x14ac:dyDescent="0.25">
      <c r="A636">
        <v>635</v>
      </c>
      <c r="B636">
        <v>6.1</v>
      </c>
      <c r="C636">
        <v>2.6</v>
      </c>
      <c r="D636">
        <v>7.4</v>
      </c>
      <c r="E636">
        <v>0</v>
      </c>
      <c r="F636">
        <v>7.9</v>
      </c>
      <c r="G636">
        <v>3.03</v>
      </c>
      <c r="H636" t="s">
        <v>8</v>
      </c>
    </row>
    <row r="637" spans="1:8" x14ac:dyDescent="0.25">
      <c r="A637">
        <v>636</v>
      </c>
      <c r="B637">
        <v>7.7</v>
      </c>
      <c r="C637">
        <v>0.3</v>
      </c>
      <c r="D637">
        <v>8.8000000000000007</v>
      </c>
      <c r="E637">
        <v>3.5</v>
      </c>
      <c r="F637">
        <v>3.7</v>
      </c>
      <c r="G637">
        <v>3.29</v>
      </c>
      <c r="H637" t="s">
        <v>8</v>
      </c>
    </row>
    <row r="638" spans="1:8" x14ac:dyDescent="0.25">
      <c r="A638">
        <v>637</v>
      </c>
      <c r="B638">
        <v>8.9</v>
      </c>
      <c r="C638">
        <v>3</v>
      </c>
      <c r="D638">
        <v>9</v>
      </c>
      <c r="E638">
        <v>1.6</v>
      </c>
      <c r="F638">
        <v>1.5</v>
      </c>
      <c r="G638">
        <v>3.42</v>
      </c>
      <c r="H638" t="s">
        <v>10</v>
      </c>
    </row>
    <row r="639" spans="1:8" x14ac:dyDescent="0.25">
      <c r="A639">
        <v>638</v>
      </c>
      <c r="B639">
        <v>8.1</v>
      </c>
      <c r="C639">
        <v>3</v>
      </c>
      <c r="D639">
        <v>5.8</v>
      </c>
      <c r="E639">
        <v>1.2</v>
      </c>
      <c r="F639">
        <v>5.9</v>
      </c>
      <c r="G639">
        <v>3.04</v>
      </c>
      <c r="H639" t="s">
        <v>10</v>
      </c>
    </row>
    <row r="640" spans="1:8" x14ac:dyDescent="0.25">
      <c r="A640">
        <v>639</v>
      </c>
      <c r="B640">
        <v>9.5</v>
      </c>
      <c r="C640">
        <v>3</v>
      </c>
      <c r="D640">
        <v>9.5</v>
      </c>
      <c r="E640">
        <v>1.5</v>
      </c>
      <c r="F640">
        <v>0.5</v>
      </c>
      <c r="G640">
        <v>3.76</v>
      </c>
      <c r="H640" t="s">
        <v>10</v>
      </c>
    </row>
    <row r="641" spans="1:8" x14ac:dyDescent="0.25">
      <c r="A641">
        <v>640</v>
      </c>
      <c r="B641">
        <v>9.4</v>
      </c>
      <c r="C641">
        <v>2.2999999999999998</v>
      </c>
      <c r="D641">
        <v>8.1999999999999993</v>
      </c>
      <c r="E641">
        <v>0.6</v>
      </c>
      <c r="F641">
        <v>3.5</v>
      </c>
      <c r="G641">
        <v>3.62</v>
      </c>
      <c r="H641" t="s">
        <v>10</v>
      </c>
    </row>
    <row r="642" spans="1:8" x14ac:dyDescent="0.25">
      <c r="A642">
        <v>641</v>
      </c>
      <c r="B642">
        <v>7.4</v>
      </c>
      <c r="C642">
        <v>2.9</v>
      </c>
      <c r="D642">
        <v>6.4</v>
      </c>
      <c r="E642">
        <v>1.2</v>
      </c>
      <c r="F642">
        <v>6.1</v>
      </c>
      <c r="G642">
        <v>2.89</v>
      </c>
      <c r="H642" t="s">
        <v>8</v>
      </c>
    </row>
    <row r="643" spans="1:8" x14ac:dyDescent="0.25">
      <c r="A643">
        <v>642</v>
      </c>
      <c r="B643">
        <v>6.1</v>
      </c>
      <c r="C643">
        <v>1.7</v>
      </c>
      <c r="D643">
        <v>9.5</v>
      </c>
      <c r="E643">
        <v>3</v>
      </c>
      <c r="F643">
        <v>3.7</v>
      </c>
      <c r="G643">
        <v>2.76</v>
      </c>
      <c r="H643" t="s">
        <v>8</v>
      </c>
    </row>
    <row r="644" spans="1:8" x14ac:dyDescent="0.25">
      <c r="A644">
        <v>643</v>
      </c>
      <c r="B644">
        <v>5.9</v>
      </c>
      <c r="C644">
        <v>0.3</v>
      </c>
      <c r="D644">
        <v>8.5</v>
      </c>
      <c r="E644">
        <v>2.2999999999999998</v>
      </c>
      <c r="F644">
        <v>7</v>
      </c>
      <c r="G644">
        <v>2.99</v>
      </c>
      <c r="H644" t="s">
        <v>9</v>
      </c>
    </row>
    <row r="645" spans="1:8" x14ac:dyDescent="0.25">
      <c r="A645">
        <v>644</v>
      </c>
      <c r="B645">
        <v>9</v>
      </c>
      <c r="C645">
        <v>1.1000000000000001</v>
      </c>
      <c r="D645">
        <v>8.5</v>
      </c>
      <c r="E645">
        <v>1.4</v>
      </c>
      <c r="F645">
        <v>4</v>
      </c>
      <c r="G645">
        <v>3.56</v>
      </c>
      <c r="H645" t="s">
        <v>10</v>
      </c>
    </row>
    <row r="646" spans="1:8" x14ac:dyDescent="0.25">
      <c r="A646">
        <v>645</v>
      </c>
      <c r="B646">
        <v>9.6999999999999993</v>
      </c>
      <c r="C646">
        <v>2.5</v>
      </c>
      <c r="D646">
        <v>6.6</v>
      </c>
      <c r="E646">
        <v>1.4</v>
      </c>
      <c r="F646">
        <v>3.8</v>
      </c>
      <c r="G646">
        <v>3.57</v>
      </c>
      <c r="H646" t="s">
        <v>10</v>
      </c>
    </row>
    <row r="647" spans="1:8" x14ac:dyDescent="0.25">
      <c r="A647">
        <v>646</v>
      </c>
      <c r="B647">
        <v>6.1</v>
      </c>
      <c r="C647">
        <v>2.4</v>
      </c>
      <c r="D647">
        <v>6.3</v>
      </c>
      <c r="E647">
        <v>4</v>
      </c>
      <c r="F647">
        <v>5.2</v>
      </c>
      <c r="G647">
        <v>2.73</v>
      </c>
      <c r="H647" t="s">
        <v>8</v>
      </c>
    </row>
    <row r="648" spans="1:8" x14ac:dyDescent="0.25">
      <c r="A648">
        <v>647</v>
      </c>
      <c r="B648">
        <v>9.1</v>
      </c>
      <c r="C648">
        <v>3.1</v>
      </c>
      <c r="D648">
        <v>8.8000000000000007</v>
      </c>
      <c r="E648">
        <v>0.6</v>
      </c>
      <c r="F648">
        <v>2.4</v>
      </c>
      <c r="G648">
        <v>3.42</v>
      </c>
      <c r="H648" t="s">
        <v>10</v>
      </c>
    </row>
    <row r="649" spans="1:8" x14ac:dyDescent="0.25">
      <c r="A649">
        <v>648</v>
      </c>
      <c r="B649">
        <v>6.8</v>
      </c>
      <c r="C649">
        <v>1.7</v>
      </c>
      <c r="D649">
        <v>5.2</v>
      </c>
      <c r="E649">
        <v>1.6</v>
      </c>
      <c r="F649">
        <v>8.6999999999999993</v>
      </c>
      <c r="G649">
        <v>2.91</v>
      </c>
      <c r="H649" t="s">
        <v>10</v>
      </c>
    </row>
    <row r="650" spans="1:8" x14ac:dyDescent="0.25">
      <c r="A650">
        <v>649</v>
      </c>
      <c r="B650">
        <v>5.2</v>
      </c>
      <c r="C650">
        <v>3.5</v>
      </c>
      <c r="D650">
        <v>6.2</v>
      </c>
      <c r="E650">
        <v>3.3</v>
      </c>
      <c r="F650">
        <v>5.8</v>
      </c>
      <c r="G650">
        <v>2.8</v>
      </c>
      <c r="H650" t="s">
        <v>9</v>
      </c>
    </row>
    <row r="651" spans="1:8" x14ac:dyDescent="0.25">
      <c r="A651">
        <v>650</v>
      </c>
      <c r="B651">
        <v>6.6</v>
      </c>
      <c r="C651">
        <v>3.6</v>
      </c>
      <c r="D651">
        <v>9.4</v>
      </c>
      <c r="E651">
        <v>1.4</v>
      </c>
      <c r="F651">
        <v>3</v>
      </c>
      <c r="G651">
        <v>2.94</v>
      </c>
      <c r="H651" t="s">
        <v>8</v>
      </c>
    </row>
    <row r="652" spans="1:8" x14ac:dyDescent="0.25">
      <c r="A652">
        <v>651</v>
      </c>
      <c r="B652">
        <v>9.5</v>
      </c>
      <c r="C652">
        <v>4</v>
      </c>
      <c r="D652">
        <v>9.1</v>
      </c>
      <c r="E652">
        <v>1.2</v>
      </c>
      <c r="F652">
        <v>0.2</v>
      </c>
      <c r="G652">
        <v>3.52</v>
      </c>
      <c r="H652" t="s">
        <v>10</v>
      </c>
    </row>
    <row r="653" spans="1:8" x14ac:dyDescent="0.25">
      <c r="A653">
        <v>652</v>
      </c>
      <c r="B653">
        <v>5.3</v>
      </c>
      <c r="C653">
        <v>0.4</v>
      </c>
      <c r="D653">
        <v>10</v>
      </c>
      <c r="E653">
        <v>2</v>
      </c>
      <c r="F653">
        <v>6.3</v>
      </c>
      <c r="G653">
        <v>2.4900000000000002</v>
      </c>
      <c r="H653" t="s">
        <v>9</v>
      </c>
    </row>
    <row r="654" spans="1:8" x14ac:dyDescent="0.25">
      <c r="A654">
        <v>653</v>
      </c>
      <c r="B654">
        <v>8.6999999999999993</v>
      </c>
      <c r="C654">
        <v>3.2</v>
      </c>
      <c r="D654">
        <v>9.3000000000000007</v>
      </c>
      <c r="E654">
        <v>2.8</v>
      </c>
      <c r="F654">
        <v>0</v>
      </c>
      <c r="G654">
        <v>3.1</v>
      </c>
      <c r="H654" t="s">
        <v>10</v>
      </c>
    </row>
    <row r="655" spans="1:8" x14ac:dyDescent="0.25">
      <c r="A655">
        <v>654</v>
      </c>
      <c r="B655">
        <v>5.0999999999999996</v>
      </c>
      <c r="C655">
        <v>1.4</v>
      </c>
      <c r="D655">
        <v>8.9</v>
      </c>
      <c r="E655">
        <v>3.4</v>
      </c>
      <c r="F655">
        <v>5.2</v>
      </c>
      <c r="G655">
        <v>2.72</v>
      </c>
      <c r="H655" t="s">
        <v>9</v>
      </c>
    </row>
    <row r="656" spans="1:8" x14ac:dyDescent="0.25">
      <c r="A656">
        <v>655</v>
      </c>
      <c r="B656">
        <v>6.6</v>
      </c>
      <c r="C656">
        <v>2.6</v>
      </c>
      <c r="D656">
        <v>6.2</v>
      </c>
      <c r="E656">
        <v>0.1</v>
      </c>
      <c r="F656">
        <v>8.5</v>
      </c>
      <c r="G656">
        <v>3.11</v>
      </c>
      <c r="H656" t="s">
        <v>8</v>
      </c>
    </row>
    <row r="657" spans="1:8" x14ac:dyDescent="0.25">
      <c r="A657">
        <v>656</v>
      </c>
      <c r="B657">
        <v>8.8000000000000007</v>
      </c>
      <c r="C657">
        <v>0.2</v>
      </c>
      <c r="D657">
        <v>9.1999999999999993</v>
      </c>
      <c r="E657">
        <v>3.6</v>
      </c>
      <c r="F657">
        <v>2.2000000000000002</v>
      </c>
      <c r="G657">
        <v>3.59</v>
      </c>
      <c r="H657" t="s">
        <v>10</v>
      </c>
    </row>
    <row r="658" spans="1:8" x14ac:dyDescent="0.25">
      <c r="A658">
        <v>657</v>
      </c>
      <c r="B658">
        <v>7.8</v>
      </c>
      <c r="C658">
        <v>2.5</v>
      </c>
      <c r="D658">
        <v>9.3000000000000007</v>
      </c>
      <c r="E658">
        <v>2.6</v>
      </c>
      <c r="F658">
        <v>1.8</v>
      </c>
      <c r="G658">
        <v>3.2</v>
      </c>
      <c r="H658" t="s">
        <v>8</v>
      </c>
    </row>
    <row r="659" spans="1:8" x14ac:dyDescent="0.25">
      <c r="A659">
        <v>658</v>
      </c>
      <c r="B659">
        <v>8.8000000000000007</v>
      </c>
      <c r="C659">
        <v>1.8</v>
      </c>
      <c r="D659">
        <v>8.5</v>
      </c>
      <c r="E659">
        <v>1.9</v>
      </c>
      <c r="F659">
        <v>3</v>
      </c>
      <c r="G659">
        <v>3.32</v>
      </c>
      <c r="H659" t="s">
        <v>10</v>
      </c>
    </row>
    <row r="660" spans="1:8" x14ac:dyDescent="0.25">
      <c r="A660">
        <v>659</v>
      </c>
      <c r="B660">
        <v>6.1</v>
      </c>
      <c r="C660">
        <v>2.4</v>
      </c>
      <c r="D660">
        <v>9.6</v>
      </c>
      <c r="E660">
        <v>5.5</v>
      </c>
      <c r="F660">
        <v>0.4</v>
      </c>
      <c r="G660">
        <v>2.99</v>
      </c>
      <c r="H660" t="s">
        <v>8</v>
      </c>
    </row>
    <row r="661" spans="1:8" x14ac:dyDescent="0.25">
      <c r="A661">
        <v>660</v>
      </c>
      <c r="B661">
        <v>6.1</v>
      </c>
      <c r="C661">
        <v>4</v>
      </c>
      <c r="D661">
        <v>9.9</v>
      </c>
      <c r="E661">
        <v>2.6</v>
      </c>
      <c r="F661">
        <v>1.4</v>
      </c>
      <c r="G661">
        <v>2.4900000000000002</v>
      </c>
      <c r="H661" t="s">
        <v>8</v>
      </c>
    </row>
    <row r="662" spans="1:8" x14ac:dyDescent="0.25">
      <c r="A662">
        <v>661</v>
      </c>
      <c r="B662">
        <v>9</v>
      </c>
      <c r="C662">
        <v>2.9</v>
      </c>
      <c r="D662">
        <v>8</v>
      </c>
      <c r="E662">
        <v>0.2</v>
      </c>
      <c r="F662">
        <v>3.9</v>
      </c>
      <c r="G662">
        <v>3.74</v>
      </c>
      <c r="H662" t="s">
        <v>10</v>
      </c>
    </row>
    <row r="663" spans="1:8" x14ac:dyDescent="0.25">
      <c r="A663">
        <v>662</v>
      </c>
      <c r="B663">
        <v>8.4</v>
      </c>
      <c r="C663">
        <v>1.5</v>
      </c>
      <c r="D663">
        <v>9.6999999999999993</v>
      </c>
      <c r="E663">
        <v>0.7</v>
      </c>
      <c r="F663">
        <v>3.7</v>
      </c>
      <c r="G663">
        <v>3.16</v>
      </c>
      <c r="H663" t="s">
        <v>10</v>
      </c>
    </row>
    <row r="664" spans="1:8" x14ac:dyDescent="0.25">
      <c r="A664">
        <v>663</v>
      </c>
      <c r="B664">
        <v>7.5</v>
      </c>
      <c r="C664">
        <v>2.8</v>
      </c>
      <c r="D664">
        <v>8.5</v>
      </c>
      <c r="E664">
        <v>3.4</v>
      </c>
      <c r="F664">
        <v>1.8</v>
      </c>
      <c r="G664">
        <v>2.98</v>
      </c>
      <c r="H664" t="s">
        <v>8</v>
      </c>
    </row>
    <row r="665" spans="1:8" x14ac:dyDescent="0.25">
      <c r="A665">
        <v>664</v>
      </c>
      <c r="B665">
        <v>8.1999999999999993</v>
      </c>
      <c r="C665">
        <v>2.4</v>
      </c>
      <c r="D665">
        <v>5.9</v>
      </c>
      <c r="E665">
        <v>4.2</v>
      </c>
      <c r="F665">
        <v>3.3</v>
      </c>
      <c r="G665">
        <v>3.13</v>
      </c>
      <c r="H665" t="s">
        <v>10</v>
      </c>
    </row>
    <row r="666" spans="1:8" x14ac:dyDescent="0.25">
      <c r="A666">
        <v>665</v>
      </c>
      <c r="B666">
        <v>7.3</v>
      </c>
      <c r="C666">
        <v>2.7</v>
      </c>
      <c r="D666">
        <v>9.1999999999999993</v>
      </c>
      <c r="E666">
        <v>0.8</v>
      </c>
      <c r="F666">
        <v>4</v>
      </c>
      <c r="G666">
        <v>3.41</v>
      </c>
      <c r="H666" t="s">
        <v>8</v>
      </c>
    </row>
    <row r="667" spans="1:8" x14ac:dyDescent="0.25">
      <c r="A667">
        <v>666</v>
      </c>
      <c r="B667">
        <v>9.1999999999999993</v>
      </c>
      <c r="C667">
        <v>3.2</v>
      </c>
      <c r="D667">
        <v>9.8000000000000007</v>
      </c>
      <c r="E667">
        <v>1</v>
      </c>
      <c r="F667">
        <v>0.8</v>
      </c>
      <c r="G667">
        <v>3.55</v>
      </c>
      <c r="H667" t="s">
        <v>10</v>
      </c>
    </row>
    <row r="668" spans="1:8" x14ac:dyDescent="0.25">
      <c r="A668">
        <v>667</v>
      </c>
      <c r="B668">
        <v>7.4</v>
      </c>
      <c r="C668">
        <v>1.6</v>
      </c>
      <c r="D668">
        <v>5.8</v>
      </c>
      <c r="E668">
        <v>3.4</v>
      </c>
      <c r="F668">
        <v>5.8</v>
      </c>
      <c r="G668">
        <v>3.19</v>
      </c>
      <c r="H668" t="s">
        <v>10</v>
      </c>
    </row>
    <row r="669" spans="1:8" x14ac:dyDescent="0.25">
      <c r="A669">
        <v>668</v>
      </c>
      <c r="B669">
        <v>7.9</v>
      </c>
      <c r="C669">
        <v>2.4</v>
      </c>
      <c r="D669">
        <v>6.8</v>
      </c>
      <c r="E669">
        <v>0.3</v>
      </c>
      <c r="F669">
        <v>6.6</v>
      </c>
      <c r="G669">
        <v>3.14</v>
      </c>
      <c r="H669" t="s">
        <v>8</v>
      </c>
    </row>
    <row r="670" spans="1:8" x14ac:dyDescent="0.25">
      <c r="A670">
        <v>669</v>
      </c>
      <c r="B670">
        <v>5.2</v>
      </c>
      <c r="C670">
        <v>1.7</v>
      </c>
      <c r="D670">
        <v>5.4</v>
      </c>
      <c r="E670">
        <v>3.6</v>
      </c>
      <c r="F670">
        <v>8.1</v>
      </c>
      <c r="G670">
        <v>2.5499999999999998</v>
      </c>
      <c r="H670" t="s">
        <v>10</v>
      </c>
    </row>
    <row r="671" spans="1:8" x14ac:dyDescent="0.25">
      <c r="A671">
        <v>670</v>
      </c>
      <c r="B671">
        <v>9.3000000000000007</v>
      </c>
      <c r="C671">
        <v>3.5</v>
      </c>
      <c r="D671">
        <v>6</v>
      </c>
      <c r="E671">
        <v>3.8</v>
      </c>
      <c r="F671">
        <v>1.4</v>
      </c>
      <c r="G671">
        <v>3.52</v>
      </c>
      <c r="H671" t="s">
        <v>10</v>
      </c>
    </row>
    <row r="672" spans="1:8" x14ac:dyDescent="0.25">
      <c r="A672">
        <v>671</v>
      </c>
      <c r="B672">
        <v>6.4</v>
      </c>
      <c r="C672">
        <v>3.2</v>
      </c>
      <c r="D672">
        <v>10</v>
      </c>
      <c r="E672">
        <v>0.1</v>
      </c>
      <c r="F672">
        <v>4.3</v>
      </c>
      <c r="G672">
        <v>3.01</v>
      </c>
      <c r="H672" t="s">
        <v>8</v>
      </c>
    </row>
    <row r="673" spans="1:8" x14ac:dyDescent="0.25">
      <c r="A673">
        <v>672</v>
      </c>
      <c r="B673">
        <v>9.9</v>
      </c>
      <c r="C673">
        <v>1.9</v>
      </c>
      <c r="D673">
        <v>9.1999999999999993</v>
      </c>
      <c r="E673">
        <v>0.2</v>
      </c>
      <c r="F673">
        <v>2.8</v>
      </c>
      <c r="G673">
        <v>3.65</v>
      </c>
      <c r="H673" t="s">
        <v>10</v>
      </c>
    </row>
    <row r="674" spans="1:8" x14ac:dyDescent="0.25">
      <c r="A674">
        <v>673</v>
      </c>
      <c r="B674">
        <v>6.7</v>
      </c>
      <c r="C674">
        <v>0.3</v>
      </c>
      <c r="D674">
        <v>9.9</v>
      </c>
      <c r="E674">
        <v>4.9000000000000004</v>
      </c>
      <c r="F674">
        <v>2.2000000000000002</v>
      </c>
      <c r="G674">
        <v>2.96</v>
      </c>
      <c r="H674" t="s">
        <v>8</v>
      </c>
    </row>
    <row r="675" spans="1:8" x14ac:dyDescent="0.25">
      <c r="A675">
        <v>674</v>
      </c>
      <c r="B675">
        <v>5.4</v>
      </c>
      <c r="C675">
        <v>0.8</v>
      </c>
      <c r="D675">
        <v>6.1</v>
      </c>
      <c r="E675">
        <v>2.8</v>
      </c>
      <c r="F675">
        <v>8.9</v>
      </c>
      <c r="G675">
        <v>2.66</v>
      </c>
      <c r="H675" t="s">
        <v>9</v>
      </c>
    </row>
    <row r="676" spans="1:8" x14ac:dyDescent="0.25">
      <c r="A676">
        <v>675</v>
      </c>
      <c r="B676">
        <v>6.3</v>
      </c>
      <c r="C676">
        <v>0.4</v>
      </c>
      <c r="D676">
        <v>5.8</v>
      </c>
      <c r="E676">
        <v>0.9</v>
      </c>
      <c r="F676">
        <v>10.6</v>
      </c>
      <c r="G676">
        <v>2.93</v>
      </c>
      <c r="H676" t="s">
        <v>10</v>
      </c>
    </row>
    <row r="677" spans="1:8" x14ac:dyDescent="0.25">
      <c r="A677">
        <v>676</v>
      </c>
      <c r="B677">
        <v>6.4</v>
      </c>
      <c r="C677">
        <v>3.2</v>
      </c>
      <c r="D677">
        <v>6.6</v>
      </c>
      <c r="E677">
        <v>1.8</v>
      </c>
      <c r="F677">
        <v>6</v>
      </c>
      <c r="G677">
        <v>3.06</v>
      </c>
      <c r="H677" t="s">
        <v>8</v>
      </c>
    </row>
    <row r="678" spans="1:8" x14ac:dyDescent="0.25">
      <c r="A678">
        <v>677</v>
      </c>
      <c r="B678">
        <v>6.2</v>
      </c>
      <c r="C678">
        <v>0.5</v>
      </c>
      <c r="D678">
        <v>6.3</v>
      </c>
      <c r="E678">
        <v>2.1</v>
      </c>
      <c r="F678">
        <v>8.9</v>
      </c>
      <c r="G678">
        <v>2.84</v>
      </c>
      <c r="H678" t="s">
        <v>8</v>
      </c>
    </row>
    <row r="679" spans="1:8" x14ac:dyDescent="0.25">
      <c r="A679">
        <v>678</v>
      </c>
      <c r="B679">
        <v>6.1</v>
      </c>
      <c r="C679">
        <v>3.2</v>
      </c>
      <c r="D679">
        <v>5.7</v>
      </c>
      <c r="E679">
        <v>2.1</v>
      </c>
      <c r="F679">
        <v>6.9</v>
      </c>
      <c r="G679">
        <v>2.95</v>
      </c>
      <c r="H679" t="s">
        <v>10</v>
      </c>
    </row>
    <row r="680" spans="1:8" x14ac:dyDescent="0.25">
      <c r="A680">
        <v>679</v>
      </c>
      <c r="B680">
        <v>9.3000000000000007</v>
      </c>
      <c r="C680">
        <v>0.6</v>
      </c>
      <c r="D680">
        <v>5.4</v>
      </c>
      <c r="E680">
        <v>2.9</v>
      </c>
      <c r="F680">
        <v>5.8</v>
      </c>
      <c r="G680">
        <v>3.51</v>
      </c>
      <c r="H680" t="s">
        <v>10</v>
      </c>
    </row>
    <row r="681" spans="1:8" x14ac:dyDescent="0.25">
      <c r="A681">
        <v>680</v>
      </c>
      <c r="B681">
        <v>9</v>
      </c>
      <c r="C681">
        <v>0.5</v>
      </c>
      <c r="D681">
        <v>7.9</v>
      </c>
      <c r="E681">
        <v>3</v>
      </c>
      <c r="F681">
        <v>3.6</v>
      </c>
      <c r="G681">
        <v>2.99</v>
      </c>
      <c r="H681" t="s">
        <v>10</v>
      </c>
    </row>
    <row r="682" spans="1:8" x14ac:dyDescent="0.25">
      <c r="A682">
        <v>681</v>
      </c>
      <c r="B682">
        <v>5.7</v>
      </c>
      <c r="C682">
        <v>2.5</v>
      </c>
      <c r="D682">
        <v>6.4</v>
      </c>
      <c r="E682">
        <v>2.9</v>
      </c>
      <c r="F682">
        <v>6.5</v>
      </c>
      <c r="G682">
        <v>2.84</v>
      </c>
      <c r="H682" t="s">
        <v>9</v>
      </c>
    </row>
    <row r="683" spans="1:8" x14ac:dyDescent="0.25">
      <c r="A683">
        <v>682</v>
      </c>
      <c r="B683">
        <v>6.5</v>
      </c>
      <c r="C683">
        <v>3.3</v>
      </c>
      <c r="D683">
        <v>5.3</v>
      </c>
      <c r="E683">
        <v>2.5</v>
      </c>
      <c r="F683">
        <v>6.4</v>
      </c>
      <c r="G683">
        <v>2.81</v>
      </c>
      <c r="H683" t="s">
        <v>10</v>
      </c>
    </row>
    <row r="684" spans="1:8" x14ac:dyDescent="0.25">
      <c r="A684">
        <v>683</v>
      </c>
      <c r="B684">
        <v>7.3</v>
      </c>
      <c r="C684">
        <v>2.9</v>
      </c>
      <c r="D684">
        <v>7.9</v>
      </c>
      <c r="E684">
        <v>3.9</v>
      </c>
      <c r="F684">
        <v>2</v>
      </c>
      <c r="G684">
        <v>3.19</v>
      </c>
      <c r="H684" t="s">
        <v>8</v>
      </c>
    </row>
    <row r="685" spans="1:8" x14ac:dyDescent="0.25">
      <c r="A685">
        <v>684</v>
      </c>
      <c r="B685">
        <v>6.6</v>
      </c>
      <c r="C685">
        <v>2.2000000000000002</v>
      </c>
      <c r="D685">
        <v>9.1999999999999993</v>
      </c>
      <c r="E685">
        <v>5.9</v>
      </c>
      <c r="F685">
        <v>0.1</v>
      </c>
      <c r="G685">
        <v>3.06</v>
      </c>
      <c r="H685" t="s">
        <v>8</v>
      </c>
    </row>
    <row r="686" spans="1:8" x14ac:dyDescent="0.25">
      <c r="A686">
        <v>685</v>
      </c>
      <c r="B686">
        <v>9.4</v>
      </c>
      <c r="C686">
        <v>1.5</v>
      </c>
      <c r="D686">
        <v>6</v>
      </c>
      <c r="E686">
        <v>2.9</v>
      </c>
      <c r="F686">
        <v>4.2</v>
      </c>
      <c r="G686">
        <v>3.4</v>
      </c>
      <c r="H686" t="s">
        <v>10</v>
      </c>
    </row>
    <row r="687" spans="1:8" x14ac:dyDescent="0.25">
      <c r="A687">
        <v>686</v>
      </c>
      <c r="B687">
        <v>7.4</v>
      </c>
      <c r="C687">
        <v>3.4</v>
      </c>
      <c r="D687">
        <v>6.8</v>
      </c>
      <c r="E687">
        <v>5.2</v>
      </c>
      <c r="F687">
        <v>1.2</v>
      </c>
      <c r="G687">
        <v>3.45</v>
      </c>
      <c r="H687" t="s">
        <v>8</v>
      </c>
    </row>
    <row r="688" spans="1:8" x14ac:dyDescent="0.25">
      <c r="A688">
        <v>687</v>
      </c>
      <c r="B688">
        <v>7</v>
      </c>
      <c r="C688">
        <v>1.3</v>
      </c>
      <c r="D688">
        <v>7.3</v>
      </c>
      <c r="E688">
        <v>4.5999999999999996</v>
      </c>
      <c r="F688">
        <v>3.8</v>
      </c>
      <c r="G688">
        <v>3</v>
      </c>
      <c r="H688" t="s">
        <v>8</v>
      </c>
    </row>
    <row r="689" spans="1:8" x14ac:dyDescent="0.25">
      <c r="A689">
        <v>688</v>
      </c>
      <c r="B689">
        <v>9.8000000000000007</v>
      </c>
      <c r="C689">
        <v>0.7</v>
      </c>
      <c r="D689">
        <v>7.8</v>
      </c>
      <c r="E689">
        <v>3.3</v>
      </c>
      <c r="F689">
        <v>2.4</v>
      </c>
      <c r="G689">
        <v>3.41</v>
      </c>
      <c r="H689" t="s">
        <v>10</v>
      </c>
    </row>
    <row r="690" spans="1:8" x14ac:dyDescent="0.25">
      <c r="A690">
        <v>689</v>
      </c>
      <c r="B690">
        <v>7.4</v>
      </c>
      <c r="C690">
        <v>2.6</v>
      </c>
      <c r="D690">
        <v>6.1</v>
      </c>
      <c r="E690">
        <v>3.3</v>
      </c>
      <c r="F690">
        <v>4.5999999999999996</v>
      </c>
      <c r="G690">
        <v>3.41</v>
      </c>
      <c r="H690" t="s">
        <v>8</v>
      </c>
    </row>
    <row r="691" spans="1:8" x14ac:dyDescent="0.25">
      <c r="A691">
        <v>690</v>
      </c>
      <c r="B691">
        <v>5.7</v>
      </c>
      <c r="C691">
        <v>2.2999999999999998</v>
      </c>
      <c r="D691">
        <v>5.9</v>
      </c>
      <c r="E691">
        <v>1.7</v>
      </c>
      <c r="F691">
        <v>8.4</v>
      </c>
      <c r="G691">
        <v>2.62</v>
      </c>
      <c r="H691" t="s">
        <v>10</v>
      </c>
    </row>
    <row r="692" spans="1:8" x14ac:dyDescent="0.25">
      <c r="A692">
        <v>691</v>
      </c>
      <c r="B692">
        <v>6.1</v>
      </c>
      <c r="C692">
        <v>0.7</v>
      </c>
      <c r="D692">
        <v>9.1</v>
      </c>
      <c r="E692">
        <v>1.7</v>
      </c>
      <c r="F692">
        <v>6.4</v>
      </c>
      <c r="G692">
        <v>2.69</v>
      </c>
      <c r="H692" t="s">
        <v>8</v>
      </c>
    </row>
    <row r="693" spans="1:8" x14ac:dyDescent="0.25">
      <c r="A693">
        <v>692</v>
      </c>
      <c r="B693">
        <v>6.9</v>
      </c>
      <c r="C693">
        <v>3.2</v>
      </c>
      <c r="D693">
        <v>6.8</v>
      </c>
      <c r="E693">
        <v>0.5</v>
      </c>
      <c r="F693">
        <v>6.6</v>
      </c>
      <c r="G693">
        <v>3.08</v>
      </c>
      <c r="H693" t="s">
        <v>8</v>
      </c>
    </row>
    <row r="694" spans="1:8" x14ac:dyDescent="0.25">
      <c r="A694">
        <v>693</v>
      </c>
      <c r="B694">
        <v>7.8</v>
      </c>
      <c r="C694">
        <v>3.4</v>
      </c>
      <c r="D694">
        <v>9</v>
      </c>
      <c r="E694">
        <v>0.7</v>
      </c>
      <c r="F694">
        <v>3.1</v>
      </c>
      <c r="G694">
        <v>2.95</v>
      </c>
      <c r="H694" t="s">
        <v>8</v>
      </c>
    </row>
    <row r="695" spans="1:8" x14ac:dyDescent="0.25">
      <c r="A695">
        <v>694</v>
      </c>
      <c r="B695">
        <v>6.1</v>
      </c>
      <c r="C695">
        <v>3.5</v>
      </c>
      <c r="D695">
        <v>6.2</v>
      </c>
      <c r="E695">
        <v>1.6</v>
      </c>
      <c r="F695">
        <v>6.6</v>
      </c>
      <c r="G695">
        <v>3.05</v>
      </c>
      <c r="H695" t="s">
        <v>8</v>
      </c>
    </row>
    <row r="696" spans="1:8" x14ac:dyDescent="0.25">
      <c r="A696">
        <v>695</v>
      </c>
      <c r="B696">
        <v>5</v>
      </c>
      <c r="C696">
        <v>3.5</v>
      </c>
      <c r="D696">
        <v>9</v>
      </c>
      <c r="E696">
        <v>3.8</v>
      </c>
      <c r="F696">
        <v>2.7</v>
      </c>
      <c r="G696">
        <v>2.62</v>
      </c>
      <c r="H696" t="s">
        <v>9</v>
      </c>
    </row>
    <row r="697" spans="1:8" x14ac:dyDescent="0.25">
      <c r="A697">
        <v>696</v>
      </c>
      <c r="B697">
        <v>7.3</v>
      </c>
      <c r="C697">
        <v>1.4</v>
      </c>
      <c r="D697">
        <v>5.5</v>
      </c>
      <c r="E697">
        <v>2.9</v>
      </c>
      <c r="F697">
        <v>6.9</v>
      </c>
      <c r="G697">
        <v>3.19</v>
      </c>
      <c r="H697" t="s">
        <v>10</v>
      </c>
    </row>
    <row r="698" spans="1:8" x14ac:dyDescent="0.25">
      <c r="A698">
        <v>697</v>
      </c>
      <c r="B698">
        <v>9.6</v>
      </c>
      <c r="C698">
        <v>0.2</v>
      </c>
      <c r="D698">
        <v>6.5</v>
      </c>
      <c r="E698">
        <v>1.2</v>
      </c>
      <c r="F698">
        <v>6.5</v>
      </c>
      <c r="G698">
        <v>3.5</v>
      </c>
      <c r="H698" t="s">
        <v>10</v>
      </c>
    </row>
    <row r="699" spans="1:8" x14ac:dyDescent="0.25">
      <c r="A699">
        <v>698</v>
      </c>
      <c r="B699">
        <v>7.3</v>
      </c>
      <c r="C699">
        <v>1.9</v>
      </c>
      <c r="D699">
        <v>8.8000000000000007</v>
      </c>
      <c r="E699">
        <v>0.9</v>
      </c>
      <c r="F699">
        <v>5.0999999999999996</v>
      </c>
      <c r="G699">
        <v>3.06</v>
      </c>
      <c r="H699" t="s">
        <v>8</v>
      </c>
    </row>
    <row r="700" spans="1:8" x14ac:dyDescent="0.25">
      <c r="A700">
        <v>699</v>
      </c>
      <c r="B700">
        <v>7.4</v>
      </c>
      <c r="C700">
        <v>1.7</v>
      </c>
      <c r="D700">
        <v>8</v>
      </c>
      <c r="E700">
        <v>6</v>
      </c>
      <c r="F700">
        <v>0.9</v>
      </c>
      <c r="G700">
        <v>3</v>
      </c>
      <c r="H700" t="s">
        <v>8</v>
      </c>
    </row>
    <row r="701" spans="1:8" x14ac:dyDescent="0.25">
      <c r="A701">
        <v>700</v>
      </c>
      <c r="B701">
        <v>9.1</v>
      </c>
      <c r="C701">
        <v>0.7</v>
      </c>
      <c r="D701">
        <v>5.2</v>
      </c>
      <c r="E701">
        <v>1.2</v>
      </c>
      <c r="F701">
        <v>7.8</v>
      </c>
      <c r="G701">
        <v>3.64</v>
      </c>
      <c r="H701" t="s">
        <v>10</v>
      </c>
    </row>
    <row r="702" spans="1:8" x14ac:dyDescent="0.25">
      <c r="A702">
        <v>701</v>
      </c>
      <c r="B702">
        <v>6.7</v>
      </c>
      <c r="C702">
        <v>2</v>
      </c>
      <c r="D702">
        <v>8.1</v>
      </c>
      <c r="E702">
        <v>5.5</v>
      </c>
      <c r="F702">
        <v>1.7</v>
      </c>
      <c r="G702">
        <v>3.11</v>
      </c>
      <c r="H702" t="s">
        <v>8</v>
      </c>
    </row>
    <row r="703" spans="1:8" x14ac:dyDescent="0.25">
      <c r="A703">
        <v>702</v>
      </c>
      <c r="B703">
        <v>5.3</v>
      </c>
      <c r="C703">
        <v>0.1</v>
      </c>
      <c r="D703">
        <v>7.8</v>
      </c>
      <c r="E703">
        <v>2.6</v>
      </c>
      <c r="F703">
        <v>8.1999999999999993</v>
      </c>
      <c r="G703">
        <v>3.58</v>
      </c>
      <c r="H703" t="s">
        <v>9</v>
      </c>
    </row>
    <row r="704" spans="1:8" x14ac:dyDescent="0.25">
      <c r="A704">
        <v>703</v>
      </c>
      <c r="B704">
        <v>9.1999999999999993</v>
      </c>
      <c r="C704">
        <v>0.6</v>
      </c>
      <c r="D704">
        <v>5.0999999999999996</v>
      </c>
      <c r="E704">
        <v>2.7</v>
      </c>
      <c r="F704">
        <v>6.4</v>
      </c>
      <c r="G704">
        <v>3.27</v>
      </c>
      <c r="H704" t="s">
        <v>10</v>
      </c>
    </row>
    <row r="705" spans="1:8" x14ac:dyDescent="0.25">
      <c r="A705">
        <v>704</v>
      </c>
      <c r="B705">
        <v>8</v>
      </c>
      <c r="C705">
        <v>1.1000000000000001</v>
      </c>
      <c r="D705">
        <v>5.9</v>
      </c>
      <c r="E705">
        <v>2.2999999999999998</v>
      </c>
      <c r="F705">
        <v>6.7</v>
      </c>
      <c r="G705">
        <v>3.27</v>
      </c>
      <c r="H705" t="s">
        <v>10</v>
      </c>
    </row>
    <row r="706" spans="1:8" x14ac:dyDescent="0.25">
      <c r="A706">
        <v>705</v>
      </c>
      <c r="B706">
        <v>9</v>
      </c>
      <c r="C706">
        <v>1.6</v>
      </c>
      <c r="D706">
        <v>8.8000000000000007</v>
      </c>
      <c r="E706">
        <v>0.6</v>
      </c>
      <c r="F706">
        <v>4</v>
      </c>
      <c r="G706">
        <v>3.2</v>
      </c>
      <c r="H706" t="s">
        <v>10</v>
      </c>
    </row>
    <row r="707" spans="1:8" x14ac:dyDescent="0.25">
      <c r="A707">
        <v>706</v>
      </c>
      <c r="B707">
        <v>8.4</v>
      </c>
      <c r="C707">
        <v>2.2999999999999998</v>
      </c>
      <c r="D707">
        <v>9.6</v>
      </c>
      <c r="E707">
        <v>1.4</v>
      </c>
      <c r="F707">
        <v>2.2999999999999998</v>
      </c>
      <c r="G707">
        <v>3.41</v>
      </c>
      <c r="H707" t="s">
        <v>10</v>
      </c>
    </row>
    <row r="708" spans="1:8" x14ac:dyDescent="0.25">
      <c r="A708">
        <v>707</v>
      </c>
      <c r="B708">
        <v>5.3</v>
      </c>
      <c r="C708">
        <v>0.1</v>
      </c>
      <c r="D708">
        <v>9.1</v>
      </c>
      <c r="E708">
        <v>3.1</v>
      </c>
      <c r="F708">
        <v>6.4</v>
      </c>
      <c r="G708">
        <v>2.65</v>
      </c>
      <c r="H708" t="s">
        <v>9</v>
      </c>
    </row>
    <row r="709" spans="1:8" x14ac:dyDescent="0.25">
      <c r="A709">
        <v>708</v>
      </c>
      <c r="B709">
        <v>6.7</v>
      </c>
      <c r="C709">
        <v>0.1</v>
      </c>
      <c r="D709">
        <v>9.8000000000000007</v>
      </c>
      <c r="E709">
        <v>4</v>
      </c>
      <c r="F709">
        <v>3.4</v>
      </c>
      <c r="G709">
        <v>3.15</v>
      </c>
      <c r="H709" t="s">
        <v>8</v>
      </c>
    </row>
    <row r="710" spans="1:8" x14ac:dyDescent="0.25">
      <c r="A710">
        <v>709</v>
      </c>
      <c r="B710">
        <v>9.6999999999999993</v>
      </c>
      <c r="C710">
        <v>1.1000000000000001</v>
      </c>
      <c r="D710">
        <v>8.1</v>
      </c>
      <c r="E710">
        <v>3.5</v>
      </c>
      <c r="F710">
        <v>1.6</v>
      </c>
      <c r="G710">
        <v>3.63</v>
      </c>
      <c r="H710" t="s">
        <v>10</v>
      </c>
    </row>
    <row r="711" spans="1:8" x14ac:dyDescent="0.25">
      <c r="A711">
        <v>710</v>
      </c>
      <c r="B711">
        <v>9.6999999999999993</v>
      </c>
      <c r="C711">
        <v>3.5</v>
      </c>
      <c r="D711">
        <v>8.6999999999999993</v>
      </c>
      <c r="E711">
        <v>0.6</v>
      </c>
      <c r="F711">
        <v>1.5</v>
      </c>
      <c r="G711">
        <v>3.36</v>
      </c>
      <c r="H711" t="s">
        <v>10</v>
      </c>
    </row>
    <row r="712" spans="1:8" x14ac:dyDescent="0.25">
      <c r="A712">
        <v>711</v>
      </c>
      <c r="B712">
        <v>6.4</v>
      </c>
      <c r="C712">
        <v>3.9</v>
      </c>
      <c r="D712">
        <v>5.0999999999999996</v>
      </c>
      <c r="E712">
        <v>4.3</v>
      </c>
      <c r="F712">
        <v>4.3</v>
      </c>
      <c r="G712">
        <v>3.14</v>
      </c>
      <c r="H712" t="s">
        <v>10</v>
      </c>
    </row>
    <row r="713" spans="1:8" x14ac:dyDescent="0.25">
      <c r="A713">
        <v>712</v>
      </c>
      <c r="B713">
        <v>10</v>
      </c>
      <c r="C713">
        <v>1.2</v>
      </c>
      <c r="D713">
        <v>6.7</v>
      </c>
      <c r="E713">
        <v>0.5</v>
      </c>
      <c r="F713">
        <v>5.6</v>
      </c>
      <c r="G713">
        <v>3.79</v>
      </c>
      <c r="H713" t="s">
        <v>10</v>
      </c>
    </row>
    <row r="714" spans="1:8" x14ac:dyDescent="0.25">
      <c r="A714">
        <v>713</v>
      </c>
      <c r="B714">
        <v>7.2</v>
      </c>
      <c r="C714">
        <v>1</v>
      </c>
      <c r="D714">
        <v>6.7</v>
      </c>
      <c r="E714">
        <v>5</v>
      </c>
      <c r="F714">
        <v>4.0999999999999996</v>
      </c>
      <c r="G714">
        <v>3.21</v>
      </c>
      <c r="H714" t="s">
        <v>8</v>
      </c>
    </row>
    <row r="715" spans="1:8" x14ac:dyDescent="0.25">
      <c r="A715">
        <v>714</v>
      </c>
      <c r="B715">
        <v>5.3</v>
      </c>
      <c r="C715">
        <v>0.4</v>
      </c>
      <c r="D715">
        <v>5.8</v>
      </c>
      <c r="E715">
        <v>3.6</v>
      </c>
      <c r="F715">
        <v>8.9</v>
      </c>
      <c r="G715">
        <v>2.76</v>
      </c>
      <c r="H715" t="s">
        <v>10</v>
      </c>
    </row>
    <row r="716" spans="1:8" x14ac:dyDescent="0.25">
      <c r="A716">
        <v>715</v>
      </c>
      <c r="B716">
        <v>5.8</v>
      </c>
      <c r="C716">
        <v>3.9</v>
      </c>
      <c r="D716">
        <v>7.2</v>
      </c>
      <c r="E716">
        <v>3</v>
      </c>
      <c r="F716">
        <v>4.0999999999999996</v>
      </c>
      <c r="G716">
        <v>2.83</v>
      </c>
      <c r="H716" t="s">
        <v>9</v>
      </c>
    </row>
    <row r="717" spans="1:8" x14ac:dyDescent="0.25">
      <c r="A717">
        <v>716</v>
      </c>
      <c r="B717">
        <v>8.3000000000000007</v>
      </c>
      <c r="C717">
        <v>3</v>
      </c>
      <c r="D717">
        <v>8.8000000000000007</v>
      </c>
      <c r="E717">
        <v>2.2999999999999998</v>
      </c>
      <c r="F717">
        <v>1.6</v>
      </c>
      <c r="G717">
        <v>2.92</v>
      </c>
      <c r="H717" t="s">
        <v>10</v>
      </c>
    </row>
    <row r="718" spans="1:8" x14ac:dyDescent="0.25">
      <c r="A718">
        <v>717</v>
      </c>
      <c r="B718">
        <v>9.5</v>
      </c>
      <c r="C718">
        <v>3.3</v>
      </c>
      <c r="D718">
        <v>8.8000000000000007</v>
      </c>
      <c r="E718">
        <v>0.1</v>
      </c>
      <c r="F718">
        <v>2.2999999999999998</v>
      </c>
      <c r="G718">
        <v>3.24</v>
      </c>
      <c r="H718" t="s">
        <v>10</v>
      </c>
    </row>
    <row r="719" spans="1:8" x14ac:dyDescent="0.25">
      <c r="A719">
        <v>718</v>
      </c>
      <c r="B719">
        <v>7</v>
      </c>
      <c r="C719">
        <v>3.5</v>
      </c>
      <c r="D719">
        <v>9.5</v>
      </c>
      <c r="E719">
        <v>3.6</v>
      </c>
      <c r="F719">
        <v>0.4</v>
      </c>
      <c r="G719">
        <v>3.4</v>
      </c>
      <c r="H719" t="s">
        <v>8</v>
      </c>
    </row>
    <row r="720" spans="1:8" x14ac:dyDescent="0.25">
      <c r="A720">
        <v>719</v>
      </c>
      <c r="B720">
        <v>6.6</v>
      </c>
      <c r="C720">
        <v>2.8</v>
      </c>
      <c r="D720">
        <v>6.4</v>
      </c>
      <c r="E720">
        <v>1.1000000000000001</v>
      </c>
      <c r="F720">
        <v>7.1</v>
      </c>
      <c r="G720">
        <v>2.88</v>
      </c>
      <c r="H720" t="s">
        <v>8</v>
      </c>
    </row>
    <row r="721" spans="1:8" x14ac:dyDescent="0.25">
      <c r="A721">
        <v>720</v>
      </c>
      <c r="B721">
        <v>7.1</v>
      </c>
      <c r="C721">
        <v>3.3</v>
      </c>
      <c r="D721">
        <v>5.6</v>
      </c>
      <c r="E721">
        <v>4.4000000000000004</v>
      </c>
      <c r="F721">
        <v>3.6</v>
      </c>
      <c r="G721">
        <v>2.85</v>
      </c>
      <c r="H721" t="s">
        <v>10</v>
      </c>
    </row>
    <row r="722" spans="1:8" x14ac:dyDescent="0.25">
      <c r="A722">
        <v>721</v>
      </c>
      <c r="B722">
        <v>7.7</v>
      </c>
      <c r="C722">
        <v>1.2</v>
      </c>
      <c r="D722">
        <v>7.5</v>
      </c>
      <c r="E722">
        <v>1.8</v>
      </c>
      <c r="F722">
        <v>5.8</v>
      </c>
      <c r="G722">
        <v>2.88</v>
      </c>
      <c r="H722" t="s">
        <v>8</v>
      </c>
    </row>
    <row r="723" spans="1:8" x14ac:dyDescent="0.25">
      <c r="A723">
        <v>722</v>
      </c>
      <c r="B723">
        <v>5.8</v>
      </c>
      <c r="C723">
        <v>0.5</v>
      </c>
      <c r="D723">
        <v>7.7</v>
      </c>
      <c r="E723">
        <v>5.4</v>
      </c>
      <c r="F723">
        <v>4.5999999999999996</v>
      </c>
      <c r="G723">
        <v>3.27</v>
      </c>
      <c r="H723" t="s">
        <v>9</v>
      </c>
    </row>
    <row r="724" spans="1:8" x14ac:dyDescent="0.25">
      <c r="A724">
        <v>723</v>
      </c>
      <c r="B724">
        <v>6.7</v>
      </c>
      <c r="C724">
        <v>2.9</v>
      </c>
      <c r="D724">
        <v>8.3000000000000007</v>
      </c>
      <c r="E724">
        <v>5.6</v>
      </c>
      <c r="F724">
        <v>0.5</v>
      </c>
      <c r="G724">
        <v>3.06</v>
      </c>
      <c r="H724" t="s">
        <v>8</v>
      </c>
    </row>
    <row r="725" spans="1:8" x14ac:dyDescent="0.25">
      <c r="A725">
        <v>724</v>
      </c>
      <c r="B725">
        <v>8.3000000000000007</v>
      </c>
      <c r="C725">
        <v>3.6</v>
      </c>
      <c r="D725">
        <v>7</v>
      </c>
      <c r="E725">
        <v>1.7</v>
      </c>
      <c r="F725">
        <v>3.4</v>
      </c>
      <c r="G725">
        <v>3.5</v>
      </c>
      <c r="H725" t="s">
        <v>10</v>
      </c>
    </row>
    <row r="726" spans="1:8" x14ac:dyDescent="0.25">
      <c r="A726">
        <v>725</v>
      </c>
      <c r="B726">
        <v>5.0999999999999996</v>
      </c>
      <c r="C726">
        <v>3.3</v>
      </c>
      <c r="D726">
        <v>9</v>
      </c>
      <c r="E726">
        <v>0.6</v>
      </c>
      <c r="F726">
        <v>6</v>
      </c>
      <c r="G726">
        <v>2.54</v>
      </c>
      <c r="H726" t="s">
        <v>9</v>
      </c>
    </row>
    <row r="727" spans="1:8" x14ac:dyDescent="0.25">
      <c r="A727">
        <v>726</v>
      </c>
      <c r="B727">
        <v>5.6</v>
      </c>
      <c r="C727">
        <v>3.9</v>
      </c>
      <c r="D727">
        <v>6.1</v>
      </c>
      <c r="E727">
        <v>0.4</v>
      </c>
      <c r="F727">
        <v>8</v>
      </c>
      <c r="G727">
        <v>3.32</v>
      </c>
      <c r="H727" t="s">
        <v>9</v>
      </c>
    </row>
    <row r="728" spans="1:8" x14ac:dyDescent="0.25">
      <c r="A728">
        <v>727</v>
      </c>
      <c r="B728">
        <v>8</v>
      </c>
      <c r="C728">
        <v>3</v>
      </c>
      <c r="D728">
        <v>5.2</v>
      </c>
      <c r="E728">
        <v>4</v>
      </c>
      <c r="F728">
        <v>3.8</v>
      </c>
      <c r="G728">
        <v>3.01</v>
      </c>
      <c r="H728" t="s">
        <v>10</v>
      </c>
    </row>
    <row r="729" spans="1:8" x14ac:dyDescent="0.25">
      <c r="A729">
        <v>728</v>
      </c>
      <c r="B729">
        <v>5.9</v>
      </c>
      <c r="C729">
        <v>2.2999999999999998</v>
      </c>
      <c r="D729">
        <v>6.5</v>
      </c>
      <c r="E729">
        <v>5.6</v>
      </c>
      <c r="F729">
        <v>3.7</v>
      </c>
      <c r="G729">
        <v>2.9</v>
      </c>
      <c r="H729" t="s">
        <v>9</v>
      </c>
    </row>
    <row r="730" spans="1:8" x14ac:dyDescent="0.25">
      <c r="A730">
        <v>729</v>
      </c>
      <c r="B730">
        <v>9.1</v>
      </c>
      <c r="C730">
        <v>3.9</v>
      </c>
      <c r="D730">
        <v>6.3</v>
      </c>
      <c r="E730">
        <v>4.5999999999999996</v>
      </c>
      <c r="F730">
        <v>0.1</v>
      </c>
      <c r="G730">
        <v>2.98</v>
      </c>
      <c r="H730" t="s">
        <v>10</v>
      </c>
    </row>
    <row r="731" spans="1:8" x14ac:dyDescent="0.25">
      <c r="A731">
        <v>730</v>
      </c>
      <c r="B731">
        <v>5.3</v>
      </c>
      <c r="C731">
        <v>0.2</v>
      </c>
      <c r="D731">
        <v>8.5</v>
      </c>
      <c r="E731">
        <v>2.7</v>
      </c>
      <c r="F731">
        <v>7.3</v>
      </c>
      <c r="G731">
        <v>2.62</v>
      </c>
      <c r="H731" t="s">
        <v>9</v>
      </c>
    </row>
    <row r="732" spans="1:8" x14ac:dyDescent="0.25">
      <c r="A732">
        <v>731</v>
      </c>
      <c r="B732">
        <v>6.1</v>
      </c>
      <c r="C732">
        <v>2.5</v>
      </c>
      <c r="D732">
        <v>6.3</v>
      </c>
      <c r="E732">
        <v>3.5</v>
      </c>
      <c r="F732">
        <v>5.6</v>
      </c>
      <c r="G732">
        <v>3.13</v>
      </c>
      <c r="H732" t="s">
        <v>8</v>
      </c>
    </row>
    <row r="733" spans="1:8" x14ac:dyDescent="0.25">
      <c r="A733">
        <v>732</v>
      </c>
      <c r="B733">
        <v>9.1</v>
      </c>
      <c r="C733">
        <v>1.9</v>
      </c>
      <c r="D733">
        <v>6.8</v>
      </c>
      <c r="E733">
        <v>2.2000000000000002</v>
      </c>
      <c r="F733">
        <v>4</v>
      </c>
      <c r="G733">
        <v>3.27</v>
      </c>
      <c r="H733" t="s">
        <v>10</v>
      </c>
    </row>
    <row r="734" spans="1:8" x14ac:dyDescent="0.25">
      <c r="A734">
        <v>733</v>
      </c>
      <c r="B734">
        <v>9</v>
      </c>
      <c r="C734">
        <v>1.3</v>
      </c>
      <c r="D734">
        <v>6</v>
      </c>
      <c r="E734">
        <v>0.5</v>
      </c>
      <c r="F734">
        <v>7.2</v>
      </c>
      <c r="G734">
        <v>3.05</v>
      </c>
      <c r="H734" t="s">
        <v>10</v>
      </c>
    </row>
    <row r="735" spans="1:8" x14ac:dyDescent="0.25">
      <c r="A735">
        <v>734</v>
      </c>
      <c r="B735">
        <v>9.1999999999999993</v>
      </c>
      <c r="C735">
        <v>0.9</v>
      </c>
      <c r="D735">
        <v>6.9</v>
      </c>
      <c r="E735">
        <v>4.9000000000000004</v>
      </c>
      <c r="F735">
        <v>2.1</v>
      </c>
      <c r="G735">
        <v>2.81</v>
      </c>
      <c r="H735" t="s">
        <v>10</v>
      </c>
    </row>
    <row r="736" spans="1:8" x14ac:dyDescent="0.25">
      <c r="A736">
        <v>735</v>
      </c>
      <c r="B736">
        <v>9.1</v>
      </c>
      <c r="C736">
        <v>1.5</v>
      </c>
      <c r="D736">
        <v>7.3</v>
      </c>
      <c r="E736">
        <v>1.8</v>
      </c>
      <c r="F736">
        <v>4.3</v>
      </c>
      <c r="G736">
        <v>3.4</v>
      </c>
      <c r="H736" t="s">
        <v>10</v>
      </c>
    </row>
    <row r="737" spans="1:8" x14ac:dyDescent="0.25">
      <c r="A737">
        <v>736</v>
      </c>
      <c r="B737">
        <v>7.7</v>
      </c>
      <c r="C737">
        <v>0.1</v>
      </c>
      <c r="D737">
        <v>7.4</v>
      </c>
      <c r="E737">
        <v>2.4</v>
      </c>
      <c r="F737">
        <v>6.4</v>
      </c>
      <c r="G737">
        <v>3.24</v>
      </c>
      <c r="H737" t="s">
        <v>8</v>
      </c>
    </row>
    <row r="738" spans="1:8" x14ac:dyDescent="0.25">
      <c r="A738">
        <v>737</v>
      </c>
      <c r="B738">
        <v>5.8</v>
      </c>
      <c r="C738">
        <v>2.6</v>
      </c>
      <c r="D738">
        <v>9.9</v>
      </c>
      <c r="E738">
        <v>3.2</v>
      </c>
      <c r="F738">
        <v>2.5</v>
      </c>
      <c r="G738">
        <v>2.8</v>
      </c>
      <c r="H738" t="s">
        <v>9</v>
      </c>
    </row>
    <row r="739" spans="1:8" x14ac:dyDescent="0.25">
      <c r="A739">
        <v>738</v>
      </c>
      <c r="B739">
        <v>7.1</v>
      </c>
      <c r="C739">
        <v>0.5</v>
      </c>
      <c r="D739">
        <v>8.1</v>
      </c>
      <c r="E739">
        <v>5.6</v>
      </c>
      <c r="F739">
        <v>2.7</v>
      </c>
      <c r="G739">
        <v>3.1</v>
      </c>
      <c r="H739" t="s">
        <v>8</v>
      </c>
    </row>
    <row r="740" spans="1:8" x14ac:dyDescent="0.25">
      <c r="A740">
        <v>739</v>
      </c>
      <c r="B740">
        <v>8.3000000000000007</v>
      </c>
      <c r="C740">
        <v>0.3</v>
      </c>
      <c r="D740">
        <v>6.8</v>
      </c>
      <c r="E740">
        <v>3.3</v>
      </c>
      <c r="F740">
        <v>5.3</v>
      </c>
      <c r="G740">
        <v>3.48</v>
      </c>
      <c r="H740" t="s">
        <v>10</v>
      </c>
    </row>
    <row r="741" spans="1:8" x14ac:dyDescent="0.25">
      <c r="A741">
        <v>740</v>
      </c>
      <c r="B741">
        <v>9.1</v>
      </c>
      <c r="C741">
        <v>2.4</v>
      </c>
      <c r="D741">
        <v>6.9</v>
      </c>
      <c r="E741">
        <v>1.4</v>
      </c>
      <c r="F741">
        <v>4.2</v>
      </c>
      <c r="G741">
        <v>3.3</v>
      </c>
      <c r="H741" t="s">
        <v>10</v>
      </c>
    </row>
    <row r="742" spans="1:8" x14ac:dyDescent="0.25">
      <c r="A742">
        <v>741</v>
      </c>
      <c r="B742">
        <v>5.5</v>
      </c>
      <c r="C742">
        <v>1.4</v>
      </c>
      <c r="D742">
        <v>7.1</v>
      </c>
      <c r="E742">
        <v>4.0999999999999996</v>
      </c>
      <c r="F742">
        <v>5.9</v>
      </c>
      <c r="G742">
        <v>2.71</v>
      </c>
      <c r="H742" t="s">
        <v>9</v>
      </c>
    </row>
    <row r="743" spans="1:8" x14ac:dyDescent="0.25">
      <c r="A743">
        <v>742</v>
      </c>
      <c r="B743">
        <v>7</v>
      </c>
      <c r="C743">
        <v>0.7</v>
      </c>
      <c r="D743">
        <v>5.8</v>
      </c>
      <c r="E743">
        <v>5</v>
      </c>
      <c r="F743">
        <v>5.5</v>
      </c>
      <c r="G743">
        <v>3.09</v>
      </c>
      <c r="H743" t="s">
        <v>10</v>
      </c>
    </row>
    <row r="744" spans="1:8" x14ac:dyDescent="0.25">
      <c r="A744">
        <v>743</v>
      </c>
      <c r="B744">
        <v>5.2</v>
      </c>
      <c r="C744">
        <v>1.7</v>
      </c>
      <c r="D744">
        <v>5.8</v>
      </c>
      <c r="E744">
        <v>5.3</v>
      </c>
      <c r="F744">
        <v>6</v>
      </c>
      <c r="G744">
        <v>2.48</v>
      </c>
      <c r="H744" t="s">
        <v>10</v>
      </c>
    </row>
    <row r="745" spans="1:8" x14ac:dyDescent="0.25">
      <c r="A745">
        <v>744</v>
      </c>
      <c r="B745">
        <v>7.5</v>
      </c>
      <c r="C745">
        <v>2.9</v>
      </c>
      <c r="D745">
        <v>9.8000000000000007</v>
      </c>
      <c r="E745">
        <v>0.8</v>
      </c>
      <c r="F745">
        <v>3</v>
      </c>
      <c r="G745">
        <v>3.19</v>
      </c>
      <c r="H745" t="s">
        <v>8</v>
      </c>
    </row>
    <row r="746" spans="1:8" x14ac:dyDescent="0.25">
      <c r="A746">
        <v>745</v>
      </c>
      <c r="B746">
        <v>9.4</v>
      </c>
      <c r="C746">
        <v>3.7</v>
      </c>
      <c r="D746">
        <v>9.6</v>
      </c>
      <c r="E746">
        <v>0.8</v>
      </c>
      <c r="F746">
        <v>0.5</v>
      </c>
      <c r="G746">
        <v>3.16</v>
      </c>
      <c r="H746" t="s">
        <v>10</v>
      </c>
    </row>
    <row r="747" spans="1:8" x14ac:dyDescent="0.25">
      <c r="A747">
        <v>746</v>
      </c>
      <c r="B747">
        <v>8.8000000000000007</v>
      </c>
      <c r="C747">
        <v>2.1</v>
      </c>
      <c r="D747">
        <v>8.4</v>
      </c>
      <c r="E747">
        <v>2</v>
      </c>
      <c r="F747">
        <v>2.7</v>
      </c>
      <c r="G747">
        <v>3.66</v>
      </c>
      <c r="H747" t="s">
        <v>10</v>
      </c>
    </row>
    <row r="748" spans="1:8" x14ac:dyDescent="0.25">
      <c r="A748">
        <v>747</v>
      </c>
      <c r="B748">
        <v>8.6999999999999993</v>
      </c>
      <c r="C748">
        <v>3.3</v>
      </c>
      <c r="D748">
        <v>5.7</v>
      </c>
      <c r="E748">
        <v>5</v>
      </c>
      <c r="F748">
        <v>1.3</v>
      </c>
      <c r="G748">
        <v>3.55</v>
      </c>
      <c r="H748" t="s">
        <v>10</v>
      </c>
    </row>
    <row r="749" spans="1:8" x14ac:dyDescent="0.25">
      <c r="A749">
        <v>748</v>
      </c>
      <c r="B749">
        <v>7.2</v>
      </c>
      <c r="C749">
        <v>1.5</v>
      </c>
      <c r="D749">
        <v>9.6</v>
      </c>
      <c r="E749">
        <v>1.4</v>
      </c>
      <c r="F749">
        <v>4.3</v>
      </c>
      <c r="G749">
        <v>3.11</v>
      </c>
      <c r="H749" t="s">
        <v>8</v>
      </c>
    </row>
    <row r="750" spans="1:8" x14ac:dyDescent="0.25">
      <c r="A750">
        <v>749</v>
      </c>
      <c r="B750">
        <v>9.1999999999999993</v>
      </c>
      <c r="C750">
        <v>1.9</v>
      </c>
      <c r="D750">
        <v>7.6</v>
      </c>
      <c r="E750">
        <v>1.6</v>
      </c>
      <c r="F750">
        <v>3.7</v>
      </c>
      <c r="G750">
        <v>3.02</v>
      </c>
      <c r="H750" t="s">
        <v>10</v>
      </c>
    </row>
    <row r="751" spans="1:8" x14ac:dyDescent="0.25">
      <c r="A751">
        <v>750</v>
      </c>
      <c r="B751">
        <v>5.2</v>
      </c>
      <c r="C751">
        <v>1.1000000000000001</v>
      </c>
      <c r="D751">
        <v>5</v>
      </c>
      <c r="E751">
        <v>5.9</v>
      </c>
      <c r="F751">
        <v>6.8</v>
      </c>
      <c r="G751">
        <v>2.93</v>
      </c>
      <c r="H751" t="s">
        <v>10</v>
      </c>
    </row>
    <row r="752" spans="1:8" x14ac:dyDescent="0.25">
      <c r="A752">
        <v>751</v>
      </c>
      <c r="B752">
        <v>9.8000000000000007</v>
      </c>
      <c r="C752">
        <v>1.6</v>
      </c>
      <c r="D752">
        <v>8.6</v>
      </c>
      <c r="E752">
        <v>1.4</v>
      </c>
      <c r="F752">
        <v>2.6</v>
      </c>
      <c r="G752">
        <v>3.68</v>
      </c>
      <c r="H752" t="s">
        <v>10</v>
      </c>
    </row>
    <row r="753" spans="1:8" x14ac:dyDescent="0.25">
      <c r="A753">
        <v>752</v>
      </c>
      <c r="B753">
        <v>9.6999999999999993</v>
      </c>
      <c r="C753">
        <v>1.6</v>
      </c>
      <c r="D753">
        <v>8.9</v>
      </c>
      <c r="E753">
        <v>1</v>
      </c>
      <c r="F753">
        <v>2.8</v>
      </c>
      <c r="G753">
        <v>3.57</v>
      </c>
      <c r="H753" t="s">
        <v>10</v>
      </c>
    </row>
    <row r="754" spans="1:8" x14ac:dyDescent="0.25">
      <c r="A754">
        <v>753</v>
      </c>
      <c r="B754">
        <v>10</v>
      </c>
      <c r="C754">
        <v>0.1</v>
      </c>
      <c r="D754">
        <v>8</v>
      </c>
      <c r="E754">
        <v>3.9</v>
      </c>
      <c r="F754">
        <v>2</v>
      </c>
      <c r="G754">
        <v>3.35</v>
      </c>
      <c r="H754" t="s">
        <v>10</v>
      </c>
    </row>
    <row r="755" spans="1:8" x14ac:dyDescent="0.25">
      <c r="A755">
        <v>754</v>
      </c>
      <c r="B755">
        <v>9.6999999999999993</v>
      </c>
      <c r="C755">
        <v>0.7</v>
      </c>
      <c r="D755">
        <v>8.1</v>
      </c>
      <c r="E755">
        <v>1.2</v>
      </c>
      <c r="F755">
        <v>4.3</v>
      </c>
      <c r="G755">
        <v>3.53</v>
      </c>
      <c r="H755" t="s">
        <v>10</v>
      </c>
    </row>
    <row r="756" spans="1:8" x14ac:dyDescent="0.25">
      <c r="A756">
        <v>755</v>
      </c>
      <c r="B756">
        <v>6.5</v>
      </c>
      <c r="C756">
        <v>2.2000000000000002</v>
      </c>
      <c r="D756">
        <v>7.1</v>
      </c>
      <c r="E756">
        <v>1</v>
      </c>
      <c r="F756">
        <v>7.2</v>
      </c>
      <c r="G756">
        <v>2.91</v>
      </c>
      <c r="H756" t="s">
        <v>8</v>
      </c>
    </row>
    <row r="757" spans="1:8" x14ac:dyDescent="0.25">
      <c r="A757">
        <v>756</v>
      </c>
      <c r="B757">
        <v>8.8000000000000007</v>
      </c>
      <c r="C757">
        <v>3.6</v>
      </c>
      <c r="D757">
        <v>5.4</v>
      </c>
      <c r="E757">
        <v>2.4</v>
      </c>
      <c r="F757">
        <v>3.8</v>
      </c>
      <c r="G757">
        <v>3.08</v>
      </c>
      <c r="H757" t="s">
        <v>10</v>
      </c>
    </row>
    <row r="758" spans="1:8" x14ac:dyDescent="0.25">
      <c r="A758">
        <v>757</v>
      </c>
      <c r="B758">
        <v>5.5</v>
      </c>
      <c r="C758">
        <v>0.1</v>
      </c>
      <c r="D758">
        <v>8.3000000000000007</v>
      </c>
      <c r="E758">
        <v>3.6</v>
      </c>
      <c r="F758">
        <v>6.5</v>
      </c>
      <c r="G758">
        <v>2.73</v>
      </c>
      <c r="H758" t="s">
        <v>9</v>
      </c>
    </row>
    <row r="759" spans="1:8" x14ac:dyDescent="0.25">
      <c r="A759">
        <v>758</v>
      </c>
      <c r="B759">
        <v>5.0999999999999996</v>
      </c>
      <c r="C759">
        <v>3.3</v>
      </c>
      <c r="D759">
        <v>9.9</v>
      </c>
      <c r="E759">
        <v>0.8</v>
      </c>
      <c r="F759">
        <v>4.9000000000000004</v>
      </c>
      <c r="G759">
        <v>2.64</v>
      </c>
      <c r="H759" t="s">
        <v>9</v>
      </c>
    </row>
    <row r="760" spans="1:8" x14ac:dyDescent="0.25">
      <c r="A760">
        <v>759</v>
      </c>
      <c r="B760">
        <v>6.2</v>
      </c>
      <c r="C760">
        <v>3.5</v>
      </c>
      <c r="D760">
        <v>9.6</v>
      </c>
      <c r="E760">
        <v>2</v>
      </c>
      <c r="F760">
        <v>2.7</v>
      </c>
      <c r="G760">
        <v>2.5499999999999998</v>
      </c>
      <c r="H760" t="s">
        <v>8</v>
      </c>
    </row>
    <row r="761" spans="1:8" x14ac:dyDescent="0.25">
      <c r="A761">
        <v>760</v>
      </c>
      <c r="B761">
        <v>5.0999999999999996</v>
      </c>
      <c r="C761">
        <v>2.2999999999999998</v>
      </c>
      <c r="D761">
        <v>5.0999999999999996</v>
      </c>
      <c r="E761">
        <v>4.7</v>
      </c>
      <c r="F761">
        <v>6.8</v>
      </c>
      <c r="G761">
        <v>3.03</v>
      </c>
      <c r="H761" t="s">
        <v>10</v>
      </c>
    </row>
    <row r="762" spans="1:8" x14ac:dyDescent="0.25">
      <c r="A762">
        <v>761</v>
      </c>
      <c r="B762">
        <v>6.5</v>
      </c>
      <c r="C762">
        <v>0.2</v>
      </c>
      <c r="D762">
        <v>7.9</v>
      </c>
      <c r="E762">
        <v>2.4</v>
      </c>
      <c r="F762">
        <v>7</v>
      </c>
      <c r="G762">
        <v>2.98</v>
      </c>
      <c r="H762" t="s">
        <v>8</v>
      </c>
    </row>
    <row r="763" spans="1:8" x14ac:dyDescent="0.25">
      <c r="A763">
        <v>762</v>
      </c>
      <c r="B763">
        <v>6.4</v>
      </c>
      <c r="C763">
        <v>2.8</v>
      </c>
      <c r="D763">
        <v>6.4</v>
      </c>
      <c r="E763">
        <v>5.4</v>
      </c>
      <c r="F763">
        <v>3</v>
      </c>
      <c r="G763">
        <v>3.05</v>
      </c>
      <c r="H763" t="s">
        <v>8</v>
      </c>
    </row>
    <row r="764" spans="1:8" x14ac:dyDescent="0.25">
      <c r="A764">
        <v>763</v>
      </c>
      <c r="B764">
        <v>6.9</v>
      </c>
      <c r="C764">
        <v>2.2000000000000002</v>
      </c>
      <c r="D764">
        <v>5.3</v>
      </c>
      <c r="E764">
        <v>2.6</v>
      </c>
      <c r="F764">
        <v>7</v>
      </c>
      <c r="G764">
        <v>3.12</v>
      </c>
      <c r="H764" t="s">
        <v>10</v>
      </c>
    </row>
    <row r="765" spans="1:8" x14ac:dyDescent="0.25">
      <c r="A765">
        <v>764</v>
      </c>
      <c r="B765">
        <v>6.1</v>
      </c>
      <c r="C765">
        <v>0.9</v>
      </c>
      <c r="D765">
        <v>9.1</v>
      </c>
      <c r="E765">
        <v>5.6</v>
      </c>
      <c r="F765">
        <v>2.2999999999999998</v>
      </c>
      <c r="G765">
        <v>3.01</v>
      </c>
      <c r="H765" t="s">
        <v>8</v>
      </c>
    </row>
    <row r="766" spans="1:8" x14ac:dyDescent="0.25">
      <c r="A766">
        <v>765</v>
      </c>
      <c r="B766">
        <v>5.5</v>
      </c>
      <c r="C766">
        <v>1.8</v>
      </c>
      <c r="D766">
        <v>6.7</v>
      </c>
      <c r="E766">
        <v>5.2</v>
      </c>
      <c r="F766">
        <v>4.8</v>
      </c>
      <c r="G766">
        <v>2.2400000000000002</v>
      </c>
      <c r="H766" t="s">
        <v>9</v>
      </c>
    </row>
    <row r="767" spans="1:8" x14ac:dyDescent="0.25">
      <c r="A767">
        <v>766</v>
      </c>
      <c r="B767">
        <v>6.7</v>
      </c>
      <c r="C767">
        <v>1.6</v>
      </c>
      <c r="D767">
        <v>7.6</v>
      </c>
      <c r="E767">
        <v>1</v>
      </c>
      <c r="F767">
        <v>7.1</v>
      </c>
      <c r="G767">
        <v>2.93</v>
      </c>
      <c r="H767" t="s">
        <v>8</v>
      </c>
    </row>
    <row r="768" spans="1:8" x14ac:dyDescent="0.25">
      <c r="A768">
        <v>767</v>
      </c>
      <c r="B768">
        <v>7.9</v>
      </c>
      <c r="C768">
        <v>3.2</v>
      </c>
      <c r="D768">
        <v>8.8000000000000007</v>
      </c>
      <c r="E768">
        <v>0.6</v>
      </c>
      <c r="F768">
        <v>3.5</v>
      </c>
      <c r="G768">
        <v>3.09</v>
      </c>
      <c r="H768" t="s">
        <v>8</v>
      </c>
    </row>
    <row r="769" spans="1:8" x14ac:dyDescent="0.25">
      <c r="A769">
        <v>768</v>
      </c>
      <c r="B769">
        <v>6.8</v>
      </c>
      <c r="C769">
        <v>1.6</v>
      </c>
      <c r="D769">
        <v>8.4</v>
      </c>
      <c r="E769">
        <v>0.3</v>
      </c>
      <c r="F769">
        <v>6.9</v>
      </c>
      <c r="G769">
        <v>2.88</v>
      </c>
      <c r="H769" t="s">
        <v>8</v>
      </c>
    </row>
    <row r="770" spans="1:8" x14ac:dyDescent="0.25">
      <c r="A770">
        <v>769</v>
      </c>
      <c r="B770">
        <v>5.2</v>
      </c>
      <c r="C770">
        <v>1.6</v>
      </c>
      <c r="D770">
        <v>8.5</v>
      </c>
      <c r="E770">
        <v>1.2</v>
      </c>
      <c r="F770">
        <v>7.5</v>
      </c>
      <c r="G770">
        <v>2.52</v>
      </c>
      <c r="H770" t="s">
        <v>9</v>
      </c>
    </row>
    <row r="771" spans="1:8" x14ac:dyDescent="0.25">
      <c r="A771">
        <v>770</v>
      </c>
      <c r="B771">
        <v>9.4</v>
      </c>
      <c r="C771">
        <v>3.6</v>
      </c>
      <c r="D771">
        <v>6.5</v>
      </c>
      <c r="E771">
        <v>1</v>
      </c>
      <c r="F771">
        <v>3.5</v>
      </c>
      <c r="G771">
        <v>3.57</v>
      </c>
      <c r="H771" t="s">
        <v>10</v>
      </c>
    </row>
    <row r="772" spans="1:8" x14ac:dyDescent="0.25">
      <c r="A772">
        <v>771</v>
      </c>
      <c r="B772">
        <v>7.1</v>
      </c>
      <c r="C772">
        <v>1</v>
      </c>
      <c r="D772">
        <v>8.4</v>
      </c>
      <c r="E772">
        <v>5</v>
      </c>
      <c r="F772">
        <v>2.5</v>
      </c>
      <c r="G772">
        <v>3.26</v>
      </c>
      <c r="H772" t="s">
        <v>8</v>
      </c>
    </row>
    <row r="773" spans="1:8" x14ac:dyDescent="0.25">
      <c r="A773">
        <v>772</v>
      </c>
      <c r="B773">
        <v>7</v>
      </c>
      <c r="C773">
        <v>0.6</v>
      </c>
      <c r="D773">
        <v>8.6999999999999993</v>
      </c>
      <c r="E773">
        <v>2.2000000000000002</v>
      </c>
      <c r="F773">
        <v>5.5</v>
      </c>
      <c r="G773">
        <v>3.15</v>
      </c>
      <c r="H773" t="s">
        <v>8</v>
      </c>
    </row>
    <row r="774" spans="1:8" x14ac:dyDescent="0.25">
      <c r="A774">
        <v>773</v>
      </c>
      <c r="B774">
        <v>8.4</v>
      </c>
      <c r="C774">
        <v>1.1000000000000001</v>
      </c>
      <c r="D774">
        <v>5.4</v>
      </c>
      <c r="E774">
        <v>6</v>
      </c>
      <c r="F774">
        <v>3.1</v>
      </c>
      <c r="G774">
        <v>3.44</v>
      </c>
      <c r="H774" t="s">
        <v>10</v>
      </c>
    </row>
    <row r="775" spans="1:8" x14ac:dyDescent="0.25">
      <c r="A775">
        <v>774</v>
      </c>
      <c r="B775">
        <v>9.3000000000000007</v>
      </c>
      <c r="C775">
        <v>1.2</v>
      </c>
      <c r="D775">
        <v>7.3</v>
      </c>
      <c r="E775">
        <v>3.7</v>
      </c>
      <c r="F775">
        <v>2.5</v>
      </c>
      <c r="G775">
        <v>3.76</v>
      </c>
      <c r="H775" t="s">
        <v>10</v>
      </c>
    </row>
    <row r="776" spans="1:8" x14ac:dyDescent="0.25">
      <c r="A776">
        <v>775</v>
      </c>
      <c r="B776">
        <v>7.1</v>
      </c>
      <c r="C776">
        <v>1.7</v>
      </c>
      <c r="D776">
        <v>6.7</v>
      </c>
      <c r="E776">
        <v>3.4</v>
      </c>
      <c r="F776">
        <v>5.0999999999999996</v>
      </c>
      <c r="G776">
        <v>2.99</v>
      </c>
      <c r="H776" t="s">
        <v>8</v>
      </c>
    </row>
    <row r="777" spans="1:8" x14ac:dyDescent="0.25">
      <c r="A777">
        <v>776</v>
      </c>
      <c r="B777">
        <v>9.6999999999999993</v>
      </c>
      <c r="C777">
        <v>2.8</v>
      </c>
      <c r="D777">
        <v>9.1</v>
      </c>
      <c r="E777">
        <v>1.3</v>
      </c>
      <c r="F777">
        <v>1.1000000000000001</v>
      </c>
      <c r="G777">
        <v>3.54</v>
      </c>
      <c r="H777" t="s">
        <v>10</v>
      </c>
    </row>
    <row r="778" spans="1:8" x14ac:dyDescent="0.25">
      <c r="A778">
        <v>777</v>
      </c>
      <c r="B778">
        <v>8.9</v>
      </c>
      <c r="C778">
        <v>0.1</v>
      </c>
      <c r="D778">
        <v>9.1</v>
      </c>
      <c r="E778">
        <v>0.2</v>
      </c>
      <c r="F778">
        <v>5.7</v>
      </c>
      <c r="G778">
        <v>3.14</v>
      </c>
      <c r="H778" t="s">
        <v>10</v>
      </c>
    </row>
    <row r="779" spans="1:8" x14ac:dyDescent="0.25">
      <c r="A779">
        <v>778</v>
      </c>
      <c r="B779">
        <v>8.8000000000000007</v>
      </c>
      <c r="C779">
        <v>1</v>
      </c>
      <c r="D779">
        <v>9.3000000000000007</v>
      </c>
      <c r="E779">
        <v>0.5</v>
      </c>
      <c r="F779">
        <v>4.4000000000000004</v>
      </c>
      <c r="G779">
        <v>3.18</v>
      </c>
      <c r="H779" t="s">
        <v>10</v>
      </c>
    </row>
    <row r="780" spans="1:8" x14ac:dyDescent="0.25">
      <c r="A780">
        <v>779</v>
      </c>
      <c r="B780">
        <v>5.6</v>
      </c>
      <c r="C780">
        <v>3.9</v>
      </c>
      <c r="D780">
        <v>8.4</v>
      </c>
      <c r="E780">
        <v>5.0999999999999996</v>
      </c>
      <c r="F780">
        <v>1</v>
      </c>
      <c r="G780">
        <v>3.08</v>
      </c>
      <c r="H780" t="s">
        <v>9</v>
      </c>
    </row>
    <row r="781" spans="1:8" x14ac:dyDescent="0.25">
      <c r="A781">
        <v>780</v>
      </c>
      <c r="B781">
        <v>8</v>
      </c>
      <c r="C781">
        <v>2.4</v>
      </c>
      <c r="D781">
        <v>8.4</v>
      </c>
      <c r="E781">
        <v>3</v>
      </c>
      <c r="F781">
        <v>2.2000000000000002</v>
      </c>
      <c r="G781">
        <v>2.96</v>
      </c>
      <c r="H781" t="s">
        <v>8</v>
      </c>
    </row>
    <row r="782" spans="1:8" x14ac:dyDescent="0.25">
      <c r="A782">
        <v>781</v>
      </c>
      <c r="B782">
        <v>7.1</v>
      </c>
      <c r="C782">
        <v>1.1000000000000001</v>
      </c>
      <c r="D782">
        <v>8.8000000000000007</v>
      </c>
      <c r="E782">
        <v>1.4</v>
      </c>
      <c r="F782">
        <v>5.6</v>
      </c>
      <c r="G782">
        <v>2.85</v>
      </c>
      <c r="H782" t="s">
        <v>8</v>
      </c>
    </row>
    <row r="783" spans="1:8" x14ac:dyDescent="0.25">
      <c r="A783">
        <v>782</v>
      </c>
      <c r="B783">
        <v>8.1</v>
      </c>
      <c r="C783">
        <v>3</v>
      </c>
      <c r="D783">
        <v>6.1</v>
      </c>
      <c r="E783">
        <v>0.4</v>
      </c>
      <c r="F783">
        <v>6.4</v>
      </c>
      <c r="G783">
        <v>3.37</v>
      </c>
      <c r="H783" t="s">
        <v>10</v>
      </c>
    </row>
    <row r="784" spans="1:8" x14ac:dyDescent="0.25">
      <c r="A784">
        <v>783</v>
      </c>
      <c r="B784">
        <v>5.7</v>
      </c>
      <c r="C784">
        <v>2.4</v>
      </c>
      <c r="D784">
        <v>9.1999999999999993</v>
      </c>
      <c r="E784">
        <v>0.3</v>
      </c>
      <c r="F784">
        <v>6.4</v>
      </c>
      <c r="G784">
        <v>2.69</v>
      </c>
      <c r="H784" t="s">
        <v>9</v>
      </c>
    </row>
    <row r="785" spans="1:8" x14ac:dyDescent="0.25">
      <c r="A785">
        <v>784</v>
      </c>
      <c r="B785">
        <v>7.4</v>
      </c>
      <c r="C785">
        <v>3.7</v>
      </c>
      <c r="D785">
        <v>6.7</v>
      </c>
      <c r="E785">
        <v>2.8</v>
      </c>
      <c r="F785">
        <v>3.4</v>
      </c>
      <c r="G785">
        <v>3.36</v>
      </c>
      <c r="H785" t="s">
        <v>8</v>
      </c>
    </row>
    <row r="786" spans="1:8" x14ac:dyDescent="0.25">
      <c r="A786">
        <v>785</v>
      </c>
      <c r="B786">
        <v>5.0999999999999996</v>
      </c>
      <c r="C786">
        <v>0.3</v>
      </c>
      <c r="D786">
        <v>6.3</v>
      </c>
      <c r="E786">
        <v>0.2</v>
      </c>
      <c r="F786">
        <v>12.1</v>
      </c>
      <c r="G786">
        <v>2.5499999999999998</v>
      </c>
      <c r="H786" t="s">
        <v>9</v>
      </c>
    </row>
    <row r="787" spans="1:8" x14ac:dyDescent="0.25">
      <c r="A787">
        <v>786</v>
      </c>
      <c r="B787">
        <v>7.7</v>
      </c>
      <c r="C787">
        <v>0.7</v>
      </c>
      <c r="D787">
        <v>6.5</v>
      </c>
      <c r="E787">
        <v>4</v>
      </c>
      <c r="F787">
        <v>5.0999999999999996</v>
      </c>
      <c r="G787">
        <v>3.54</v>
      </c>
      <c r="H787" t="s">
        <v>8</v>
      </c>
    </row>
    <row r="788" spans="1:8" x14ac:dyDescent="0.25">
      <c r="A788">
        <v>787</v>
      </c>
      <c r="B788">
        <v>9.8000000000000007</v>
      </c>
      <c r="C788">
        <v>0.2</v>
      </c>
      <c r="D788">
        <v>9.5</v>
      </c>
      <c r="E788">
        <v>2.6</v>
      </c>
      <c r="F788">
        <v>1.9</v>
      </c>
      <c r="G788">
        <v>3.47</v>
      </c>
      <c r="H788" t="s">
        <v>10</v>
      </c>
    </row>
    <row r="789" spans="1:8" x14ac:dyDescent="0.25">
      <c r="A789">
        <v>788</v>
      </c>
      <c r="B789">
        <v>5.3</v>
      </c>
      <c r="C789">
        <v>0.4</v>
      </c>
      <c r="D789">
        <v>8</v>
      </c>
      <c r="E789">
        <v>2</v>
      </c>
      <c r="F789">
        <v>8.3000000000000007</v>
      </c>
      <c r="G789">
        <v>3.37</v>
      </c>
      <c r="H789" t="s">
        <v>9</v>
      </c>
    </row>
    <row r="790" spans="1:8" x14ac:dyDescent="0.25">
      <c r="A790">
        <v>789</v>
      </c>
      <c r="B790">
        <v>9.6</v>
      </c>
      <c r="C790">
        <v>1.6</v>
      </c>
      <c r="D790">
        <v>5.7</v>
      </c>
      <c r="E790">
        <v>4.3</v>
      </c>
      <c r="F790">
        <v>2.8</v>
      </c>
      <c r="G790">
        <v>3.49</v>
      </c>
      <c r="H790" t="s">
        <v>10</v>
      </c>
    </row>
    <row r="791" spans="1:8" x14ac:dyDescent="0.25">
      <c r="A791">
        <v>790</v>
      </c>
      <c r="B791">
        <v>8.5</v>
      </c>
      <c r="C791">
        <v>3.6</v>
      </c>
      <c r="D791">
        <v>9</v>
      </c>
      <c r="E791">
        <v>2</v>
      </c>
      <c r="F791">
        <v>0.9</v>
      </c>
      <c r="G791">
        <v>2.9</v>
      </c>
      <c r="H791" t="s">
        <v>10</v>
      </c>
    </row>
    <row r="792" spans="1:8" x14ac:dyDescent="0.25">
      <c r="A792">
        <v>791</v>
      </c>
      <c r="B792">
        <v>8.4</v>
      </c>
      <c r="C792">
        <v>3.8</v>
      </c>
      <c r="D792">
        <v>6.5</v>
      </c>
      <c r="E792">
        <v>0</v>
      </c>
      <c r="F792">
        <v>5.3</v>
      </c>
      <c r="G792">
        <v>3.08</v>
      </c>
      <c r="H792" t="s">
        <v>10</v>
      </c>
    </row>
    <row r="793" spans="1:8" x14ac:dyDescent="0.25">
      <c r="A793">
        <v>792</v>
      </c>
      <c r="B793">
        <v>8.3000000000000007</v>
      </c>
      <c r="C793">
        <v>2.5</v>
      </c>
      <c r="D793">
        <v>8</v>
      </c>
      <c r="E793">
        <v>0.1</v>
      </c>
      <c r="F793">
        <v>5.0999999999999996</v>
      </c>
      <c r="G793">
        <v>3.1</v>
      </c>
      <c r="H793" t="s">
        <v>10</v>
      </c>
    </row>
    <row r="794" spans="1:8" x14ac:dyDescent="0.25">
      <c r="A794">
        <v>793</v>
      </c>
      <c r="B794">
        <v>8.6</v>
      </c>
      <c r="C794">
        <v>1.3</v>
      </c>
      <c r="D794">
        <v>8.3000000000000007</v>
      </c>
      <c r="E794">
        <v>3.2</v>
      </c>
      <c r="F794">
        <v>2.6</v>
      </c>
      <c r="G794">
        <v>3.11</v>
      </c>
      <c r="H794" t="s">
        <v>10</v>
      </c>
    </row>
    <row r="795" spans="1:8" x14ac:dyDescent="0.25">
      <c r="A795">
        <v>794</v>
      </c>
      <c r="B795">
        <v>5.5</v>
      </c>
      <c r="C795">
        <v>3.3</v>
      </c>
      <c r="D795">
        <v>9.6</v>
      </c>
      <c r="E795">
        <v>3.6</v>
      </c>
      <c r="F795">
        <v>2</v>
      </c>
      <c r="G795">
        <v>2.75</v>
      </c>
      <c r="H795" t="s">
        <v>9</v>
      </c>
    </row>
    <row r="796" spans="1:8" x14ac:dyDescent="0.25">
      <c r="A796">
        <v>795</v>
      </c>
      <c r="B796">
        <v>5.5</v>
      </c>
      <c r="C796">
        <v>1.6</v>
      </c>
      <c r="D796">
        <v>8.6</v>
      </c>
      <c r="E796">
        <v>4.7</v>
      </c>
      <c r="F796">
        <v>3.6</v>
      </c>
      <c r="G796">
        <v>2.64</v>
      </c>
      <c r="H796" t="s">
        <v>9</v>
      </c>
    </row>
    <row r="797" spans="1:8" x14ac:dyDescent="0.25">
      <c r="A797">
        <v>796</v>
      </c>
      <c r="B797">
        <v>6.3</v>
      </c>
      <c r="C797">
        <v>0.1</v>
      </c>
      <c r="D797">
        <v>7.7</v>
      </c>
      <c r="E797">
        <v>5.0999999999999996</v>
      </c>
      <c r="F797">
        <v>4.8</v>
      </c>
      <c r="G797">
        <v>3.22</v>
      </c>
      <c r="H797" t="s">
        <v>8</v>
      </c>
    </row>
    <row r="798" spans="1:8" x14ac:dyDescent="0.25">
      <c r="A798">
        <v>797</v>
      </c>
      <c r="B798">
        <v>9.8000000000000007</v>
      </c>
      <c r="C798">
        <v>2.2999999999999998</v>
      </c>
      <c r="D798">
        <v>7.6</v>
      </c>
      <c r="E798">
        <v>0.4</v>
      </c>
      <c r="F798">
        <v>3.9</v>
      </c>
      <c r="G798">
        <v>3.04</v>
      </c>
      <c r="H798" t="s">
        <v>10</v>
      </c>
    </row>
    <row r="799" spans="1:8" x14ac:dyDescent="0.25">
      <c r="A799">
        <v>798</v>
      </c>
      <c r="B799">
        <v>8</v>
      </c>
      <c r="C799">
        <v>1.6</v>
      </c>
      <c r="D799">
        <v>6.2</v>
      </c>
      <c r="E799">
        <v>0.6</v>
      </c>
      <c r="F799">
        <v>7.6</v>
      </c>
      <c r="G799">
        <v>3.38</v>
      </c>
      <c r="H799" t="s">
        <v>8</v>
      </c>
    </row>
    <row r="800" spans="1:8" x14ac:dyDescent="0.25">
      <c r="A800">
        <v>799</v>
      </c>
      <c r="B800">
        <v>6.6</v>
      </c>
      <c r="C800">
        <v>0.4</v>
      </c>
      <c r="D800">
        <v>5.9</v>
      </c>
      <c r="E800">
        <v>5.9</v>
      </c>
      <c r="F800">
        <v>5.2</v>
      </c>
      <c r="G800">
        <v>3.27</v>
      </c>
      <c r="H800" t="s">
        <v>10</v>
      </c>
    </row>
    <row r="801" spans="1:8" x14ac:dyDescent="0.25">
      <c r="A801">
        <v>800</v>
      </c>
      <c r="B801">
        <v>9.4</v>
      </c>
      <c r="C801">
        <v>4</v>
      </c>
      <c r="D801">
        <v>7.9</v>
      </c>
      <c r="E801">
        <v>2.2000000000000002</v>
      </c>
      <c r="F801">
        <v>0.5</v>
      </c>
      <c r="G801">
        <v>2.91</v>
      </c>
      <c r="H801" t="s">
        <v>10</v>
      </c>
    </row>
    <row r="802" spans="1:8" x14ac:dyDescent="0.25">
      <c r="A802">
        <v>801</v>
      </c>
      <c r="B802">
        <v>6.6</v>
      </c>
      <c r="C802">
        <v>1.2</v>
      </c>
      <c r="D802">
        <v>7</v>
      </c>
      <c r="E802">
        <v>4</v>
      </c>
      <c r="F802">
        <v>5.2</v>
      </c>
      <c r="G802">
        <v>2.76</v>
      </c>
      <c r="H802" t="s">
        <v>8</v>
      </c>
    </row>
    <row r="803" spans="1:8" x14ac:dyDescent="0.25">
      <c r="A803">
        <v>802</v>
      </c>
      <c r="B803">
        <v>5.7</v>
      </c>
      <c r="C803">
        <v>2.5</v>
      </c>
      <c r="D803">
        <v>5.6</v>
      </c>
      <c r="E803">
        <v>3.5</v>
      </c>
      <c r="F803">
        <v>6.7</v>
      </c>
      <c r="G803">
        <v>3.08</v>
      </c>
      <c r="H803" t="s">
        <v>10</v>
      </c>
    </row>
    <row r="804" spans="1:8" x14ac:dyDescent="0.25">
      <c r="A804">
        <v>803</v>
      </c>
      <c r="B804">
        <v>8.5</v>
      </c>
      <c r="C804">
        <v>2.8</v>
      </c>
      <c r="D804">
        <v>8.8000000000000007</v>
      </c>
      <c r="E804">
        <v>3.4</v>
      </c>
      <c r="F804">
        <v>0.5</v>
      </c>
      <c r="G804">
        <v>3.63</v>
      </c>
      <c r="H804" t="s">
        <v>10</v>
      </c>
    </row>
    <row r="805" spans="1:8" x14ac:dyDescent="0.25">
      <c r="A805">
        <v>804</v>
      </c>
      <c r="B805">
        <v>8.1</v>
      </c>
      <c r="C805">
        <v>0.7</v>
      </c>
      <c r="D805">
        <v>5.0999999999999996</v>
      </c>
      <c r="E805">
        <v>1.7</v>
      </c>
      <c r="F805">
        <v>8.4</v>
      </c>
      <c r="G805">
        <v>3.21</v>
      </c>
      <c r="H805" t="s">
        <v>10</v>
      </c>
    </row>
    <row r="806" spans="1:8" x14ac:dyDescent="0.25">
      <c r="A806">
        <v>805</v>
      </c>
      <c r="B806">
        <v>7.2</v>
      </c>
      <c r="C806">
        <v>2.5</v>
      </c>
      <c r="D806">
        <v>9.1999999999999993</v>
      </c>
      <c r="E806">
        <v>1</v>
      </c>
      <c r="F806">
        <v>4.0999999999999996</v>
      </c>
      <c r="G806">
        <v>3.07</v>
      </c>
      <c r="H806" t="s">
        <v>8</v>
      </c>
    </row>
    <row r="807" spans="1:8" x14ac:dyDescent="0.25">
      <c r="A807">
        <v>806</v>
      </c>
      <c r="B807">
        <v>7.9</v>
      </c>
      <c r="C807">
        <v>2.2000000000000002</v>
      </c>
      <c r="D807">
        <v>5.4</v>
      </c>
      <c r="E807">
        <v>0.3</v>
      </c>
      <c r="F807">
        <v>8.1999999999999993</v>
      </c>
      <c r="G807">
        <v>2.99</v>
      </c>
      <c r="H807" t="s">
        <v>10</v>
      </c>
    </row>
    <row r="808" spans="1:8" x14ac:dyDescent="0.25">
      <c r="A808">
        <v>807</v>
      </c>
      <c r="B808">
        <v>5.5</v>
      </c>
      <c r="C808">
        <v>2.2999999999999998</v>
      </c>
      <c r="D808">
        <v>7.7</v>
      </c>
      <c r="E808">
        <v>1.4</v>
      </c>
      <c r="F808">
        <v>7.1</v>
      </c>
      <c r="G808">
        <v>3.05</v>
      </c>
      <c r="H808" t="s">
        <v>9</v>
      </c>
    </row>
    <row r="809" spans="1:8" x14ac:dyDescent="0.25">
      <c r="A809">
        <v>808</v>
      </c>
      <c r="B809">
        <v>5.2</v>
      </c>
      <c r="C809">
        <v>2</v>
      </c>
      <c r="D809">
        <v>8.4</v>
      </c>
      <c r="E809">
        <v>1.5</v>
      </c>
      <c r="F809">
        <v>6.9</v>
      </c>
      <c r="G809">
        <v>2.88</v>
      </c>
      <c r="H809" t="s">
        <v>9</v>
      </c>
    </row>
    <row r="810" spans="1:8" x14ac:dyDescent="0.25">
      <c r="A810">
        <v>809</v>
      </c>
      <c r="B810">
        <v>6.5</v>
      </c>
      <c r="C810">
        <v>2.5</v>
      </c>
      <c r="D810">
        <v>9.5</v>
      </c>
      <c r="E810">
        <v>4.5</v>
      </c>
      <c r="F810">
        <v>1</v>
      </c>
      <c r="G810">
        <v>3.29</v>
      </c>
      <c r="H810" t="s">
        <v>8</v>
      </c>
    </row>
    <row r="811" spans="1:8" x14ac:dyDescent="0.25">
      <c r="A811">
        <v>810</v>
      </c>
      <c r="B811">
        <v>6.8</v>
      </c>
      <c r="C811">
        <v>2.6</v>
      </c>
      <c r="D811">
        <v>7.3</v>
      </c>
      <c r="E811">
        <v>1.1000000000000001</v>
      </c>
      <c r="F811">
        <v>6.2</v>
      </c>
      <c r="G811">
        <v>3.13</v>
      </c>
      <c r="H811" t="s">
        <v>8</v>
      </c>
    </row>
    <row r="812" spans="1:8" x14ac:dyDescent="0.25">
      <c r="A812">
        <v>811</v>
      </c>
      <c r="B812">
        <v>8.5</v>
      </c>
      <c r="C812">
        <v>2.2000000000000002</v>
      </c>
      <c r="D812">
        <v>6.8</v>
      </c>
      <c r="E812">
        <v>5.5</v>
      </c>
      <c r="F812">
        <v>1</v>
      </c>
      <c r="G812">
        <v>3.07</v>
      </c>
      <c r="H812" t="s">
        <v>10</v>
      </c>
    </row>
    <row r="813" spans="1:8" x14ac:dyDescent="0.25">
      <c r="A813">
        <v>812</v>
      </c>
      <c r="B813">
        <v>8.4</v>
      </c>
      <c r="C813">
        <v>1.6</v>
      </c>
      <c r="D813">
        <v>8.8000000000000007</v>
      </c>
      <c r="E813">
        <v>2.4</v>
      </c>
      <c r="F813">
        <v>2.8</v>
      </c>
      <c r="G813">
        <v>3.51</v>
      </c>
      <c r="H813" t="s">
        <v>10</v>
      </c>
    </row>
    <row r="814" spans="1:8" x14ac:dyDescent="0.25">
      <c r="A814">
        <v>813</v>
      </c>
      <c r="B814">
        <v>7.1</v>
      </c>
      <c r="C814">
        <v>3.7</v>
      </c>
      <c r="D814">
        <v>6.3</v>
      </c>
      <c r="E814">
        <v>0.7</v>
      </c>
      <c r="F814">
        <v>6.2</v>
      </c>
      <c r="G814">
        <v>3.15</v>
      </c>
      <c r="H814" t="s">
        <v>8</v>
      </c>
    </row>
    <row r="815" spans="1:8" x14ac:dyDescent="0.25">
      <c r="A815">
        <v>814</v>
      </c>
      <c r="B815">
        <v>6.9</v>
      </c>
      <c r="C815">
        <v>0.2</v>
      </c>
      <c r="D815">
        <v>6.7</v>
      </c>
      <c r="E815">
        <v>3</v>
      </c>
      <c r="F815">
        <v>7.2</v>
      </c>
      <c r="G815">
        <v>3.05</v>
      </c>
      <c r="H815" t="s">
        <v>8</v>
      </c>
    </row>
    <row r="816" spans="1:8" x14ac:dyDescent="0.25">
      <c r="A816">
        <v>815</v>
      </c>
      <c r="B816">
        <v>5.8</v>
      </c>
      <c r="C816">
        <v>2.6</v>
      </c>
      <c r="D816">
        <v>10</v>
      </c>
      <c r="E816">
        <v>2.5</v>
      </c>
      <c r="F816">
        <v>3.1</v>
      </c>
      <c r="G816">
        <v>2.64</v>
      </c>
      <c r="H816" t="s">
        <v>9</v>
      </c>
    </row>
    <row r="817" spans="1:8" x14ac:dyDescent="0.25">
      <c r="A817">
        <v>816</v>
      </c>
      <c r="B817">
        <v>5.6</v>
      </c>
      <c r="C817">
        <v>3.5</v>
      </c>
      <c r="D817">
        <v>7.1</v>
      </c>
      <c r="E817">
        <v>2.2999999999999998</v>
      </c>
      <c r="F817">
        <v>5.5</v>
      </c>
      <c r="G817">
        <v>2.5</v>
      </c>
      <c r="H817" t="s">
        <v>9</v>
      </c>
    </row>
    <row r="818" spans="1:8" x14ac:dyDescent="0.25">
      <c r="A818">
        <v>817</v>
      </c>
      <c r="B818">
        <v>8.3000000000000007</v>
      </c>
      <c r="C818">
        <v>1.8</v>
      </c>
      <c r="D818">
        <v>8.1999999999999993</v>
      </c>
      <c r="E818">
        <v>0.4</v>
      </c>
      <c r="F818">
        <v>5.3</v>
      </c>
      <c r="G818">
        <v>3.33</v>
      </c>
      <c r="H818" t="s">
        <v>10</v>
      </c>
    </row>
    <row r="819" spans="1:8" x14ac:dyDescent="0.25">
      <c r="A819">
        <v>818</v>
      </c>
      <c r="B819">
        <v>5.8</v>
      </c>
      <c r="C819">
        <v>1.9</v>
      </c>
      <c r="D819">
        <v>8</v>
      </c>
      <c r="E819">
        <v>3.5</v>
      </c>
      <c r="F819">
        <v>4.8</v>
      </c>
      <c r="G819">
        <v>2.9</v>
      </c>
      <c r="H819" t="s">
        <v>9</v>
      </c>
    </row>
    <row r="820" spans="1:8" x14ac:dyDescent="0.25">
      <c r="A820">
        <v>819</v>
      </c>
      <c r="B820">
        <v>7</v>
      </c>
      <c r="C820">
        <v>1.4</v>
      </c>
      <c r="D820">
        <v>5.6</v>
      </c>
      <c r="E820">
        <v>2.4</v>
      </c>
      <c r="F820">
        <v>7.6</v>
      </c>
      <c r="G820">
        <v>3.15</v>
      </c>
      <c r="H820" t="s">
        <v>10</v>
      </c>
    </row>
    <row r="821" spans="1:8" x14ac:dyDescent="0.25">
      <c r="A821">
        <v>820</v>
      </c>
      <c r="B821">
        <v>6</v>
      </c>
      <c r="C821">
        <v>0.2</v>
      </c>
      <c r="D821">
        <v>7.8</v>
      </c>
      <c r="E821">
        <v>3.6</v>
      </c>
      <c r="F821">
        <v>6.4</v>
      </c>
      <c r="G821">
        <v>2.75</v>
      </c>
      <c r="H821" t="s">
        <v>8</v>
      </c>
    </row>
    <row r="822" spans="1:8" x14ac:dyDescent="0.25">
      <c r="A822">
        <v>821</v>
      </c>
      <c r="B822">
        <v>9.4</v>
      </c>
      <c r="C822">
        <v>2.2999999999999998</v>
      </c>
      <c r="D822">
        <v>6.7</v>
      </c>
      <c r="E822">
        <v>4.5</v>
      </c>
      <c r="F822">
        <v>1.1000000000000001</v>
      </c>
      <c r="G822">
        <v>3.25</v>
      </c>
      <c r="H822" t="s">
        <v>10</v>
      </c>
    </row>
    <row r="823" spans="1:8" x14ac:dyDescent="0.25">
      <c r="A823">
        <v>822</v>
      </c>
      <c r="B823">
        <v>7.8</v>
      </c>
      <c r="C823">
        <v>3.6</v>
      </c>
      <c r="D823">
        <v>7</v>
      </c>
      <c r="E823">
        <v>1.7</v>
      </c>
      <c r="F823">
        <v>3.9</v>
      </c>
      <c r="G823">
        <v>3.19</v>
      </c>
      <c r="H823" t="s">
        <v>8</v>
      </c>
    </row>
    <row r="824" spans="1:8" x14ac:dyDescent="0.25">
      <c r="A824">
        <v>823</v>
      </c>
      <c r="B824">
        <v>5.7</v>
      </c>
      <c r="C824">
        <v>0.6</v>
      </c>
      <c r="D824">
        <v>7.2</v>
      </c>
      <c r="E824">
        <v>3.6</v>
      </c>
      <c r="F824">
        <v>6.9</v>
      </c>
      <c r="G824">
        <v>2.96</v>
      </c>
      <c r="H824" t="s">
        <v>9</v>
      </c>
    </row>
    <row r="825" spans="1:8" x14ac:dyDescent="0.25">
      <c r="A825">
        <v>824</v>
      </c>
      <c r="B825">
        <v>9.1</v>
      </c>
      <c r="C825">
        <v>0.3</v>
      </c>
      <c r="D825">
        <v>7.4</v>
      </c>
      <c r="E825">
        <v>3.8</v>
      </c>
      <c r="F825">
        <v>3.4</v>
      </c>
      <c r="G825">
        <v>3.66</v>
      </c>
      <c r="H825" t="s">
        <v>10</v>
      </c>
    </row>
    <row r="826" spans="1:8" x14ac:dyDescent="0.25">
      <c r="A826">
        <v>825</v>
      </c>
      <c r="B826">
        <v>9.1</v>
      </c>
      <c r="C826">
        <v>3.1</v>
      </c>
      <c r="D826">
        <v>6.4</v>
      </c>
      <c r="E826">
        <v>5.0999999999999996</v>
      </c>
      <c r="F826">
        <v>0.3</v>
      </c>
      <c r="G826">
        <v>3.45</v>
      </c>
      <c r="H826" t="s">
        <v>10</v>
      </c>
    </row>
    <row r="827" spans="1:8" x14ac:dyDescent="0.25">
      <c r="A827">
        <v>826</v>
      </c>
      <c r="B827">
        <v>7.9</v>
      </c>
      <c r="C827">
        <v>3.7</v>
      </c>
      <c r="D827">
        <v>8.4</v>
      </c>
      <c r="E827">
        <v>1.9</v>
      </c>
      <c r="F827">
        <v>2.1</v>
      </c>
      <c r="G827">
        <v>2.68</v>
      </c>
      <c r="H827" t="s">
        <v>8</v>
      </c>
    </row>
    <row r="828" spans="1:8" x14ac:dyDescent="0.25">
      <c r="A828">
        <v>827</v>
      </c>
      <c r="B828">
        <v>9</v>
      </c>
      <c r="C828">
        <v>3.8</v>
      </c>
      <c r="D828">
        <v>5.0999999999999996</v>
      </c>
      <c r="E828">
        <v>5.9</v>
      </c>
      <c r="F828">
        <v>0.2</v>
      </c>
      <c r="G828">
        <v>3.22</v>
      </c>
      <c r="H828" t="s">
        <v>10</v>
      </c>
    </row>
    <row r="829" spans="1:8" x14ac:dyDescent="0.25">
      <c r="A829">
        <v>828</v>
      </c>
      <c r="B829">
        <v>7.2</v>
      </c>
      <c r="C829">
        <v>2.6</v>
      </c>
      <c r="D829">
        <v>6.9</v>
      </c>
      <c r="E829">
        <v>0.3</v>
      </c>
      <c r="F829">
        <v>7</v>
      </c>
      <c r="G829">
        <v>3</v>
      </c>
      <c r="H829" t="s">
        <v>8</v>
      </c>
    </row>
    <row r="830" spans="1:8" x14ac:dyDescent="0.25">
      <c r="A830">
        <v>829</v>
      </c>
      <c r="B830">
        <v>8</v>
      </c>
      <c r="C830">
        <v>3.6</v>
      </c>
      <c r="D830">
        <v>6.9</v>
      </c>
      <c r="E830">
        <v>1.2</v>
      </c>
      <c r="F830">
        <v>4.3</v>
      </c>
      <c r="G830">
        <v>3.08</v>
      </c>
      <c r="H830" t="s">
        <v>8</v>
      </c>
    </row>
    <row r="831" spans="1:8" x14ac:dyDescent="0.25">
      <c r="A831">
        <v>830</v>
      </c>
      <c r="B831">
        <v>9.1</v>
      </c>
      <c r="C831">
        <v>3.3</v>
      </c>
      <c r="D831">
        <v>7.9</v>
      </c>
      <c r="E831">
        <v>1.3</v>
      </c>
      <c r="F831">
        <v>2.4</v>
      </c>
      <c r="G831">
        <v>3.35</v>
      </c>
      <c r="H831" t="s">
        <v>10</v>
      </c>
    </row>
    <row r="832" spans="1:8" x14ac:dyDescent="0.25">
      <c r="A832">
        <v>831</v>
      </c>
      <c r="B832">
        <v>9</v>
      </c>
      <c r="C832">
        <v>2.2000000000000002</v>
      </c>
      <c r="D832">
        <v>9.1</v>
      </c>
      <c r="E832">
        <v>2.2999999999999998</v>
      </c>
      <c r="F832">
        <v>1.4</v>
      </c>
      <c r="G832">
        <v>3.44</v>
      </c>
      <c r="H832" t="s">
        <v>10</v>
      </c>
    </row>
    <row r="833" spans="1:8" x14ac:dyDescent="0.25">
      <c r="A833">
        <v>832</v>
      </c>
      <c r="B833">
        <v>7.1</v>
      </c>
      <c r="C833">
        <v>3.8</v>
      </c>
      <c r="D833">
        <v>7.7</v>
      </c>
      <c r="E833">
        <v>3.3</v>
      </c>
      <c r="F833">
        <v>2.1</v>
      </c>
      <c r="G833">
        <v>3.33</v>
      </c>
      <c r="H833" t="s">
        <v>8</v>
      </c>
    </row>
    <row r="834" spans="1:8" x14ac:dyDescent="0.25">
      <c r="A834">
        <v>833</v>
      </c>
      <c r="B834">
        <v>6.1</v>
      </c>
      <c r="C834">
        <v>2.5</v>
      </c>
      <c r="D834">
        <v>7.9</v>
      </c>
      <c r="E834">
        <v>1.1000000000000001</v>
      </c>
      <c r="F834">
        <v>6.4</v>
      </c>
      <c r="G834">
        <v>2.94</v>
      </c>
      <c r="H834" t="s">
        <v>8</v>
      </c>
    </row>
    <row r="835" spans="1:8" x14ac:dyDescent="0.25">
      <c r="A835">
        <v>834</v>
      </c>
      <c r="B835">
        <v>8.8000000000000007</v>
      </c>
      <c r="C835">
        <v>2.1</v>
      </c>
      <c r="D835">
        <v>6.1</v>
      </c>
      <c r="E835">
        <v>4</v>
      </c>
      <c r="F835">
        <v>3</v>
      </c>
      <c r="G835">
        <v>3.2</v>
      </c>
      <c r="H835" t="s">
        <v>10</v>
      </c>
    </row>
    <row r="836" spans="1:8" x14ac:dyDescent="0.25">
      <c r="A836">
        <v>835</v>
      </c>
      <c r="B836">
        <v>5.4</v>
      </c>
      <c r="C836">
        <v>1.8</v>
      </c>
      <c r="D836">
        <v>5.8</v>
      </c>
      <c r="E836">
        <v>1.1000000000000001</v>
      </c>
      <c r="F836">
        <v>9.9</v>
      </c>
      <c r="G836">
        <v>2.71</v>
      </c>
      <c r="H836" t="s">
        <v>10</v>
      </c>
    </row>
    <row r="837" spans="1:8" x14ac:dyDescent="0.25">
      <c r="A837">
        <v>836</v>
      </c>
      <c r="B837">
        <v>5.3</v>
      </c>
      <c r="C837">
        <v>1.6</v>
      </c>
      <c r="D837">
        <v>7.6</v>
      </c>
      <c r="E837">
        <v>2.9</v>
      </c>
      <c r="F837">
        <v>6.6</v>
      </c>
      <c r="G837">
        <v>2.54</v>
      </c>
      <c r="H837" t="s">
        <v>9</v>
      </c>
    </row>
    <row r="838" spans="1:8" x14ac:dyDescent="0.25">
      <c r="A838">
        <v>837</v>
      </c>
      <c r="B838">
        <v>6.9</v>
      </c>
      <c r="C838">
        <v>3.4</v>
      </c>
      <c r="D838">
        <v>5.7</v>
      </c>
      <c r="E838">
        <v>3</v>
      </c>
      <c r="F838">
        <v>5</v>
      </c>
      <c r="G838">
        <v>3.37</v>
      </c>
      <c r="H838" t="s">
        <v>10</v>
      </c>
    </row>
    <row r="839" spans="1:8" x14ac:dyDescent="0.25">
      <c r="A839">
        <v>838</v>
      </c>
      <c r="B839">
        <v>9.4</v>
      </c>
      <c r="C839">
        <v>2.2000000000000002</v>
      </c>
      <c r="D839">
        <v>9.8000000000000007</v>
      </c>
      <c r="E839">
        <v>0.1</v>
      </c>
      <c r="F839">
        <v>2.5</v>
      </c>
      <c r="G839">
        <v>3.79</v>
      </c>
      <c r="H839" t="s">
        <v>10</v>
      </c>
    </row>
    <row r="840" spans="1:8" x14ac:dyDescent="0.25">
      <c r="A840">
        <v>839</v>
      </c>
      <c r="B840">
        <v>5.5</v>
      </c>
      <c r="C840">
        <v>0.2</v>
      </c>
      <c r="D840">
        <v>5.9</v>
      </c>
      <c r="E840">
        <v>3.2</v>
      </c>
      <c r="F840">
        <v>9.1999999999999993</v>
      </c>
      <c r="G840">
        <v>2.74</v>
      </c>
      <c r="H840" t="s">
        <v>10</v>
      </c>
    </row>
    <row r="841" spans="1:8" x14ac:dyDescent="0.25">
      <c r="A841">
        <v>840</v>
      </c>
      <c r="B841">
        <v>9.6999999999999993</v>
      </c>
      <c r="C841">
        <v>3.4</v>
      </c>
      <c r="D841">
        <v>6.5</v>
      </c>
      <c r="E841">
        <v>0.3</v>
      </c>
      <c r="F841">
        <v>4.0999999999999996</v>
      </c>
      <c r="G841">
        <v>3.48</v>
      </c>
      <c r="H841" t="s">
        <v>10</v>
      </c>
    </row>
    <row r="842" spans="1:8" x14ac:dyDescent="0.25">
      <c r="A842">
        <v>841</v>
      </c>
      <c r="B842">
        <v>5.8</v>
      </c>
      <c r="C842">
        <v>0.5</v>
      </c>
      <c r="D842">
        <v>5.6</v>
      </c>
      <c r="E842">
        <v>3.1</v>
      </c>
      <c r="F842">
        <v>9</v>
      </c>
      <c r="G842">
        <v>2.73</v>
      </c>
      <c r="H842" t="s">
        <v>10</v>
      </c>
    </row>
    <row r="843" spans="1:8" x14ac:dyDescent="0.25">
      <c r="A843">
        <v>842</v>
      </c>
      <c r="B843">
        <v>9.9</v>
      </c>
      <c r="C843">
        <v>2.7</v>
      </c>
      <c r="D843">
        <v>9.6999999999999993</v>
      </c>
      <c r="E843">
        <v>0.2</v>
      </c>
      <c r="F843">
        <v>1.5</v>
      </c>
      <c r="G843">
        <v>3.23</v>
      </c>
      <c r="H843" t="s">
        <v>10</v>
      </c>
    </row>
    <row r="844" spans="1:8" x14ac:dyDescent="0.25">
      <c r="A844">
        <v>843</v>
      </c>
      <c r="B844">
        <v>6.9</v>
      </c>
      <c r="C844">
        <v>2.2000000000000002</v>
      </c>
      <c r="D844">
        <v>5.4</v>
      </c>
      <c r="E844">
        <v>0</v>
      </c>
      <c r="F844">
        <v>9.5</v>
      </c>
      <c r="G844">
        <v>3.27</v>
      </c>
      <c r="H844" t="s">
        <v>10</v>
      </c>
    </row>
    <row r="845" spans="1:8" x14ac:dyDescent="0.25">
      <c r="A845">
        <v>844</v>
      </c>
      <c r="B845">
        <v>7.1</v>
      </c>
      <c r="C845">
        <v>2</v>
      </c>
      <c r="D845">
        <v>7.1</v>
      </c>
      <c r="E845">
        <v>0.1</v>
      </c>
      <c r="F845">
        <v>7.7</v>
      </c>
      <c r="G845">
        <v>3.34</v>
      </c>
      <c r="H845" t="s">
        <v>8</v>
      </c>
    </row>
    <row r="846" spans="1:8" x14ac:dyDescent="0.25">
      <c r="A846">
        <v>845</v>
      </c>
      <c r="B846">
        <v>6.7</v>
      </c>
      <c r="C846">
        <v>0.7</v>
      </c>
      <c r="D846">
        <v>5.5</v>
      </c>
      <c r="E846">
        <v>5.7</v>
      </c>
      <c r="F846">
        <v>5.4</v>
      </c>
      <c r="G846">
        <v>3.31</v>
      </c>
      <c r="H846" t="s">
        <v>10</v>
      </c>
    </row>
    <row r="847" spans="1:8" x14ac:dyDescent="0.25">
      <c r="A847">
        <v>846</v>
      </c>
      <c r="B847">
        <v>6.6</v>
      </c>
      <c r="C847">
        <v>1.6</v>
      </c>
      <c r="D847">
        <v>6.2</v>
      </c>
      <c r="E847">
        <v>0.6</v>
      </c>
      <c r="F847">
        <v>9</v>
      </c>
      <c r="G847">
        <v>3.12</v>
      </c>
      <c r="H847" t="s">
        <v>8</v>
      </c>
    </row>
    <row r="848" spans="1:8" x14ac:dyDescent="0.25">
      <c r="A848">
        <v>847</v>
      </c>
      <c r="B848">
        <v>5.9</v>
      </c>
      <c r="C848">
        <v>3.2</v>
      </c>
      <c r="D848">
        <v>8.4</v>
      </c>
      <c r="E848">
        <v>3.3</v>
      </c>
      <c r="F848">
        <v>3.2</v>
      </c>
      <c r="G848">
        <v>3.05</v>
      </c>
      <c r="H848" t="s">
        <v>9</v>
      </c>
    </row>
    <row r="849" spans="1:8" x14ac:dyDescent="0.25">
      <c r="A849">
        <v>848</v>
      </c>
      <c r="B849">
        <v>5.4</v>
      </c>
      <c r="C849">
        <v>1.1000000000000001</v>
      </c>
      <c r="D849">
        <v>6.7</v>
      </c>
      <c r="E849">
        <v>4.7</v>
      </c>
      <c r="F849">
        <v>6.1</v>
      </c>
      <c r="G849">
        <v>2.8</v>
      </c>
      <c r="H849" t="s">
        <v>9</v>
      </c>
    </row>
    <row r="850" spans="1:8" x14ac:dyDescent="0.25">
      <c r="A850">
        <v>849</v>
      </c>
      <c r="B850">
        <v>10</v>
      </c>
      <c r="C850">
        <v>1</v>
      </c>
      <c r="D850">
        <v>9.4</v>
      </c>
      <c r="E850">
        <v>3</v>
      </c>
      <c r="F850">
        <v>0.6</v>
      </c>
      <c r="G850">
        <v>3.4</v>
      </c>
      <c r="H850" t="s">
        <v>10</v>
      </c>
    </row>
    <row r="851" spans="1:8" x14ac:dyDescent="0.25">
      <c r="A851">
        <v>850</v>
      </c>
      <c r="B851">
        <v>7</v>
      </c>
      <c r="C851">
        <v>3.9</v>
      </c>
      <c r="D851">
        <v>5.9</v>
      </c>
      <c r="E851">
        <v>4.8</v>
      </c>
      <c r="F851">
        <v>2.4</v>
      </c>
      <c r="G851">
        <v>2.78</v>
      </c>
      <c r="H851" t="s">
        <v>10</v>
      </c>
    </row>
    <row r="852" spans="1:8" x14ac:dyDescent="0.25">
      <c r="A852">
        <v>851</v>
      </c>
      <c r="B852">
        <v>6.7</v>
      </c>
      <c r="C852">
        <v>2.9</v>
      </c>
      <c r="D852">
        <v>7.1</v>
      </c>
      <c r="E852">
        <v>3.5</v>
      </c>
      <c r="F852">
        <v>3.8</v>
      </c>
      <c r="G852">
        <v>3.09</v>
      </c>
      <c r="H852" t="s">
        <v>8</v>
      </c>
    </row>
    <row r="853" spans="1:8" x14ac:dyDescent="0.25">
      <c r="A853">
        <v>852</v>
      </c>
      <c r="B853">
        <v>9.3000000000000007</v>
      </c>
      <c r="C853">
        <v>0.2</v>
      </c>
      <c r="D853">
        <v>8.5</v>
      </c>
      <c r="E853">
        <v>0.8</v>
      </c>
      <c r="F853">
        <v>5.2</v>
      </c>
      <c r="G853">
        <v>3.49</v>
      </c>
      <c r="H853" t="s">
        <v>10</v>
      </c>
    </row>
    <row r="854" spans="1:8" x14ac:dyDescent="0.25">
      <c r="A854">
        <v>853</v>
      </c>
      <c r="B854">
        <v>7.1</v>
      </c>
      <c r="C854">
        <v>2.2000000000000002</v>
      </c>
      <c r="D854">
        <v>7</v>
      </c>
      <c r="E854">
        <v>3.1</v>
      </c>
      <c r="F854">
        <v>4.5999999999999996</v>
      </c>
      <c r="G854">
        <v>2.87</v>
      </c>
      <c r="H854" t="s">
        <v>8</v>
      </c>
    </row>
    <row r="855" spans="1:8" x14ac:dyDescent="0.25">
      <c r="A855">
        <v>854</v>
      </c>
      <c r="B855">
        <v>5.7</v>
      </c>
      <c r="C855">
        <v>0.6</v>
      </c>
      <c r="D855">
        <v>9.6999999999999993</v>
      </c>
      <c r="E855">
        <v>5.3</v>
      </c>
      <c r="F855">
        <v>2.7</v>
      </c>
      <c r="G855">
        <v>3.18</v>
      </c>
      <c r="H855" t="s">
        <v>9</v>
      </c>
    </row>
    <row r="856" spans="1:8" x14ac:dyDescent="0.25">
      <c r="A856">
        <v>855</v>
      </c>
      <c r="B856">
        <v>9.5</v>
      </c>
      <c r="C856">
        <v>4</v>
      </c>
      <c r="D856">
        <v>6</v>
      </c>
      <c r="E856">
        <v>1.6</v>
      </c>
      <c r="F856">
        <v>2.9</v>
      </c>
      <c r="G856">
        <v>3.39</v>
      </c>
      <c r="H856" t="s">
        <v>10</v>
      </c>
    </row>
    <row r="857" spans="1:8" x14ac:dyDescent="0.25">
      <c r="A857">
        <v>856</v>
      </c>
      <c r="B857">
        <v>7.1</v>
      </c>
      <c r="C857">
        <v>1.4</v>
      </c>
      <c r="D857">
        <v>8</v>
      </c>
      <c r="E857">
        <v>3.5</v>
      </c>
      <c r="F857">
        <v>4</v>
      </c>
      <c r="G857">
        <v>3.48</v>
      </c>
      <c r="H857" t="s">
        <v>8</v>
      </c>
    </row>
    <row r="858" spans="1:8" x14ac:dyDescent="0.25">
      <c r="A858">
        <v>857</v>
      </c>
      <c r="B858">
        <v>5.8</v>
      </c>
      <c r="C858">
        <v>1.9</v>
      </c>
      <c r="D858">
        <v>7.8</v>
      </c>
      <c r="E858">
        <v>3.4</v>
      </c>
      <c r="F858">
        <v>5.0999999999999996</v>
      </c>
      <c r="G858">
        <v>3.01</v>
      </c>
      <c r="H858" t="s">
        <v>9</v>
      </c>
    </row>
    <row r="859" spans="1:8" x14ac:dyDescent="0.25">
      <c r="A859">
        <v>858</v>
      </c>
      <c r="B859">
        <v>5.0999999999999996</v>
      </c>
      <c r="C859">
        <v>1.4</v>
      </c>
      <c r="D859">
        <v>8.9</v>
      </c>
      <c r="E859">
        <v>3.4</v>
      </c>
      <c r="F859">
        <v>5.2</v>
      </c>
      <c r="G859">
        <v>2.6</v>
      </c>
      <c r="H859" t="s">
        <v>9</v>
      </c>
    </row>
    <row r="860" spans="1:8" x14ac:dyDescent="0.25">
      <c r="A860">
        <v>859</v>
      </c>
      <c r="B860">
        <v>6.3</v>
      </c>
      <c r="C860">
        <v>2.8</v>
      </c>
      <c r="D860">
        <v>7.8</v>
      </c>
      <c r="E860">
        <v>4.8</v>
      </c>
      <c r="F860">
        <v>2.2999999999999998</v>
      </c>
      <c r="G860">
        <v>3.08</v>
      </c>
      <c r="H860" t="s">
        <v>8</v>
      </c>
    </row>
    <row r="861" spans="1:8" x14ac:dyDescent="0.25">
      <c r="A861">
        <v>860</v>
      </c>
      <c r="B861">
        <v>7.4</v>
      </c>
      <c r="C861">
        <v>0.5</v>
      </c>
      <c r="D861">
        <v>6.3</v>
      </c>
      <c r="E861">
        <v>2.5</v>
      </c>
      <c r="F861">
        <v>7.3</v>
      </c>
      <c r="G861">
        <v>3.4</v>
      </c>
      <c r="H861" t="s">
        <v>8</v>
      </c>
    </row>
    <row r="862" spans="1:8" x14ac:dyDescent="0.25">
      <c r="A862">
        <v>861</v>
      </c>
      <c r="B862">
        <v>8</v>
      </c>
      <c r="C862">
        <v>2.1</v>
      </c>
      <c r="D862">
        <v>6.4</v>
      </c>
      <c r="E862">
        <v>0</v>
      </c>
      <c r="F862">
        <v>7.5</v>
      </c>
      <c r="G862">
        <v>2.83</v>
      </c>
      <c r="H862" t="s">
        <v>8</v>
      </c>
    </row>
    <row r="863" spans="1:8" x14ac:dyDescent="0.25">
      <c r="A863">
        <v>862</v>
      </c>
      <c r="B863">
        <v>8.6999999999999993</v>
      </c>
      <c r="C863">
        <v>0.1</v>
      </c>
      <c r="D863">
        <v>7.9</v>
      </c>
      <c r="E863">
        <v>5.6</v>
      </c>
      <c r="F863">
        <v>1.7</v>
      </c>
      <c r="G863">
        <v>3.3</v>
      </c>
      <c r="H863" t="s">
        <v>10</v>
      </c>
    </row>
    <row r="864" spans="1:8" x14ac:dyDescent="0.25">
      <c r="A864">
        <v>863</v>
      </c>
      <c r="B864">
        <v>5.9</v>
      </c>
      <c r="C864">
        <v>1.9</v>
      </c>
      <c r="D864">
        <v>5.5</v>
      </c>
      <c r="E864">
        <v>3.8</v>
      </c>
      <c r="F864">
        <v>6.9</v>
      </c>
      <c r="G864">
        <v>2.4500000000000002</v>
      </c>
      <c r="H864" t="s">
        <v>10</v>
      </c>
    </row>
    <row r="865" spans="1:8" x14ac:dyDescent="0.25">
      <c r="A865">
        <v>864</v>
      </c>
      <c r="B865">
        <v>7.6</v>
      </c>
      <c r="C865">
        <v>3.6</v>
      </c>
      <c r="D865">
        <v>6</v>
      </c>
      <c r="E865">
        <v>0.1</v>
      </c>
      <c r="F865">
        <v>6.7</v>
      </c>
      <c r="G865">
        <v>3.38</v>
      </c>
      <c r="H865" t="s">
        <v>8</v>
      </c>
    </row>
    <row r="866" spans="1:8" x14ac:dyDescent="0.25">
      <c r="A866">
        <v>865</v>
      </c>
      <c r="B866">
        <v>9.3000000000000007</v>
      </c>
      <c r="C866">
        <v>2.2999999999999998</v>
      </c>
      <c r="D866">
        <v>9.5</v>
      </c>
      <c r="E866">
        <v>1.7</v>
      </c>
      <c r="F866">
        <v>1.2</v>
      </c>
      <c r="G866">
        <v>3.34</v>
      </c>
      <c r="H866" t="s">
        <v>10</v>
      </c>
    </row>
    <row r="867" spans="1:8" x14ac:dyDescent="0.25">
      <c r="A867">
        <v>866</v>
      </c>
      <c r="B867">
        <v>8.6999999999999993</v>
      </c>
      <c r="C867">
        <v>3.7</v>
      </c>
      <c r="D867">
        <v>7.9</v>
      </c>
      <c r="E867">
        <v>0.7</v>
      </c>
      <c r="F867">
        <v>3</v>
      </c>
      <c r="G867">
        <v>3.57</v>
      </c>
      <c r="H867" t="s">
        <v>10</v>
      </c>
    </row>
    <row r="868" spans="1:8" x14ac:dyDescent="0.25">
      <c r="A868">
        <v>867</v>
      </c>
      <c r="B868">
        <v>6.3</v>
      </c>
      <c r="C868">
        <v>0.8</v>
      </c>
      <c r="D868">
        <v>6.2</v>
      </c>
      <c r="E868">
        <v>1.8</v>
      </c>
      <c r="F868">
        <v>8.9</v>
      </c>
      <c r="G868">
        <v>3.37</v>
      </c>
      <c r="H868" t="s">
        <v>8</v>
      </c>
    </row>
    <row r="869" spans="1:8" x14ac:dyDescent="0.25">
      <c r="A869">
        <v>868</v>
      </c>
      <c r="B869">
        <v>7.1</v>
      </c>
      <c r="C869">
        <v>2.5</v>
      </c>
      <c r="D869">
        <v>5.4</v>
      </c>
      <c r="E869">
        <v>0.5</v>
      </c>
      <c r="F869">
        <v>8.5</v>
      </c>
      <c r="G869">
        <v>3.33</v>
      </c>
      <c r="H869" t="s">
        <v>10</v>
      </c>
    </row>
    <row r="870" spans="1:8" x14ac:dyDescent="0.25">
      <c r="A870">
        <v>869</v>
      </c>
      <c r="B870">
        <v>5.9</v>
      </c>
      <c r="C870">
        <v>2.1</v>
      </c>
      <c r="D870">
        <v>6.1</v>
      </c>
      <c r="E870">
        <v>1.7</v>
      </c>
      <c r="F870">
        <v>8.1999999999999993</v>
      </c>
      <c r="G870">
        <v>3.13</v>
      </c>
      <c r="H870" t="s">
        <v>9</v>
      </c>
    </row>
    <row r="871" spans="1:8" x14ac:dyDescent="0.25">
      <c r="A871">
        <v>870</v>
      </c>
      <c r="B871">
        <v>5.0999999999999996</v>
      </c>
      <c r="C871">
        <v>2.6</v>
      </c>
      <c r="D871">
        <v>8.3000000000000007</v>
      </c>
      <c r="E871">
        <v>4.8</v>
      </c>
      <c r="F871">
        <v>3.2</v>
      </c>
      <c r="G871">
        <v>2.69</v>
      </c>
      <c r="H871" t="s">
        <v>9</v>
      </c>
    </row>
    <row r="872" spans="1:8" x14ac:dyDescent="0.25">
      <c r="A872">
        <v>871</v>
      </c>
      <c r="B872">
        <v>9.6999999999999993</v>
      </c>
      <c r="C872">
        <v>0.1</v>
      </c>
      <c r="D872">
        <v>5.8</v>
      </c>
      <c r="E872">
        <v>5.3</v>
      </c>
      <c r="F872">
        <v>3.1</v>
      </c>
      <c r="G872">
        <v>3.92</v>
      </c>
      <c r="H872" t="s">
        <v>10</v>
      </c>
    </row>
    <row r="873" spans="1:8" x14ac:dyDescent="0.25">
      <c r="A873">
        <v>872</v>
      </c>
      <c r="B873">
        <v>8.3000000000000007</v>
      </c>
      <c r="C873">
        <v>2.7</v>
      </c>
      <c r="D873">
        <v>9.6999999999999993</v>
      </c>
      <c r="E873">
        <v>3.3</v>
      </c>
      <c r="F873">
        <v>0</v>
      </c>
      <c r="G873">
        <v>2.95</v>
      </c>
      <c r="H873" t="s">
        <v>10</v>
      </c>
    </row>
    <row r="874" spans="1:8" x14ac:dyDescent="0.25">
      <c r="A874">
        <v>873</v>
      </c>
      <c r="B874">
        <v>8.6</v>
      </c>
      <c r="C874">
        <v>1.1000000000000001</v>
      </c>
      <c r="D874">
        <v>9.4</v>
      </c>
      <c r="E874">
        <v>0.2</v>
      </c>
      <c r="F874">
        <v>4.7</v>
      </c>
      <c r="G874">
        <v>3.36</v>
      </c>
      <c r="H874" t="s">
        <v>10</v>
      </c>
    </row>
    <row r="875" spans="1:8" x14ac:dyDescent="0.25">
      <c r="A875">
        <v>874</v>
      </c>
      <c r="B875">
        <v>6.3</v>
      </c>
      <c r="C875">
        <v>0.9</v>
      </c>
      <c r="D875">
        <v>5.7</v>
      </c>
      <c r="E875">
        <v>5.2</v>
      </c>
      <c r="F875">
        <v>5.9</v>
      </c>
      <c r="G875">
        <v>2.9</v>
      </c>
      <c r="H875" t="s">
        <v>10</v>
      </c>
    </row>
    <row r="876" spans="1:8" x14ac:dyDescent="0.25">
      <c r="A876">
        <v>875</v>
      </c>
      <c r="B876">
        <v>7.5</v>
      </c>
      <c r="C876">
        <v>2.7</v>
      </c>
      <c r="D876">
        <v>6.2</v>
      </c>
      <c r="E876">
        <v>4.5</v>
      </c>
      <c r="F876">
        <v>3.1</v>
      </c>
      <c r="G876">
        <v>2.97</v>
      </c>
      <c r="H876" t="s">
        <v>8</v>
      </c>
    </row>
    <row r="877" spans="1:8" x14ac:dyDescent="0.25">
      <c r="A877">
        <v>876</v>
      </c>
      <c r="B877">
        <v>7.1</v>
      </c>
      <c r="C877">
        <v>0.8</v>
      </c>
      <c r="D877">
        <v>9.9</v>
      </c>
      <c r="E877">
        <v>3.9</v>
      </c>
      <c r="F877">
        <v>2.2999999999999998</v>
      </c>
      <c r="G877">
        <v>3.28</v>
      </c>
      <c r="H877" t="s">
        <v>8</v>
      </c>
    </row>
    <row r="878" spans="1:8" x14ac:dyDescent="0.25">
      <c r="A878">
        <v>877</v>
      </c>
      <c r="B878">
        <v>9.6999999999999993</v>
      </c>
      <c r="C878">
        <v>1.2</v>
      </c>
      <c r="D878">
        <v>8.9</v>
      </c>
      <c r="E878">
        <v>3.2</v>
      </c>
      <c r="F878">
        <v>1</v>
      </c>
      <c r="G878">
        <v>3.26</v>
      </c>
      <c r="H878" t="s">
        <v>10</v>
      </c>
    </row>
    <row r="879" spans="1:8" x14ac:dyDescent="0.25">
      <c r="A879">
        <v>878</v>
      </c>
      <c r="B879">
        <v>8.4</v>
      </c>
      <c r="C879">
        <v>2.9</v>
      </c>
      <c r="D879">
        <v>7.9</v>
      </c>
      <c r="E879">
        <v>1</v>
      </c>
      <c r="F879">
        <v>3.8</v>
      </c>
      <c r="G879">
        <v>3.2</v>
      </c>
      <c r="H879" t="s">
        <v>10</v>
      </c>
    </row>
    <row r="880" spans="1:8" x14ac:dyDescent="0.25">
      <c r="A880">
        <v>879</v>
      </c>
      <c r="B880">
        <v>7.5</v>
      </c>
      <c r="C880">
        <v>1.2</v>
      </c>
      <c r="D880">
        <v>7.1</v>
      </c>
      <c r="E880">
        <v>3.9</v>
      </c>
      <c r="F880">
        <v>4.3</v>
      </c>
      <c r="G880">
        <v>2.96</v>
      </c>
      <c r="H880" t="s">
        <v>8</v>
      </c>
    </row>
    <row r="881" spans="1:8" x14ac:dyDescent="0.25">
      <c r="A881">
        <v>880</v>
      </c>
      <c r="B881">
        <v>7</v>
      </c>
      <c r="C881">
        <v>1.1000000000000001</v>
      </c>
      <c r="D881">
        <v>6</v>
      </c>
      <c r="E881">
        <v>4.7</v>
      </c>
      <c r="F881">
        <v>5.2</v>
      </c>
      <c r="G881">
        <v>3.2</v>
      </c>
      <c r="H881" t="s">
        <v>8</v>
      </c>
    </row>
    <row r="882" spans="1:8" x14ac:dyDescent="0.25">
      <c r="A882">
        <v>881</v>
      </c>
      <c r="B882">
        <v>9.5</v>
      </c>
      <c r="C882">
        <v>1.5</v>
      </c>
      <c r="D882">
        <v>8.8000000000000007</v>
      </c>
      <c r="E882">
        <v>3.8</v>
      </c>
      <c r="F882">
        <v>0.4</v>
      </c>
      <c r="G882">
        <v>3.36</v>
      </c>
      <c r="H882" t="s">
        <v>10</v>
      </c>
    </row>
    <row r="883" spans="1:8" x14ac:dyDescent="0.25">
      <c r="A883">
        <v>882</v>
      </c>
      <c r="B883">
        <v>9.8000000000000007</v>
      </c>
      <c r="C883">
        <v>1.5</v>
      </c>
      <c r="D883">
        <v>6.7</v>
      </c>
      <c r="E883">
        <v>0.4</v>
      </c>
      <c r="F883">
        <v>5.6</v>
      </c>
      <c r="G883">
        <v>3.54</v>
      </c>
      <c r="H883" t="s">
        <v>10</v>
      </c>
    </row>
    <row r="884" spans="1:8" x14ac:dyDescent="0.25">
      <c r="A884">
        <v>883</v>
      </c>
      <c r="B884">
        <v>7.4</v>
      </c>
      <c r="C884">
        <v>0.4</v>
      </c>
      <c r="D884">
        <v>6.2</v>
      </c>
      <c r="E884">
        <v>1.9</v>
      </c>
      <c r="F884">
        <v>8.1</v>
      </c>
      <c r="G884">
        <v>3.16</v>
      </c>
      <c r="H884" t="s">
        <v>8</v>
      </c>
    </row>
    <row r="885" spans="1:8" x14ac:dyDescent="0.25">
      <c r="A885">
        <v>884</v>
      </c>
      <c r="B885">
        <v>6.5</v>
      </c>
      <c r="C885">
        <v>3.4</v>
      </c>
      <c r="D885">
        <v>9.3000000000000007</v>
      </c>
      <c r="E885">
        <v>3.7</v>
      </c>
      <c r="F885">
        <v>1.1000000000000001</v>
      </c>
      <c r="G885">
        <v>3.02</v>
      </c>
      <c r="H885" t="s">
        <v>8</v>
      </c>
    </row>
    <row r="886" spans="1:8" x14ac:dyDescent="0.25">
      <c r="A886">
        <v>885</v>
      </c>
      <c r="B886">
        <v>5.7</v>
      </c>
      <c r="C886">
        <v>2.8</v>
      </c>
      <c r="D886">
        <v>9.6999999999999993</v>
      </c>
      <c r="E886">
        <v>4</v>
      </c>
      <c r="F886">
        <v>1.8</v>
      </c>
      <c r="G886">
        <v>2.86</v>
      </c>
      <c r="H886" t="s">
        <v>9</v>
      </c>
    </row>
    <row r="887" spans="1:8" x14ac:dyDescent="0.25">
      <c r="A887">
        <v>886</v>
      </c>
      <c r="B887">
        <v>8.1999999999999993</v>
      </c>
      <c r="C887">
        <v>2</v>
      </c>
      <c r="D887">
        <v>5.6</v>
      </c>
      <c r="E887">
        <v>1.9</v>
      </c>
      <c r="F887">
        <v>6.3</v>
      </c>
      <c r="G887">
        <v>2.81</v>
      </c>
      <c r="H887" t="s">
        <v>10</v>
      </c>
    </row>
    <row r="888" spans="1:8" x14ac:dyDescent="0.25">
      <c r="A888">
        <v>887</v>
      </c>
      <c r="B888">
        <v>9</v>
      </c>
      <c r="C888">
        <v>3.4</v>
      </c>
      <c r="D888">
        <v>5.7</v>
      </c>
      <c r="E888">
        <v>5.6</v>
      </c>
      <c r="F888">
        <v>0.3</v>
      </c>
      <c r="G888">
        <v>3.59</v>
      </c>
      <c r="H888" t="s">
        <v>10</v>
      </c>
    </row>
    <row r="889" spans="1:8" x14ac:dyDescent="0.25">
      <c r="A889">
        <v>888</v>
      </c>
      <c r="B889">
        <v>8.8000000000000007</v>
      </c>
      <c r="C889">
        <v>3.2</v>
      </c>
      <c r="D889">
        <v>9.6999999999999993</v>
      </c>
      <c r="E889">
        <v>0.7</v>
      </c>
      <c r="F889">
        <v>1.6</v>
      </c>
      <c r="G889">
        <v>3.07</v>
      </c>
      <c r="H889" t="s">
        <v>10</v>
      </c>
    </row>
    <row r="890" spans="1:8" x14ac:dyDescent="0.25">
      <c r="A890">
        <v>889</v>
      </c>
      <c r="B890">
        <v>9.3000000000000007</v>
      </c>
      <c r="C890">
        <v>0.5</v>
      </c>
      <c r="D890">
        <v>8.5</v>
      </c>
      <c r="E890">
        <v>4.2</v>
      </c>
      <c r="F890">
        <v>1.5</v>
      </c>
      <c r="G890">
        <v>3.17</v>
      </c>
      <c r="H890" t="s">
        <v>10</v>
      </c>
    </row>
    <row r="891" spans="1:8" x14ac:dyDescent="0.25">
      <c r="A891">
        <v>890</v>
      </c>
      <c r="B891">
        <v>9.4</v>
      </c>
      <c r="C891">
        <v>0.7</v>
      </c>
      <c r="D891">
        <v>5.3</v>
      </c>
      <c r="E891">
        <v>4.3</v>
      </c>
      <c r="F891">
        <v>4.3</v>
      </c>
      <c r="G891">
        <v>3.57</v>
      </c>
      <c r="H891" t="s">
        <v>10</v>
      </c>
    </row>
    <row r="892" spans="1:8" x14ac:dyDescent="0.25">
      <c r="A892">
        <v>891</v>
      </c>
      <c r="B892">
        <v>7.4</v>
      </c>
      <c r="C892">
        <v>3.4</v>
      </c>
      <c r="D892">
        <v>6.9</v>
      </c>
      <c r="E892">
        <v>1</v>
      </c>
      <c r="F892">
        <v>5.3</v>
      </c>
      <c r="G892">
        <v>3.15</v>
      </c>
      <c r="H892" t="s">
        <v>8</v>
      </c>
    </row>
    <row r="893" spans="1:8" x14ac:dyDescent="0.25">
      <c r="A893">
        <v>892</v>
      </c>
      <c r="B893">
        <v>5.9</v>
      </c>
      <c r="C893">
        <v>2.9</v>
      </c>
      <c r="D893">
        <v>7.6</v>
      </c>
      <c r="E893">
        <v>3.6</v>
      </c>
      <c r="F893">
        <v>4</v>
      </c>
      <c r="G893">
        <v>3.13</v>
      </c>
      <c r="H893" t="s">
        <v>9</v>
      </c>
    </row>
    <row r="894" spans="1:8" x14ac:dyDescent="0.25">
      <c r="A894">
        <v>893</v>
      </c>
      <c r="B894">
        <v>7.3</v>
      </c>
      <c r="C894">
        <v>3.3</v>
      </c>
      <c r="D894">
        <v>9.1</v>
      </c>
      <c r="E894">
        <v>3.1</v>
      </c>
      <c r="F894">
        <v>1.2</v>
      </c>
      <c r="G894">
        <v>3.34</v>
      </c>
      <c r="H894" t="s">
        <v>8</v>
      </c>
    </row>
    <row r="895" spans="1:8" x14ac:dyDescent="0.25">
      <c r="A895">
        <v>894</v>
      </c>
      <c r="B895">
        <v>6.8</v>
      </c>
      <c r="C895">
        <v>3.5</v>
      </c>
      <c r="D895">
        <v>8.6</v>
      </c>
      <c r="E895">
        <v>0.6</v>
      </c>
      <c r="F895">
        <v>4.5</v>
      </c>
      <c r="G895">
        <v>3.23</v>
      </c>
      <c r="H895" t="s">
        <v>8</v>
      </c>
    </row>
    <row r="896" spans="1:8" x14ac:dyDescent="0.25">
      <c r="A896">
        <v>895</v>
      </c>
      <c r="B896">
        <v>7</v>
      </c>
      <c r="C896">
        <v>3.5</v>
      </c>
      <c r="D896">
        <v>5.2</v>
      </c>
      <c r="E896">
        <v>5.8</v>
      </c>
      <c r="F896">
        <v>2.5</v>
      </c>
      <c r="G896">
        <v>3.26</v>
      </c>
      <c r="H896" t="s">
        <v>10</v>
      </c>
    </row>
    <row r="897" spans="1:8" x14ac:dyDescent="0.25">
      <c r="A897">
        <v>896</v>
      </c>
      <c r="B897">
        <v>6.4</v>
      </c>
      <c r="C897">
        <v>1</v>
      </c>
      <c r="D897">
        <v>9.6999999999999993</v>
      </c>
      <c r="E897">
        <v>1.8</v>
      </c>
      <c r="F897">
        <v>5.0999999999999996</v>
      </c>
      <c r="G897">
        <v>3.25</v>
      </c>
      <c r="H897" t="s">
        <v>8</v>
      </c>
    </row>
    <row r="898" spans="1:8" x14ac:dyDescent="0.25">
      <c r="A898">
        <v>897</v>
      </c>
      <c r="B898">
        <v>8.9</v>
      </c>
      <c r="C898">
        <v>1.6</v>
      </c>
      <c r="D898">
        <v>5.7</v>
      </c>
      <c r="E898">
        <v>0.1</v>
      </c>
      <c r="F898">
        <v>7.7</v>
      </c>
      <c r="G898">
        <v>3.42</v>
      </c>
      <c r="H898" t="s">
        <v>10</v>
      </c>
    </row>
    <row r="899" spans="1:8" x14ac:dyDescent="0.25">
      <c r="A899">
        <v>898</v>
      </c>
      <c r="B899">
        <v>6.8</v>
      </c>
      <c r="C899">
        <v>1.4</v>
      </c>
      <c r="D899">
        <v>6.7</v>
      </c>
      <c r="E899">
        <v>3.1</v>
      </c>
      <c r="F899">
        <v>6</v>
      </c>
      <c r="G899">
        <v>3.03</v>
      </c>
      <c r="H899" t="s">
        <v>8</v>
      </c>
    </row>
    <row r="900" spans="1:8" x14ac:dyDescent="0.25">
      <c r="A900">
        <v>899</v>
      </c>
      <c r="B900">
        <v>7.2</v>
      </c>
      <c r="C900">
        <v>3.5</v>
      </c>
      <c r="D900">
        <v>7.5</v>
      </c>
      <c r="E900">
        <v>2.9</v>
      </c>
      <c r="F900">
        <v>2.9</v>
      </c>
      <c r="G900">
        <v>3.04</v>
      </c>
      <c r="H900" t="s">
        <v>8</v>
      </c>
    </row>
    <row r="901" spans="1:8" x14ac:dyDescent="0.25">
      <c r="A901">
        <v>900</v>
      </c>
      <c r="B901">
        <v>8.3000000000000007</v>
      </c>
      <c r="C901">
        <v>2.4</v>
      </c>
      <c r="D901">
        <v>7.1</v>
      </c>
      <c r="E901">
        <v>2.5</v>
      </c>
      <c r="F901">
        <v>3.7</v>
      </c>
      <c r="G901">
        <v>3.22</v>
      </c>
      <c r="H901" t="s">
        <v>10</v>
      </c>
    </row>
    <row r="902" spans="1:8" x14ac:dyDescent="0.25">
      <c r="A902">
        <v>901</v>
      </c>
      <c r="B902">
        <v>8.9</v>
      </c>
      <c r="C902">
        <v>0.8</v>
      </c>
      <c r="D902">
        <v>9.1</v>
      </c>
      <c r="E902">
        <v>3.4</v>
      </c>
      <c r="F902">
        <v>1.8</v>
      </c>
      <c r="G902">
        <v>3.1</v>
      </c>
      <c r="H902" t="s">
        <v>10</v>
      </c>
    </row>
    <row r="903" spans="1:8" x14ac:dyDescent="0.25">
      <c r="A903">
        <v>902</v>
      </c>
      <c r="B903">
        <v>6.3</v>
      </c>
      <c r="C903">
        <v>3</v>
      </c>
      <c r="D903">
        <v>7.6</v>
      </c>
      <c r="E903">
        <v>1.9</v>
      </c>
      <c r="F903">
        <v>5.2</v>
      </c>
      <c r="G903">
        <v>2.48</v>
      </c>
      <c r="H903" t="s">
        <v>8</v>
      </c>
    </row>
    <row r="904" spans="1:8" x14ac:dyDescent="0.25">
      <c r="A904">
        <v>903</v>
      </c>
      <c r="B904">
        <v>8</v>
      </c>
      <c r="C904">
        <v>4</v>
      </c>
      <c r="D904">
        <v>7.2</v>
      </c>
      <c r="E904">
        <v>4.4000000000000004</v>
      </c>
      <c r="F904">
        <v>0.4</v>
      </c>
      <c r="G904">
        <v>3.11</v>
      </c>
      <c r="H904" t="s">
        <v>8</v>
      </c>
    </row>
    <row r="905" spans="1:8" x14ac:dyDescent="0.25">
      <c r="A905">
        <v>904</v>
      </c>
      <c r="B905">
        <v>6</v>
      </c>
      <c r="C905">
        <v>1.7</v>
      </c>
      <c r="D905">
        <v>6.1</v>
      </c>
      <c r="E905">
        <v>0</v>
      </c>
      <c r="F905">
        <v>10.199999999999999</v>
      </c>
      <c r="G905">
        <v>2.87</v>
      </c>
      <c r="H905" t="s">
        <v>8</v>
      </c>
    </row>
    <row r="906" spans="1:8" x14ac:dyDescent="0.25">
      <c r="A906">
        <v>905</v>
      </c>
      <c r="B906">
        <v>9.6</v>
      </c>
      <c r="C906">
        <v>3.4</v>
      </c>
      <c r="D906">
        <v>8.6999999999999993</v>
      </c>
      <c r="E906">
        <v>0.4</v>
      </c>
      <c r="F906">
        <v>1.9</v>
      </c>
      <c r="G906">
        <v>3.5</v>
      </c>
      <c r="H906" t="s">
        <v>10</v>
      </c>
    </row>
    <row r="907" spans="1:8" x14ac:dyDescent="0.25">
      <c r="A907">
        <v>906</v>
      </c>
      <c r="B907">
        <v>7.2</v>
      </c>
      <c r="C907">
        <v>0.5</v>
      </c>
      <c r="D907">
        <v>7.6</v>
      </c>
      <c r="E907">
        <v>2.1</v>
      </c>
      <c r="F907">
        <v>6.6</v>
      </c>
      <c r="G907">
        <v>3.11</v>
      </c>
      <c r="H907" t="s">
        <v>8</v>
      </c>
    </row>
    <row r="908" spans="1:8" x14ac:dyDescent="0.25">
      <c r="A908">
        <v>907</v>
      </c>
      <c r="B908">
        <v>6.9</v>
      </c>
      <c r="C908">
        <v>2.5</v>
      </c>
      <c r="D908">
        <v>8.6</v>
      </c>
      <c r="E908">
        <v>0.7</v>
      </c>
      <c r="F908">
        <v>5.3</v>
      </c>
      <c r="G908">
        <v>3.29</v>
      </c>
      <c r="H908" t="s">
        <v>8</v>
      </c>
    </row>
    <row r="909" spans="1:8" x14ac:dyDescent="0.25">
      <c r="A909">
        <v>908</v>
      </c>
      <c r="B909">
        <v>6.7</v>
      </c>
      <c r="C909">
        <v>1.8</v>
      </c>
      <c r="D909">
        <v>8.4</v>
      </c>
      <c r="E909">
        <v>3.1</v>
      </c>
      <c r="F909">
        <v>4</v>
      </c>
      <c r="G909">
        <v>2.92</v>
      </c>
      <c r="H909" t="s">
        <v>8</v>
      </c>
    </row>
    <row r="910" spans="1:8" x14ac:dyDescent="0.25">
      <c r="A910">
        <v>909</v>
      </c>
      <c r="B910">
        <v>9.3000000000000007</v>
      </c>
      <c r="C910">
        <v>3.5</v>
      </c>
      <c r="D910">
        <v>5</v>
      </c>
      <c r="E910">
        <v>4.7</v>
      </c>
      <c r="F910">
        <v>1.5</v>
      </c>
      <c r="G910">
        <v>3.45</v>
      </c>
      <c r="H910" t="s">
        <v>10</v>
      </c>
    </row>
    <row r="911" spans="1:8" x14ac:dyDescent="0.25">
      <c r="A911">
        <v>910</v>
      </c>
      <c r="B911">
        <v>7.4</v>
      </c>
      <c r="C911">
        <v>3.9</v>
      </c>
      <c r="D911">
        <v>8.8000000000000007</v>
      </c>
      <c r="E911">
        <v>1</v>
      </c>
      <c r="F911">
        <v>2.9</v>
      </c>
      <c r="G911">
        <v>3.11</v>
      </c>
      <c r="H911" t="s">
        <v>8</v>
      </c>
    </row>
    <row r="912" spans="1:8" x14ac:dyDescent="0.25">
      <c r="A912">
        <v>911</v>
      </c>
      <c r="B912">
        <v>7.7</v>
      </c>
      <c r="C912">
        <v>4</v>
      </c>
      <c r="D912">
        <v>9.3000000000000007</v>
      </c>
      <c r="E912">
        <v>0.3</v>
      </c>
      <c r="F912">
        <v>2.7</v>
      </c>
      <c r="G912">
        <v>2.96</v>
      </c>
      <c r="H912" t="s">
        <v>8</v>
      </c>
    </row>
    <row r="913" spans="1:8" x14ac:dyDescent="0.25">
      <c r="A913">
        <v>912</v>
      </c>
      <c r="B913">
        <v>5</v>
      </c>
      <c r="C913">
        <v>1.6</v>
      </c>
      <c r="D913">
        <v>6.2</v>
      </c>
      <c r="E913">
        <v>4.9000000000000004</v>
      </c>
      <c r="F913">
        <v>6.3</v>
      </c>
      <c r="G913">
        <v>3.01</v>
      </c>
      <c r="H913" t="s">
        <v>9</v>
      </c>
    </row>
    <row r="914" spans="1:8" x14ac:dyDescent="0.25">
      <c r="A914">
        <v>913</v>
      </c>
      <c r="B914">
        <v>6.7</v>
      </c>
      <c r="C914">
        <v>3.3</v>
      </c>
      <c r="D914">
        <v>5</v>
      </c>
      <c r="E914">
        <v>1.8</v>
      </c>
      <c r="F914">
        <v>7.2</v>
      </c>
      <c r="G914">
        <v>2.85</v>
      </c>
      <c r="H914" t="s">
        <v>10</v>
      </c>
    </row>
    <row r="915" spans="1:8" x14ac:dyDescent="0.25">
      <c r="A915">
        <v>914</v>
      </c>
      <c r="B915">
        <v>5.3</v>
      </c>
      <c r="C915">
        <v>0.7</v>
      </c>
      <c r="D915">
        <v>7.8</v>
      </c>
      <c r="E915">
        <v>1.7</v>
      </c>
      <c r="F915">
        <v>8.5</v>
      </c>
      <c r="G915">
        <v>2.64</v>
      </c>
      <c r="H915" t="s">
        <v>9</v>
      </c>
    </row>
    <row r="916" spans="1:8" x14ac:dyDescent="0.25">
      <c r="A916">
        <v>915</v>
      </c>
      <c r="B916">
        <v>7.1</v>
      </c>
      <c r="C916">
        <v>1.5</v>
      </c>
      <c r="D916">
        <v>9.4</v>
      </c>
      <c r="E916">
        <v>5.4</v>
      </c>
      <c r="F916">
        <v>0.6</v>
      </c>
      <c r="G916">
        <v>2.65</v>
      </c>
      <c r="H916" t="s">
        <v>8</v>
      </c>
    </row>
    <row r="917" spans="1:8" x14ac:dyDescent="0.25">
      <c r="A917">
        <v>916</v>
      </c>
      <c r="B917">
        <v>5.5</v>
      </c>
      <c r="C917">
        <v>3.8</v>
      </c>
      <c r="D917">
        <v>5.3</v>
      </c>
      <c r="E917">
        <v>1.8</v>
      </c>
      <c r="F917">
        <v>7.6</v>
      </c>
      <c r="G917">
        <v>2.81</v>
      </c>
      <c r="H917" t="s">
        <v>10</v>
      </c>
    </row>
    <row r="918" spans="1:8" x14ac:dyDescent="0.25">
      <c r="A918">
        <v>917</v>
      </c>
      <c r="B918">
        <v>6.5</v>
      </c>
      <c r="C918">
        <v>1.3</v>
      </c>
      <c r="D918">
        <v>5.8</v>
      </c>
      <c r="E918">
        <v>4.7</v>
      </c>
      <c r="F918">
        <v>5.7</v>
      </c>
      <c r="G918">
        <v>3.04</v>
      </c>
      <c r="H918" t="s">
        <v>10</v>
      </c>
    </row>
    <row r="919" spans="1:8" x14ac:dyDescent="0.25">
      <c r="A919">
        <v>918</v>
      </c>
      <c r="B919">
        <v>5.6</v>
      </c>
      <c r="C919">
        <v>0.3</v>
      </c>
      <c r="D919">
        <v>9.5</v>
      </c>
      <c r="E919">
        <v>1.1000000000000001</v>
      </c>
      <c r="F919">
        <v>7.5</v>
      </c>
      <c r="G919">
        <v>2.66</v>
      </c>
      <c r="H919" t="s">
        <v>9</v>
      </c>
    </row>
    <row r="920" spans="1:8" x14ac:dyDescent="0.25">
      <c r="A920">
        <v>919</v>
      </c>
      <c r="B920">
        <v>9.1</v>
      </c>
      <c r="C920">
        <v>2.2000000000000002</v>
      </c>
      <c r="D920">
        <v>5.4</v>
      </c>
      <c r="E920">
        <v>5.7</v>
      </c>
      <c r="F920">
        <v>1.6</v>
      </c>
      <c r="G920">
        <v>3.48</v>
      </c>
      <c r="H920" t="s">
        <v>10</v>
      </c>
    </row>
    <row r="921" spans="1:8" x14ac:dyDescent="0.25">
      <c r="A921">
        <v>920</v>
      </c>
      <c r="B921">
        <v>5.8</v>
      </c>
      <c r="C921">
        <v>3.4</v>
      </c>
      <c r="D921">
        <v>5.0999999999999996</v>
      </c>
      <c r="E921">
        <v>3.1</v>
      </c>
      <c r="F921">
        <v>6.6</v>
      </c>
      <c r="G921">
        <v>2.79</v>
      </c>
      <c r="H921" t="s">
        <v>10</v>
      </c>
    </row>
    <row r="922" spans="1:8" x14ac:dyDescent="0.25">
      <c r="A922">
        <v>921</v>
      </c>
      <c r="B922">
        <v>8.8000000000000007</v>
      </c>
      <c r="C922">
        <v>3.7</v>
      </c>
      <c r="D922">
        <v>9.5</v>
      </c>
      <c r="E922">
        <v>1.6</v>
      </c>
      <c r="F922">
        <v>0.4</v>
      </c>
      <c r="G922">
        <v>3.29</v>
      </c>
      <c r="H922" t="s">
        <v>10</v>
      </c>
    </row>
    <row r="923" spans="1:8" x14ac:dyDescent="0.25">
      <c r="A923">
        <v>922</v>
      </c>
      <c r="B923">
        <v>6.4</v>
      </c>
      <c r="C923">
        <v>1.2</v>
      </c>
      <c r="D923">
        <v>6.9</v>
      </c>
      <c r="E923">
        <v>2.4</v>
      </c>
      <c r="F923">
        <v>7.1</v>
      </c>
      <c r="G923">
        <v>3</v>
      </c>
      <c r="H923" t="s">
        <v>8</v>
      </c>
    </row>
    <row r="924" spans="1:8" x14ac:dyDescent="0.25">
      <c r="A924">
        <v>923</v>
      </c>
      <c r="B924">
        <v>7.7</v>
      </c>
      <c r="C924">
        <v>0.6</v>
      </c>
      <c r="D924">
        <v>8.5</v>
      </c>
      <c r="E924">
        <v>1</v>
      </c>
      <c r="F924">
        <v>6.2</v>
      </c>
      <c r="G924">
        <v>3.16</v>
      </c>
      <c r="H924" t="s">
        <v>8</v>
      </c>
    </row>
    <row r="925" spans="1:8" x14ac:dyDescent="0.25">
      <c r="A925">
        <v>924</v>
      </c>
      <c r="B925">
        <v>9</v>
      </c>
      <c r="C925">
        <v>3</v>
      </c>
      <c r="D925">
        <v>8.1999999999999993</v>
      </c>
      <c r="E925">
        <v>0.6</v>
      </c>
      <c r="F925">
        <v>3.2</v>
      </c>
      <c r="G925">
        <v>2.96</v>
      </c>
      <c r="H925" t="s">
        <v>10</v>
      </c>
    </row>
    <row r="926" spans="1:8" x14ac:dyDescent="0.25">
      <c r="A926">
        <v>925</v>
      </c>
      <c r="B926">
        <v>7.7</v>
      </c>
      <c r="C926">
        <v>0.3</v>
      </c>
      <c r="D926">
        <v>6.9</v>
      </c>
      <c r="E926">
        <v>2.5</v>
      </c>
      <c r="F926">
        <v>6.6</v>
      </c>
      <c r="G926">
        <v>3.08</v>
      </c>
      <c r="H926" t="s">
        <v>8</v>
      </c>
    </row>
    <row r="927" spans="1:8" x14ac:dyDescent="0.25">
      <c r="A927">
        <v>926</v>
      </c>
      <c r="B927">
        <v>5.9</v>
      </c>
      <c r="C927">
        <v>1.6</v>
      </c>
      <c r="D927">
        <v>9.6999999999999993</v>
      </c>
      <c r="E927">
        <v>0.8</v>
      </c>
      <c r="F927">
        <v>6</v>
      </c>
      <c r="G927">
        <v>2.86</v>
      </c>
      <c r="H927" t="s">
        <v>9</v>
      </c>
    </row>
    <row r="928" spans="1:8" x14ac:dyDescent="0.25">
      <c r="A928">
        <v>927</v>
      </c>
      <c r="B928">
        <v>8.8000000000000007</v>
      </c>
      <c r="C928">
        <v>0.4</v>
      </c>
      <c r="D928">
        <v>9.9</v>
      </c>
      <c r="E928">
        <v>1.9</v>
      </c>
      <c r="F928">
        <v>3</v>
      </c>
      <c r="G928">
        <v>3.19</v>
      </c>
      <c r="H928" t="s">
        <v>10</v>
      </c>
    </row>
    <row r="929" spans="1:8" x14ac:dyDescent="0.25">
      <c r="A929">
        <v>928</v>
      </c>
      <c r="B929">
        <v>8.1</v>
      </c>
      <c r="C929">
        <v>0.8</v>
      </c>
      <c r="D929">
        <v>5.7</v>
      </c>
      <c r="E929">
        <v>5.6</v>
      </c>
      <c r="F929">
        <v>3.8</v>
      </c>
      <c r="G929">
        <v>3.45</v>
      </c>
      <c r="H929" t="s">
        <v>10</v>
      </c>
    </row>
    <row r="930" spans="1:8" x14ac:dyDescent="0.25">
      <c r="A930">
        <v>929</v>
      </c>
      <c r="B930">
        <v>9.6</v>
      </c>
      <c r="C930">
        <v>3.5</v>
      </c>
      <c r="D930">
        <v>8.1</v>
      </c>
      <c r="E930">
        <v>2.2999999999999998</v>
      </c>
      <c r="F930">
        <v>0.5</v>
      </c>
      <c r="G930">
        <v>3.4</v>
      </c>
      <c r="H930" t="s">
        <v>10</v>
      </c>
    </row>
    <row r="931" spans="1:8" x14ac:dyDescent="0.25">
      <c r="A931">
        <v>930</v>
      </c>
      <c r="B931">
        <v>6.6</v>
      </c>
      <c r="C931">
        <v>2.5</v>
      </c>
      <c r="D931">
        <v>6.8</v>
      </c>
      <c r="E931">
        <v>0.9</v>
      </c>
      <c r="F931">
        <v>7.2</v>
      </c>
      <c r="G931">
        <v>2.88</v>
      </c>
      <c r="H931" t="s">
        <v>8</v>
      </c>
    </row>
    <row r="932" spans="1:8" x14ac:dyDescent="0.25">
      <c r="A932">
        <v>931</v>
      </c>
      <c r="B932">
        <v>8</v>
      </c>
      <c r="C932">
        <v>3.3</v>
      </c>
      <c r="D932">
        <v>6.9</v>
      </c>
      <c r="E932">
        <v>0.8</v>
      </c>
      <c r="F932">
        <v>5</v>
      </c>
      <c r="G932">
        <v>3.08</v>
      </c>
      <c r="H932" t="s">
        <v>8</v>
      </c>
    </row>
    <row r="933" spans="1:8" x14ac:dyDescent="0.25">
      <c r="A933">
        <v>932</v>
      </c>
      <c r="B933">
        <v>6.5</v>
      </c>
      <c r="C933">
        <v>2.6</v>
      </c>
      <c r="D933">
        <v>8</v>
      </c>
      <c r="E933">
        <v>4.2</v>
      </c>
      <c r="F933">
        <v>2.7</v>
      </c>
      <c r="G933">
        <v>2.83</v>
      </c>
      <c r="H933" t="s">
        <v>8</v>
      </c>
    </row>
    <row r="934" spans="1:8" x14ac:dyDescent="0.25">
      <c r="A934">
        <v>933</v>
      </c>
      <c r="B934">
        <v>6.8</v>
      </c>
      <c r="C934">
        <v>3.3</v>
      </c>
      <c r="D934">
        <v>6</v>
      </c>
      <c r="E934">
        <v>2.8</v>
      </c>
      <c r="F934">
        <v>5.0999999999999996</v>
      </c>
      <c r="G934">
        <v>2.92</v>
      </c>
      <c r="H934" t="s">
        <v>8</v>
      </c>
    </row>
    <row r="935" spans="1:8" x14ac:dyDescent="0.25">
      <c r="A935">
        <v>934</v>
      </c>
      <c r="B935">
        <v>5.5</v>
      </c>
      <c r="C935">
        <v>3.5</v>
      </c>
      <c r="D935">
        <v>6.7</v>
      </c>
      <c r="E935">
        <v>4.0999999999999996</v>
      </c>
      <c r="F935">
        <v>4.2</v>
      </c>
      <c r="G935">
        <v>2.92</v>
      </c>
      <c r="H935" t="s">
        <v>9</v>
      </c>
    </row>
    <row r="936" spans="1:8" x14ac:dyDescent="0.25">
      <c r="A936">
        <v>935</v>
      </c>
      <c r="B936">
        <v>5.0999999999999996</v>
      </c>
      <c r="C936">
        <v>2.8</v>
      </c>
      <c r="D936">
        <v>6.6</v>
      </c>
      <c r="E936">
        <v>0.3</v>
      </c>
      <c r="F936">
        <v>9.1999999999999993</v>
      </c>
      <c r="G936">
        <v>2.4900000000000002</v>
      </c>
      <c r="H936" t="s">
        <v>9</v>
      </c>
    </row>
    <row r="937" spans="1:8" x14ac:dyDescent="0.25">
      <c r="A937">
        <v>936</v>
      </c>
      <c r="B937">
        <v>6.9</v>
      </c>
      <c r="C937">
        <v>0.3</v>
      </c>
      <c r="D937">
        <v>5.7</v>
      </c>
      <c r="E937">
        <v>1.8</v>
      </c>
      <c r="F937">
        <v>9.3000000000000007</v>
      </c>
      <c r="G937">
        <v>3.15</v>
      </c>
      <c r="H937" t="s">
        <v>10</v>
      </c>
    </row>
    <row r="938" spans="1:8" x14ac:dyDescent="0.25">
      <c r="A938">
        <v>937</v>
      </c>
      <c r="B938">
        <v>5.4</v>
      </c>
      <c r="C938">
        <v>3.6</v>
      </c>
      <c r="D938">
        <v>5</v>
      </c>
      <c r="E938">
        <v>2.9</v>
      </c>
      <c r="F938">
        <v>7.1</v>
      </c>
      <c r="G938">
        <v>2.74</v>
      </c>
      <c r="H938" t="s">
        <v>10</v>
      </c>
    </row>
    <row r="939" spans="1:8" x14ac:dyDescent="0.25">
      <c r="A939">
        <v>938</v>
      </c>
      <c r="B939">
        <v>9.6</v>
      </c>
      <c r="C939">
        <v>0.6</v>
      </c>
      <c r="D939">
        <v>9.8000000000000007</v>
      </c>
      <c r="E939">
        <v>0.8</v>
      </c>
      <c r="F939">
        <v>3.2</v>
      </c>
      <c r="G939">
        <v>3.29</v>
      </c>
      <c r="H939" t="s">
        <v>10</v>
      </c>
    </row>
    <row r="940" spans="1:8" x14ac:dyDescent="0.25">
      <c r="A940">
        <v>939</v>
      </c>
      <c r="B940">
        <v>8.6999999999999993</v>
      </c>
      <c r="C940">
        <v>2.2000000000000002</v>
      </c>
      <c r="D940">
        <v>9.4</v>
      </c>
      <c r="E940">
        <v>2</v>
      </c>
      <c r="F940">
        <v>1.7</v>
      </c>
      <c r="G940">
        <v>3.03</v>
      </c>
      <c r="H940" t="s">
        <v>10</v>
      </c>
    </row>
    <row r="941" spans="1:8" x14ac:dyDescent="0.25">
      <c r="A941">
        <v>940</v>
      </c>
      <c r="B941">
        <v>5.8</v>
      </c>
      <c r="C941">
        <v>3.7</v>
      </c>
      <c r="D941">
        <v>6.6</v>
      </c>
      <c r="E941">
        <v>2.2000000000000002</v>
      </c>
      <c r="F941">
        <v>5.7</v>
      </c>
      <c r="G941">
        <v>2.9</v>
      </c>
      <c r="H941" t="s">
        <v>9</v>
      </c>
    </row>
    <row r="942" spans="1:8" x14ac:dyDescent="0.25">
      <c r="A942">
        <v>941</v>
      </c>
      <c r="B942">
        <v>8.8000000000000007</v>
      </c>
      <c r="C942">
        <v>1.4</v>
      </c>
      <c r="D942">
        <v>9.8000000000000007</v>
      </c>
      <c r="E942">
        <v>3</v>
      </c>
      <c r="F942">
        <v>1</v>
      </c>
      <c r="G942">
        <v>3.51</v>
      </c>
      <c r="H942" t="s">
        <v>10</v>
      </c>
    </row>
    <row r="943" spans="1:8" x14ac:dyDescent="0.25">
      <c r="A943">
        <v>942</v>
      </c>
      <c r="B943">
        <v>5.2</v>
      </c>
      <c r="C943">
        <v>1</v>
      </c>
      <c r="D943">
        <v>7.3</v>
      </c>
      <c r="E943">
        <v>1.4</v>
      </c>
      <c r="F943">
        <v>9.1</v>
      </c>
      <c r="G943">
        <v>2.83</v>
      </c>
      <c r="H943" t="s">
        <v>9</v>
      </c>
    </row>
    <row r="944" spans="1:8" x14ac:dyDescent="0.25">
      <c r="A944">
        <v>943</v>
      </c>
      <c r="B944">
        <v>8.6999999999999993</v>
      </c>
      <c r="C944">
        <v>3.7</v>
      </c>
      <c r="D944">
        <v>7.1</v>
      </c>
      <c r="E944">
        <v>1.5</v>
      </c>
      <c r="F944">
        <v>3</v>
      </c>
      <c r="G944">
        <v>3.29</v>
      </c>
      <c r="H944" t="s">
        <v>10</v>
      </c>
    </row>
    <row r="945" spans="1:8" x14ac:dyDescent="0.25">
      <c r="A945">
        <v>944</v>
      </c>
      <c r="B945">
        <v>7.4</v>
      </c>
      <c r="C945">
        <v>1.4</v>
      </c>
      <c r="D945">
        <v>9.5</v>
      </c>
      <c r="E945">
        <v>3.2</v>
      </c>
      <c r="F945">
        <v>2.5</v>
      </c>
      <c r="G945">
        <v>3.22</v>
      </c>
      <c r="H945" t="s">
        <v>8</v>
      </c>
    </row>
    <row r="946" spans="1:8" x14ac:dyDescent="0.25">
      <c r="A946">
        <v>945</v>
      </c>
      <c r="B946">
        <v>8.8000000000000007</v>
      </c>
      <c r="C946">
        <v>3.2</v>
      </c>
      <c r="D946">
        <v>6.7</v>
      </c>
      <c r="E946">
        <v>2.2999999999999998</v>
      </c>
      <c r="F946">
        <v>3</v>
      </c>
      <c r="G946">
        <v>3.24</v>
      </c>
      <c r="H946" t="s">
        <v>10</v>
      </c>
    </row>
    <row r="947" spans="1:8" x14ac:dyDescent="0.25">
      <c r="A947">
        <v>946</v>
      </c>
      <c r="B947">
        <v>9</v>
      </c>
      <c r="C947">
        <v>3.8</v>
      </c>
      <c r="D947">
        <v>8.1</v>
      </c>
      <c r="E947">
        <v>2.2999999999999998</v>
      </c>
      <c r="F947">
        <v>0.8</v>
      </c>
      <c r="G947">
        <v>3.55</v>
      </c>
      <c r="H947" t="s">
        <v>10</v>
      </c>
    </row>
    <row r="948" spans="1:8" x14ac:dyDescent="0.25">
      <c r="A948">
        <v>947</v>
      </c>
      <c r="B948">
        <v>9</v>
      </c>
      <c r="C948">
        <v>3.4</v>
      </c>
      <c r="D948">
        <v>7</v>
      </c>
      <c r="E948">
        <v>0.2</v>
      </c>
      <c r="F948">
        <v>4.4000000000000004</v>
      </c>
      <c r="G948">
        <v>3.68</v>
      </c>
      <c r="H948" t="s">
        <v>10</v>
      </c>
    </row>
    <row r="949" spans="1:8" x14ac:dyDescent="0.25">
      <c r="A949">
        <v>948</v>
      </c>
      <c r="B949">
        <v>7.3</v>
      </c>
      <c r="C949">
        <v>3</v>
      </c>
      <c r="D949">
        <v>6.8</v>
      </c>
      <c r="E949">
        <v>3.8</v>
      </c>
      <c r="F949">
        <v>3.1</v>
      </c>
      <c r="G949">
        <v>2.91</v>
      </c>
      <c r="H949" t="s">
        <v>8</v>
      </c>
    </row>
    <row r="950" spans="1:8" x14ac:dyDescent="0.25">
      <c r="A950">
        <v>949</v>
      </c>
      <c r="B950">
        <v>5.9</v>
      </c>
      <c r="C950">
        <v>3</v>
      </c>
      <c r="D950">
        <v>7.7</v>
      </c>
      <c r="E950">
        <v>1.2</v>
      </c>
      <c r="F950">
        <v>6.2</v>
      </c>
      <c r="G950">
        <v>3.09</v>
      </c>
      <c r="H950" t="s">
        <v>9</v>
      </c>
    </row>
    <row r="951" spans="1:8" x14ac:dyDescent="0.25">
      <c r="A951">
        <v>950</v>
      </c>
      <c r="B951">
        <v>7.4</v>
      </c>
      <c r="C951">
        <v>0.9</v>
      </c>
      <c r="D951">
        <v>9.8000000000000007</v>
      </c>
      <c r="E951">
        <v>4.2</v>
      </c>
      <c r="F951">
        <v>1.7</v>
      </c>
      <c r="G951">
        <v>2.94</v>
      </c>
      <c r="H951" t="s">
        <v>8</v>
      </c>
    </row>
    <row r="952" spans="1:8" x14ac:dyDescent="0.25">
      <c r="A952">
        <v>951</v>
      </c>
      <c r="B952">
        <v>9.8000000000000007</v>
      </c>
      <c r="C952">
        <v>1.7</v>
      </c>
      <c r="D952">
        <v>7.4</v>
      </c>
      <c r="E952">
        <v>4.5999999999999996</v>
      </c>
      <c r="F952">
        <v>0.5</v>
      </c>
      <c r="G952">
        <v>3.84</v>
      </c>
      <c r="H952" t="s">
        <v>10</v>
      </c>
    </row>
    <row r="953" spans="1:8" x14ac:dyDescent="0.25">
      <c r="A953">
        <v>952</v>
      </c>
      <c r="B953">
        <v>6.3</v>
      </c>
      <c r="C953">
        <v>1.8</v>
      </c>
      <c r="D953">
        <v>5.6</v>
      </c>
      <c r="E953">
        <v>1.2</v>
      </c>
      <c r="F953">
        <v>9.1</v>
      </c>
      <c r="G953">
        <v>2.99</v>
      </c>
      <c r="H953" t="s">
        <v>10</v>
      </c>
    </row>
    <row r="954" spans="1:8" x14ac:dyDescent="0.25">
      <c r="A954">
        <v>953</v>
      </c>
      <c r="B954">
        <v>5</v>
      </c>
      <c r="C954">
        <v>0.2</v>
      </c>
      <c r="D954">
        <v>9.9</v>
      </c>
      <c r="E954">
        <v>1.5</v>
      </c>
      <c r="F954">
        <v>7.4</v>
      </c>
      <c r="G954">
        <v>2.94</v>
      </c>
      <c r="H954" t="s">
        <v>9</v>
      </c>
    </row>
    <row r="955" spans="1:8" x14ac:dyDescent="0.25">
      <c r="A955">
        <v>954</v>
      </c>
      <c r="B955">
        <v>7.8</v>
      </c>
      <c r="C955">
        <v>0.6</v>
      </c>
      <c r="D955">
        <v>8.6</v>
      </c>
      <c r="E955">
        <v>3.6</v>
      </c>
      <c r="F955">
        <v>3.4</v>
      </c>
      <c r="G955">
        <v>3.26</v>
      </c>
      <c r="H955" t="s">
        <v>8</v>
      </c>
    </row>
    <row r="956" spans="1:8" x14ac:dyDescent="0.25">
      <c r="A956">
        <v>955</v>
      </c>
      <c r="B956">
        <v>8.6999999999999993</v>
      </c>
      <c r="C956">
        <v>3.1</v>
      </c>
      <c r="D956">
        <v>9.9</v>
      </c>
      <c r="E956">
        <v>1.3</v>
      </c>
      <c r="F956">
        <v>1</v>
      </c>
      <c r="G956">
        <v>3.55</v>
      </c>
      <c r="H956" t="s">
        <v>10</v>
      </c>
    </row>
    <row r="957" spans="1:8" x14ac:dyDescent="0.25">
      <c r="A957">
        <v>956</v>
      </c>
      <c r="B957">
        <v>5.3</v>
      </c>
      <c r="C957">
        <v>3.6</v>
      </c>
      <c r="D957">
        <v>5.6</v>
      </c>
      <c r="E957">
        <v>2</v>
      </c>
      <c r="F957">
        <v>7.5</v>
      </c>
      <c r="G957">
        <v>2.5299999999999998</v>
      </c>
      <c r="H957" t="s">
        <v>10</v>
      </c>
    </row>
    <row r="958" spans="1:8" x14ac:dyDescent="0.25">
      <c r="A958">
        <v>957</v>
      </c>
      <c r="B958">
        <v>9.1</v>
      </c>
      <c r="C958">
        <v>2.4</v>
      </c>
      <c r="D958">
        <v>7</v>
      </c>
      <c r="E958">
        <v>2.6</v>
      </c>
      <c r="F958">
        <v>2.9</v>
      </c>
      <c r="G958">
        <v>3.28</v>
      </c>
      <c r="H958" t="s">
        <v>10</v>
      </c>
    </row>
    <row r="959" spans="1:8" x14ac:dyDescent="0.25">
      <c r="A959">
        <v>958</v>
      </c>
      <c r="B959">
        <v>9.3000000000000007</v>
      </c>
      <c r="C959">
        <v>0.4</v>
      </c>
      <c r="D959">
        <v>8.9</v>
      </c>
      <c r="E959">
        <v>4.5999999999999996</v>
      </c>
      <c r="F959">
        <v>0.8</v>
      </c>
      <c r="G959">
        <v>3.58</v>
      </c>
      <c r="H959" t="s">
        <v>10</v>
      </c>
    </row>
    <row r="960" spans="1:8" x14ac:dyDescent="0.25">
      <c r="A960">
        <v>959</v>
      </c>
      <c r="B960">
        <v>5.9</v>
      </c>
      <c r="C960">
        <v>1.7</v>
      </c>
      <c r="D960">
        <v>5.8</v>
      </c>
      <c r="E960">
        <v>4.2</v>
      </c>
      <c r="F960">
        <v>6.4</v>
      </c>
      <c r="G960">
        <v>3.32</v>
      </c>
      <c r="H960" t="s">
        <v>10</v>
      </c>
    </row>
    <row r="961" spans="1:8" x14ac:dyDescent="0.25">
      <c r="A961">
        <v>960</v>
      </c>
      <c r="B961">
        <v>6</v>
      </c>
      <c r="C961">
        <v>0.8</v>
      </c>
      <c r="D961">
        <v>5.2</v>
      </c>
      <c r="E961">
        <v>1.9</v>
      </c>
      <c r="F961">
        <v>10.1</v>
      </c>
      <c r="G961">
        <v>3.01</v>
      </c>
      <c r="H961" t="s">
        <v>10</v>
      </c>
    </row>
    <row r="962" spans="1:8" x14ac:dyDescent="0.25">
      <c r="A962">
        <v>961</v>
      </c>
      <c r="B962">
        <v>7.8</v>
      </c>
      <c r="C962">
        <v>3.4</v>
      </c>
      <c r="D962">
        <v>8.3000000000000007</v>
      </c>
      <c r="E962">
        <v>2</v>
      </c>
      <c r="F962">
        <v>2.5</v>
      </c>
      <c r="G962">
        <v>3.18</v>
      </c>
      <c r="H962" t="s">
        <v>8</v>
      </c>
    </row>
    <row r="963" spans="1:8" x14ac:dyDescent="0.25">
      <c r="A963">
        <v>962</v>
      </c>
      <c r="B963">
        <v>6.3</v>
      </c>
      <c r="C963">
        <v>0.2</v>
      </c>
      <c r="D963">
        <v>8.6</v>
      </c>
      <c r="E963">
        <v>0.7</v>
      </c>
      <c r="F963">
        <v>8.1999999999999993</v>
      </c>
      <c r="G963">
        <v>3.1</v>
      </c>
      <c r="H963" t="s">
        <v>8</v>
      </c>
    </row>
    <row r="964" spans="1:8" x14ac:dyDescent="0.25">
      <c r="A964">
        <v>963</v>
      </c>
      <c r="B964">
        <v>6.5</v>
      </c>
      <c r="C964">
        <v>2.1</v>
      </c>
      <c r="D964">
        <v>7.8</v>
      </c>
      <c r="E964">
        <v>3.6</v>
      </c>
      <c r="F964">
        <v>4</v>
      </c>
      <c r="G964">
        <v>2.9</v>
      </c>
      <c r="H964" t="s">
        <v>8</v>
      </c>
    </row>
    <row r="965" spans="1:8" x14ac:dyDescent="0.25">
      <c r="A965">
        <v>964</v>
      </c>
      <c r="B965">
        <v>8.1</v>
      </c>
      <c r="C965">
        <v>3.9</v>
      </c>
      <c r="D965">
        <v>8.6</v>
      </c>
      <c r="E965">
        <v>3.1</v>
      </c>
      <c r="F965">
        <v>0.3</v>
      </c>
      <c r="G965">
        <v>2.99</v>
      </c>
      <c r="H965" t="s">
        <v>10</v>
      </c>
    </row>
    <row r="966" spans="1:8" x14ac:dyDescent="0.25">
      <c r="A966">
        <v>965</v>
      </c>
      <c r="B966">
        <v>8.8000000000000007</v>
      </c>
      <c r="C966">
        <v>2.4</v>
      </c>
      <c r="D966">
        <v>6</v>
      </c>
      <c r="E966">
        <v>4</v>
      </c>
      <c r="F966">
        <v>2.8</v>
      </c>
      <c r="G966">
        <v>3.59</v>
      </c>
      <c r="H966" t="s">
        <v>10</v>
      </c>
    </row>
    <row r="967" spans="1:8" x14ac:dyDescent="0.25">
      <c r="A967">
        <v>966</v>
      </c>
      <c r="B967">
        <v>7.4</v>
      </c>
      <c r="C967">
        <v>2.1</v>
      </c>
      <c r="D967">
        <v>6.7</v>
      </c>
      <c r="E967">
        <v>3.1</v>
      </c>
      <c r="F967">
        <v>4.7</v>
      </c>
      <c r="G967">
        <v>3.44</v>
      </c>
      <c r="H967" t="s">
        <v>8</v>
      </c>
    </row>
    <row r="968" spans="1:8" x14ac:dyDescent="0.25">
      <c r="A968">
        <v>967</v>
      </c>
      <c r="B968">
        <v>6</v>
      </c>
      <c r="C968">
        <v>3.2</v>
      </c>
      <c r="D968">
        <v>5.9</v>
      </c>
      <c r="E968">
        <v>0.5</v>
      </c>
      <c r="F968">
        <v>8.4</v>
      </c>
      <c r="G968">
        <v>3.28</v>
      </c>
      <c r="H968" t="s">
        <v>10</v>
      </c>
    </row>
    <row r="969" spans="1:8" x14ac:dyDescent="0.25">
      <c r="A969">
        <v>968</v>
      </c>
      <c r="B969">
        <v>7.2</v>
      </c>
      <c r="C969">
        <v>1.1000000000000001</v>
      </c>
      <c r="D969">
        <v>7.8</v>
      </c>
      <c r="E969">
        <v>2.1</v>
      </c>
      <c r="F969">
        <v>5.8</v>
      </c>
      <c r="G969">
        <v>2.93</v>
      </c>
      <c r="H969" t="s">
        <v>8</v>
      </c>
    </row>
    <row r="970" spans="1:8" x14ac:dyDescent="0.25">
      <c r="A970">
        <v>969</v>
      </c>
      <c r="B970">
        <v>9.6999999999999993</v>
      </c>
      <c r="C970">
        <v>3.7</v>
      </c>
      <c r="D970">
        <v>7.5</v>
      </c>
      <c r="E970">
        <v>1</v>
      </c>
      <c r="F970">
        <v>2.1</v>
      </c>
      <c r="G970">
        <v>3.04</v>
      </c>
      <c r="H970" t="s">
        <v>10</v>
      </c>
    </row>
    <row r="971" spans="1:8" x14ac:dyDescent="0.25">
      <c r="A971">
        <v>970</v>
      </c>
      <c r="B971">
        <v>9.6</v>
      </c>
      <c r="C971">
        <v>0</v>
      </c>
      <c r="D971">
        <v>7.8</v>
      </c>
      <c r="E971">
        <v>4.4000000000000004</v>
      </c>
      <c r="F971">
        <v>2.2000000000000002</v>
      </c>
      <c r="G971">
        <v>3.38</v>
      </c>
      <c r="H971" t="s">
        <v>10</v>
      </c>
    </row>
    <row r="972" spans="1:8" x14ac:dyDescent="0.25">
      <c r="A972">
        <v>971</v>
      </c>
      <c r="B972">
        <v>7.4</v>
      </c>
      <c r="C972">
        <v>0.3</v>
      </c>
      <c r="D972">
        <v>9.9</v>
      </c>
      <c r="E972">
        <v>3.1</v>
      </c>
      <c r="F972">
        <v>3.3</v>
      </c>
      <c r="G972">
        <v>2.84</v>
      </c>
      <c r="H972" t="s">
        <v>8</v>
      </c>
    </row>
    <row r="973" spans="1:8" x14ac:dyDescent="0.25">
      <c r="A973">
        <v>972</v>
      </c>
      <c r="B973">
        <v>7.4</v>
      </c>
      <c r="C973">
        <v>1.7</v>
      </c>
      <c r="D973">
        <v>5.4</v>
      </c>
      <c r="E973">
        <v>0.6</v>
      </c>
      <c r="F973">
        <v>8.9</v>
      </c>
      <c r="G973">
        <v>3.23</v>
      </c>
      <c r="H973" t="s">
        <v>10</v>
      </c>
    </row>
    <row r="974" spans="1:8" x14ac:dyDescent="0.25">
      <c r="A974">
        <v>973</v>
      </c>
      <c r="B974">
        <v>9.1999999999999993</v>
      </c>
      <c r="C974">
        <v>1</v>
      </c>
      <c r="D974">
        <v>6</v>
      </c>
      <c r="E974">
        <v>3</v>
      </c>
      <c r="F974">
        <v>4.8</v>
      </c>
      <c r="G974">
        <v>3.18</v>
      </c>
      <c r="H974" t="s">
        <v>10</v>
      </c>
    </row>
    <row r="975" spans="1:8" x14ac:dyDescent="0.25">
      <c r="A975">
        <v>974</v>
      </c>
      <c r="B975">
        <v>5.2</v>
      </c>
      <c r="C975">
        <v>0.2</v>
      </c>
      <c r="D975">
        <v>9.1999999999999993</v>
      </c>
      <c r="E975">
        <v>0.7</v>
      </c>
      <c r="F975">
        <v>8.6999999999999993</v>
      </c>
      <c r="G975">
        <v>2.82</v>
      </c>
      <c r="H975" t="s">
        <v>9</v>
      </c>
    </row>
    <row r="976" spans="1:8" x14ac:dyDescent="0.25">
      <c r="A976">
        <v>975</v>
      </c>
      <c r="B976">
        <v>5.2</v>
      </c>
      <c r="C976">
        <v>1.8</v>
      </c>
      <c r="D976">
        <v>9.1999999999999993</v>
      </c>
      <c r="E976">
        <v>1.6</v>
      </c>
      <c r="F976">
        <v>6.2</v>
      </c>
      <c r="G976">
        <v>2.68</v>
      </c>
      <c r="H976" t="s">
        <v>9</v>
      </c>
    </row>
    <row r="977" spans="1:8" x14ac:dyDescent="0.25">
      <c r="A977">
        <v>976</v>
      </c>
      <c r="B977">
        <v>7.2</v>
      </c>
      <c r="C977">
        <v>2.2999999999999998</v>
      </c>
      <c r="D977">
        <v>7.9</v>
      </c>
      <c r="E977">
        <v>2</v>
      </c>
      <c r="F977">
        <v>4.5999999999999996</v>
      </c>
      <c r="G977">
        <v>3.06</v>
      </c>
      <c r="H977" t="s">
        <v>8</v>
      </c>
    </row>
    <row r="978" spans="1:8" x14ac:dyDescent="0.25">
      <c r="A978">
        <v>977</v>
      </c>
      <c r="B978">
        <v>6.6</v>
      </c>
      <c r="C978">
        <v>0.4</v>
      </c>
      <c r="D978">
        <v>6.8</v>
      </c>
      <c r="E978">
        <v>0.6</v>
      </c>
      <c r="F978">
        <v>9.6</v>
      </c>
      <c r="G978">
        <v>3.31</v>
      </c>
      <c r="H978" t="s">
        <v>8</v>
      </c>
    </row>
    <row r="979" spans="1:8" x14ac:dyDescent="0.25">
      <c r="A979">
        <v>978</v>
      </c>
      <c r="B979">
        <v>6.4</v>
      </c>
      <c r="C979">
        <v>2.5</v>
      </c>
      <c r="D979">
        <v>7.3</v>
      </c>
      <c r="E979">
        <v>2.9</v>
      </c>
      <c r="F979">
        <v>4.9000000000000004</v>
      </c>
      <c r="G979">
        <v>3.12</v>
      </c>
      <c r="H979" t="s">
        <v>8</v>
      </c>
    </row>
    <row r="980" spans="1:8" x14ac:dyDescent="0.25">
      <c r="A980">
        <v>979</v>
      </c>
      <c r="B980">
        <v>8.8000000000000007</v>
      </c>
      <c r="C980">
        <v>1.1000000000000001</v>
      </c>
      <c r="D980">
        <v>6.6</v>
      </c>
      <c r="E980">
        <v>5.5</v>
      </c>
      <c r="F980">
        <v>2</v>
      </c>
      <c r="G980">
        <v>3.32</v>
      </c>
      <c r="H980" t="s">
        <v>10</v>
      </c>
    </row>
    <row r="981" spans="1:8" x14ac:dyDescent="0.25">
      <c r="A981">
        <v>980</v>
      </c>
      <c r="B981">
        <v>9.6</v>
      </c>
      <c r="C981">
        <v>2.4</v>
      </c>
      <c r="D981">
        <v>7.7</v>
      </c>
      <c r="E981">
        <v>1.1000000000000001</v>
      </c>
      <c r="F981">
        <v>3.2</v>
      </c>
      <c r="G981">
        <v>3.3</v>
      </c>
      <c r="H981" t="s">
        <v>10</v>
      </c>
    </row>
    <row r="982" spans="1:8" x14ac:dyDescent="0.25">
      <c r="A982">
        <v>981</v>
      </c>
      <c r="B982">
        <v>6.7</v>
      </c>
      <c r="C982">
        <v>3.4</v>
      </c>
      <c r="D982">
        <v>7.8</v>
      </c>
      <c r="E982">
        <v>3.1</v>
      </c>
      <c r="F982">
        <v>3</v>
      </c>
      <c r="G982">
        <v>2.98</v>
      </c>
      <c r="H982" t="s">
        <v>8</v>
      </c>
    </row>
    <row r="983" spans="1:8" x14ac:dyDescent="0.25">
      <c r="A983">
        <v>982</v>
      </c>
      <c r="B983">
        <v>8</v>
      </c>
      <c r="C983">
        <v>0.3</v>
      </c>
      <c r="D983">
        <v>8.4</v>
      </c>
      <c r="E983">
        <v>5.6</v>
      </c>
      <c r="F983">
        <v>1.7</v>
      </c>
      <c r="G983">
        <v>3.28</v>
      </c>
      <c r="H983" t="s">
        <v>8</v>
      </c>
    </row>
    <row r="984" spans="1:8" x14ac:dyDescent="0.25">
      <c r="A984">
        <v>983</v>
      </c>
      <c r="B984">
        <v>7.9</v>
      </c>
      <c r="C984">
        <v>0.5</v>
      </c>
      <c r="D984">
        <v>7.9</v>
      </c>
      <c r="E984">
        <v>4.5999999999999996</v>
      </c>
      <c r="F984">
        <v>3.1</v>
      </c>
      <c r="G984">
        <v>3.38</v>
      </c>
      <c r="H984" t="s">
        <v>8</v>
      </c>
    </row>
    <row r="985" spans="1:8" x14ac:dyDescent="0.25">
      <c r="A985">
        <v>984</v>
      </c>
      <c r="B985">
        <v>8.1999999999999993</v>
      </c>
      <c r="C985">
        <v>3.6</v>
      </c>
      <c r="D985">
        <v>8.1</v>
      </c>
      <c r="E985">
        <v>0.5</v>
      </c>
      <c r="F985">
        <v>3.6</v>
      </c>
      <c r="G985">
        <v>3.18</v>
      </c>
      <c r="H985" t="s">
        <v>10</v>
      </c>
    </row>
    <row r="986" spans="1:8" x14ac:dyDescent="0.25">
      <c r="A986">
        <v>985</v>
      </c>
      <c r="B986">
        <v>6.5</v>
      </c>
      <c r="C986">
        <v>0.8</v>
      </c>
      <c r="D986">
        <v>9.5</v>
      </c>
      <c r="E986">
        <v>4.5999999999999996</v>
      </c>
      <c r="F986">
        <v>2.6</v>
      </c>
      <c r="G986">
        <v>2.74</v>
      </c>
      <c r="H986" t="s">
        <v>8</v>
      </c>
    </row>
    <row r="987" spans="1:8" x14ac:dyDescent="0.25">
      <c r="A987">
        <v>986</v>
      </c>
      <c r="B987">
        <v>5.9</v>
      </c>
      <c r="C987">
        <v>3</v>
      </c>
      <c r="D987">
        <v>7.4</v>
      </c>
      <c r="E987">
        <v>1.4</v>
      </c>
      <c r="F987">
        <v>6.3</v>
      </c>
      <c r="G987">
        <v>3.1</v>
      </c>
      <c r="H987" t="s">
        <v>9</v>
      </c>
    </row>
    <row r="988" spans="1:8" x14ac:dyDescent="0.25">
      <c r="A988">
        <v>987</v>
      </c>
      <c r="B988">
        <v>8.1</v>
      </c>
      <c r="C988">
        <v>0.2</v>
      </c>
      <c r="D988">
        <v>6.6</v>
      </c>
      <c r="E988">
        <v>2.8</v>
      </c>
      <c r="F988">
        <v>6.3</v>
      </c>
      <c r="G988">
        <v>3.14</v>
      </c>
      <c r="H988" t="s">
        <v>10</v>
      </c>
    </row>
    <row r="989" spans="1:8" x14ac:dyDescent="0.25">
      <c r="A989">
        <v>988</v>
      </c>
      <c r="B989">
        <v>6</v>
      </c>
      <c r="C989">
        <v>3.1</v>
      </c>
      <c r="D989">
        <v>7.1</v>
      </c>
      <c r="E989">
        <v>3.4</v>
      </c>
      <c r="F989">
        <v>4.4000000000000004</v>
      </c>
      <c r="G989">
        <v>2.84</v>
      </c>
      <c r="H989" t="s">
        <v>8</v>
      </c>
    </row>
    <row r="990" spans="1:8" x14ac:dyDescent="0.25">
      <c r="A990">
        <v>989</v>
      </c>
      <c r="B990">
        <v>5.0999999999999996</v>
      </c>
      <c r="C990">
        <v>0.1</v>
      </c>
      <c r="D990">
        <v>7.2</v>
      </c>
      <c r="E990">
        <v>4.9000000000000004</v>
      </c>
      <c r="F990">
        <v>6.7</v>
      </c>
      <c r="G990">
        <v>2.94</v>
      </c>
      <c r="H990" t="s">
        <v>9</v>
      </c>
    </row>
    <row r="991" spans="1:8" x14ac:dyDescent="0.25">
      <c r="A991">
        <v>990</v>
      </c>
      <c r="B991">
        <v>6.9</v>
      </c>
      <c r="C991">
        <v>3.3</v>
      </c>
      <c r="D991">
        <v>5.7</v>
      </c>
      <c r="E991">
        <v>5.6</v>
      </c>
      <c r="F991">
        <v>2.5</v>
      </c>
      <c r="G991">
        <v>3.05</v>
      </c>
      <c r="H991" t="s">
        <v>10</v>
      </c>
    </row>
    <row r="992" spans="1:8" x14ac:dyDescent="0.25">
      <c r="A992">
        <v>991</v>
      </c>
      <c r="B992">
        <v>8.8000000000000007</v>
      </c>
      <c r="C992">
        <v>3.8</v>
      </c>
      <c r="D992">
        <v>8.4</v>
      </c>
      <c r="E992">
        <v>1.1000000000000001</v>
      </c>
      <c r="F992">
        <v>1.9</v>
      </c>
      <c r="G992">
        <v>3.3</v>
      </c>
      <c r="H992" t="s">
        <v>10</v>
      </c>
    </row>
    <row r="993" spans="1:8" x14ac:dyDescent="0.25">
      <c r="A993">
        <v>992</v>
      </c>
      <c r="B993">
        <v>6.7</v>
      </c>
      <c r="C993">
        <v>2.8</v>
      </c>
      <c r="D993">
        <v>8.8000000000000007</v>
      </c>
      <c r="E993">
        <v>5.3</v>
      </c>
      <c r="F993">
        <v>0.4</v>
      </c>
      <c r="G993">
        <v>3.05</v>
      </c>
      <c r="H993" t="s">
        <v>8</v>
      </c>
    </row>
    <row r="994" spans="1:8" x14ac:dyDescent="0.25">
      <c r="A994">
        <v>993</v>
      </c>
      <c r="B994">
        <v>6</v>
      </c>
      <c r="C994">
        <v>3.2</v>
      </c>
      <c r="D994">
        <v>8.6999999999999993</v>
      </c>
      <c r="E994">
        <v>0.4</v>
      </c>
      <c r="F994">
        <v>5.7</v>
      </c>
      <c r="G994">
        <v>2.6</v>
      </c>
      <c r="H994" t="s">
        <v>8</v>
      </c>
    </row>
    <row r="995" spans="1:8" x14ac:dyDescent="0.25">
      <c r="A995">
        <v>994</v>
      </c>
      <c r="B995">
        <v>6.5</v>
      </c>
      <c r="C995">
        <v>3.9</v>
      </c>
      <c r="D995">
        <v>8.1999999999999993</v>
      </c>
      <c r="E995">
        <v>3.9</v>
      </c>
      <c r="F995">
        <v>1.5</v>
      </c>
      <c r="G995">
        <v>2.82</v>
      </c>
      <c r="H995" t="s">
        <v>8</v>
      </c>
    </row>
    <row r="996" spans="1:8" x14ac:dyDescent="0.25">
      <c r="A996">
        <v>995</v>
      </c>
      <c r="B996">
        <v>9.9</v>
      </c>
      <c r="C996">
        <v>1.5</v>
      </c>
      <c r="D996">
        <v>9</v>
      </c>
      <c r="E996">
        <v>1.6</v>
      </c>
      <c r="F996">
        <v>2</v>
      </c>
      <c r="G996">
        <v>3.44</v>
      </c>
      <c r="H996" t="s">
        <v>10</v>
      </c>
    </row>
    <row r="997" spans="1:8" x14ac:dyDescent="0.25">
      <c r="A997">
        <v>996</v>
      </c>
      <c r="B997">
        <v>9.6999999999999993</v>
      </c>
      <c r="C997">
        <v>0.9</v>
      </c>
      <c r="D997">
        <v>6.6</v>
      </c>
      <c r="E997">
        <v>4.5</v>
      </c>
      <c r="F997">
        <v>2.2999999999999998</v>
      </c>
      <c r="G997">
        <v>3.5</v>
      </c>
      <c r="H997" t="s">
        <v>10</v>
      </c>
    </row>
    <row r="998" spans="1:8" x14ac:dyDescent="0.25">
      <c r="A998">
        <v>997</v>
      </c>
      <c r="B998">
        <v>7</v>
      </c>
      <c r="C998">
        <v>2.4</v>
      </c>
      <c r="D998">
        <v>7.2</v>
      </c>
      <c r="E998">
        <v>4.5</v>
      </c>
      <c r="F998">
        <v>2.9</v>
      </c>
      <c r="G998">
        <v>3</v>
      </c>
      <c r="H998" t="s">
        <v>8</v>
      </c>
    </row>
    <row r="999" spans="1:8" x14ac:dyDescent="0.25">
      <c r="A999">
        <v>998</v>
      </c>
      <c r="B999">
        <v>5.8</v>
      </c>
      <c r="C999">
        <v>1.4</v>
      </c>
      <c r="D999">
        <v>7</v>
      </c>
      <c r="E999">
        <v>0.3</v>
      </c>
      <c r="F999">
        <v>9.5</v>
      </c>
      <c r="G999">
        <v>2.4900000000000002</v>
      </c>
      <c r="H999" t="s">
        <v>9</v>
      </c>
    </row>
    <row r="1000" spans="1:8" x14ac:dyDescent="0.25">
      <c r="A1000">
        <v>999</v>
      </c>
      <c r="B1000">
        <v>7.9</v>
      </c>
      <c r="C1000">
        <v>3.5</v>
      </c>
      <c r="D1000">
        <v>5.8</v>
      </c>
      <c r="E1000">
        <v>3.6</v>
      </c>
      <c r="F1000">
        <v>3.2</v>
      </c>
      <c r="G1000">
        <v>3.01</v>
      </c>
      <c r="H1000" t="s">
        <v>10</v>
      </c>
    </row>
    <row r="1001" spans="1:8" x14ac:dyDescent="0.25">
      <c r="A1001">
        <v>1000</v>
      </c>
      <c r="B1001">
        <v>8.5</v>
      </c>
      <c r="C1001">
        <v>1.6</v>
      </c>
      <c r="D1001">
        <v>7.5</v>
      </c>
      <c r="E1001">
        <v>0</v>
      </c>
      <c r="F1001">
        <v>6.4</v>
      </c>
      <c r="G1001">
        <v>3.63</v>
      </c>
      <c r="H1001" t="s">
        <v>10</v>
      </c>
    </row>
    <row r="1002" spans="1:8" x14ac:dyDescent="0.25">
      <c r="A1002">
        <v>1001</v>
      </c>
      <c r="B1002">
        <v>8.5</v>
      </c>
      <c r="C1002">
        <v>2.6</v>
      </c>
      <c r="D1002">
        <v>5.2</v>
      </c>
      <c r="E1002">
        <v>2.2000000000000002</v>
      </c>
      <c r="F1002">
        <v>5.5</v>
      </c>
      <c r="G1002">
        <v>3.26</v>
      </c>
      <c r="H1002" t="s">
        <v>10</v>
      </c>
    </row>
    <row r="1003" spans="1:8" x14ac:dyDescent="0.25">
      <c r="A1003">
        <v>1002</v>
      </c>
      <c r="B1003">
        <v>7.5</v>
      </c>
      <c r="C1003">
        <v>3.6</v>
      </c>
      <c r="D1003">
        <v>8.6</v>
      </c>
      <c r="E1003">
        <v>2.5</v>
      </c>
      <c r="F1003">
        <v>1.8</v>
      </c>
      <c r="G1003">
        <v>3.19</v>
      </c>
      <c r="H1003" t="s">
        <v>8</v>
      </c>
    </row>
    <row r="1004" spans="1:8" x14ac:dyDescent="0.25">
      <c r="A1004">
        <v>1003</v>
      </c>
      <c r="B1004">
        <v>9</v>
      </c>
      <c r="C1004">
        <v>3.5</v>
      </c>
      <c r="D1004">
        <v>7.3</v>
      </c>
      <c r="E1004">
        <v>2</v>
      </c>
      <c r="F1004">
        <v>2.2000000000000002</v>
      </c>
      <c r="G1004">
        <v>3.43</v>
      </c>
      <c r="H1004" t="s">
        <v>10</v>
      </c>
    </row>
    <row r="1005" spans="1:8" x14ac:dyDescent="0.25">
      <c r="A1005">
        <v>1004</v>
      </c>
      <c r="B1005">
        <v>8.5</v>
      </c>
      <c r="C1005">
        <v>0.3</v>
      </c>
      <c r="D1005">
        <v>9.3000000000000007</v>
      </c>
      <c r="E1005">
        <v>2.8</v>
      </c>
      <c r="F1005">
        <v>3.1</v>
      </c>
      <c r="G1005">
        <v>3.26</v>
      </c>
      <c r="H1005" t="s">
        <v>10</v>
      </c>
    </row>
    <row r="1006" spans="1:8" x14ac:dyDescent="0.25">
      <c r="A1006">
        <v>1005</v>
      </c>
      <c r="B1006">
        <v>5.3</v>
      </c>
      <c r="C1006">
        <v>2.2000000000000002</v>
      </c>
      <c r="D1006">
        <v>7.1</v>
      </c>
      <c r="E1006">
        <v>5.3</v>
      </c>
      <c r="F1006">
        <v>4.0999999999999996</v>
      </c>
      <c r="G1006">
        <v>2.9</v>
      </c>
      <c r="H1006" t="s">
        <v>9</v>
      </c>
    </row>
    <row r="1007" spans="1:8" x14ac:dyDescent="0.25">
      <c r="A1007">
        <v>1006</v>
      </c>
      <c r="B1007">
        <v>7.8</v>
      </c>
      <c r="C1007">
        <v>0.2</v>
      </c>
      <c r="D1007">
        <v>9.9</v>
      </c>
      <c r="E1007">
        <v>3.1</v>
      </c>
      <c r="F1007">
        <v>3</v>
      </c>
      <c r="G1007">
        <v>3.07</v>
      </c>
      <c r="H1007" t="s">
        <v>8</v>
      </c>
    </row>
    <row r="1008" spans="1:8" x14ac:dyDescent="0.25">
      <c r="A1008">
        <v>1007</v>
      </c>
      <c r="B1008">
        <v>6.5</v>
      </c>
      <c r="C1008">
        <v>1.9</v>
      </c>
      <c r="D1008">
        <v>9.3000000000000007</v>
      </c>
      <c r="E1008">
        <v>1.8</v>
      </c>
      <c r="F1008">
        <v>4.5</v>
      </c>
      <c r="G1008">
        <v>2.92</v>
      </c>
      <c r="H1008" t="s">
        <v>8</v>
      </c>
    </row>
    <row r="1009" spans="1:8" x14ac:dyDescent="0.25">
      <c r="A1009">
        <v>1008</v>
      </c>
      <c r="B1009">
        <v>6.5</v>
      </c>
      <c r="C1009">
        <v>3.1</v>
      </c>
      <c r="D1009">
        <v>7.4</v>
      </c>
      <c r="E1009">
        <v>1.4</v>
      </c>
      <c r="F1009">
        <v>5.6</v>
      </c>
      <c r="G1009">
        <v>2.93</v>
      </c>
      <c r="H1009" t="s">
        <v>8</v>
      </c>
    </row>
    <row r="1010" spans="1:8" x14ac:dyDescent="0.25">
      <c r="A1010">
        <v>1009</v>
      </c>
      <c r="B1010">
        <v>5.8</v>
      </c>
      <c r="C1010">
        <v>1.3</v>
      </c>
      <c r="D1010">
        <v>9.6999999999999993</v>
      </c>
      <c r="E1010">
        <v>2.1</v>
      </c>
      <c r="F1010">
        <v>5.0999999999999996</v>
      </c>
      <c r="G1010">
        <v>2.87</v>
      </c>
      <c r="H1010" t="s">
        <v>9</v>
      </c>
    </row>
    <row r="1011" spans="1:8" x14ac:dyDescent="0.25">
      <c r="A1011">
        <v>1010</v>
      </c>
      <c r="B1011">
        <v>5.9</v>
      </c>
      <c r="C1011">
        <v>3.6</v>
      </c>
      <c r="D1011">
        <v>7.3</v>
      </c>
      <c r="E1011">
        <v>4.3</v>
      </c>
      <c r="F1011">
        <v>2.9</v>
      </c>
      <c r="G1011">
        <v>2.95</v>
      </c>
      <c r="H1011" t="s">
        <v>9</v>
      </c>
    </row>
    <row r="1012" spans="1:8" x14ac:dyDescent="0.25">
      <c r="A1012">
        <v>1011</v>
      </c>
      <c r="B1012">
        <v>9.9</v>
      </c>
      <c r="C1012">
        <v>0.2</v>
      </c>
      <c r="D1012">
        <v>5.5</v>
      </c>
      <c r="E1012">
        <v>4.3</v>
      </c>
      <c r="F1012">
        <v>4.0999999999999996</v>
      </c>
      <c r="G1012">
        <v>3.32</v>
      </c>
      <c r="H1012" t="s">
        <v>10</v>
      </c>
    </row>
    <row r="1013" spans="1:8" x14ac:dyDescent="0.25">
      <c r="A1013">
        <v>1012</v>
      </c>
      <c r="B1013">
        <v>5.2</v>
      </c>
      <c r="C1013">
        <v>0.1</v>
      </c>
      <c r="D1013">
        <v>8.9</v>
      </c>
      <c r="E1013">
        <v>0.8</v>
      </c>
      <c r="F1013">
        <v>9</v>
      </c>
      <c r="G1013">
        <v>2.66</v>
      </c>
      <c r="H1013" t="s">
        <v>9</v>
      </c>
    </row>
    <row r="1014" spans="1:8" x14ac:dyDescent="0.25">
      <c r="A1014">
        <v>1013</v>
      </c>
      <c r="B1014">
        <v>7.3</v>
      </c>
      <c r="C1014">
        <v>2.4</v>
      </c>
      <c r="D1014">
        <v>7.1</v>
      </c>
      <c r="E1014">
        <v>0.2</v>
      </c>
      <c r="F1014">
        <v>7</v>
      </c>
      <c r="G1014">
        <v>3.17</v>
      </c>
      <c r="H1014" t="s">
        <v>8</v>
      </c>
    </row>
    <row r="1015" spans="1:8" x14ac:dyDescent="0.25">
      <c r="A1015">
        <v>1014</v>
      </c>
      <c r="B1015">
        <v>7.2</v>
      </c>
      <c r="C1015">
        <v>2.1</v>
      </c>
      <c r="D1015">
        <v>7.4</v>
      </c>
      <c r="E1015">
        <v>2.2999999999999998</v>
      </c>
      <c r="F1015">
        <v>5</v>
      </c>
      <c r="G1015">
        <v>3.13</v>
      </c>
      <c r="H1015" t="s">
        <v>8</v>
      </c>
    </row>
    <row r="1016" spans="1:8" x14ac:dyDescent="0.25">
      <c r="A1016">
        <v>1015</v>
      </c>
      <c r="B1016">
        <v>9.4</v>
      </c>
      <c r="C1016">
        <v>3.6</v>
      </c>
      <c r="D1016">
        <v>6.7</v>
      </c>
      <c r="E1016">
        <v>2.6</v>
      </c>
      <c r="F1016">
        <v>1.7</v>
      </c>
      <c r="G1016">
        <v>2.81</v>
      </c>
      <c r="H1016" t="s">
        <v>10</v>
      </c>
    </row>
    <row r="1017" spans="1:8" x14ac:dyDescent="0.25">
      <c r="A1017">
        <v>1016</v>
      </c>
      <c r="B1017">
        <v>6.4</v>
      </c>
      <c r="C1017">
        <v>3.8</v>
      </c>
      <c r="D1017">
        <v>5.7</v>
      </c>
      <c r="E1017">
        <v>3.5</v>
      </c>
      <c r="F1017">
        <v>4.5999999999999996</v>
      </c>
      <c r="G1017">
        <v>3.07</v>
      </c>
      <c r="H1017" t="s">
        <v>10</v>
      </c>
    </row>
    <row r="1018" spans="1:8" x14ac:dyDescent="0.25">
      <c r="A1018">
        <v>1017</v>
      </c>
      <c r="B1018">
        <v>6.4</v>
      </c>
      <c r="C1018">
        <v>1.1000000000000001</v>
      </c>
      <c r="D1018">
        <v>7</v>
      </c>
      <c r="E1018">
        <v>6</v>
      </c>
      <c r="F1018">
        <v>3.5</v>
      </c>
      <c r="G1018">
        <v>2.98</v>
      </c>
      <c r="H1018" t="s">
        <v>8</v>
      </c>
    </row>
    <row r="1019" spans="1:8" x14ac:dyDescent="0.25">
      <c r="A1019">
        <v>1018</v>
      </c>
      <c r="B1019">
        <v>5.4</v>
      </c>
      <c r="C1019">
        <v>0.6</v>
      </c>
      <c r="D1019">
        <v>7.2</v>
      </c>
      <c r="E1019">
        <v>3.1</v>
      </c>
      <c r="F1019">
        <v>7.7</v>
      </c>
      <c r="G1019">
        <v>2.68</v>
      </c>
      <c r="H1019" t="s">
        <v>9</v>
      </c>
    </row>
    <row r="1020" spans="1:8" x14ac:dyDescent="0.25">
      <c r="A1020">
        <v>1019</v>
      </c>
      <c r="B1020">
        <v>6.3</v>
      </c>
      <c r="C1020">
        <v>1.3</v>
      </c>
      <c r="D1020">
        <v>5.4</v>
      </c>
      <c r="E1020">
        <v>1.8</v>
      </c>
      <c r="F1020">
        <v>9.1999999999999993</v>
      </c>
      <c r="G1020">
        <v>3.1</v>
      </c>
      <c r="H1020" t="s">
        <v>10</v>
      </c>
    </row>
    <row r="1021" spans="1:8" x14ac:dyDescent="0.25">
      <c r="A1021">
        <v>1020</v>
      </c>
      <c r="B1021">
        <v>9.5</v>
      </c>
      <c r="C1021">
        <v>0</v>
      </c>
      <c r="D1021">
        <v>9.1</v>
      </c>
      <c r="E1021">
        <v>5.0999999999999996</v>
      </c>
      <c r="F1021">
        <v>0.3</v>
      </c>
      <c r="G1021">
        <v>3.05</v>
      </c>
      <c r="H1021" t="s">
        <v>10</v>
      </c>
    </row>
    <row r="1022" spans="1:8" x14ac:dyDescent="0.25">
      <c r="A1022">
        <v>1021</v>
      </c>
      <c r="B1022">
        <v>5.5</v>
      </c>
      <c r="C1022">
        <v>0.6</v>
      </c>
      <c r="D1022">
        <v>9.8000000000000007</v>
      </c>
      <c r="E1022">
        <v>3.2</v>
      </c>
      <c r="F1022">
        <v>4.9000000000000004</v>
      </c>
      <c r="G1022">
        <v>3.2</v>
      </c>
      <c r="H1022" t="s">
        <v>9</v>
      </c>
    </row>
    <row r="1023" spans="1:8" x14ac:dyDescent="0.25">
      <c r="A1023">
        <v>1022</v>
      </c>
      <c r="B1023">
        <v>8.6999999999999993</v>
      </c>
      <c r="C1023">
        <v>4</v>
      </c>
      <c r="D1023">
        <v>6.4</v>
      </c>
      <c r="E1023">
        <v>2.6</v>
      </c>
      <c r="F1023">
        <v>2.2999999999999998</v>
      </c>
      <c r="G1023">
        <v>3.21</v>
      </c>
      <c r="H1023" t="s">
        <v>10</v>
      </c>
    </row>
    <row r="1024" spans="1:8" x14ac:dyDescent="0.25">
      <c r="A1024">
        <v>1023</v>
      </c>
      <c r="B1024">
        <v>7.7</v>
      </c>
      <c r="C1024">
        <v>1.6</v>
      </c>
      <c r="D1024">
        <v>5.8</v>
      </c>
      <c r="E1024">
        <v>5.9</v>
      </c>
      <c r="F1024">
        <v>3</v>
      </c>
      <c r="G1024">
        <v>3.15</v>
      </c>
      <c r="H1024" t="s">
        <v>10</v>
      </c>
    </row>
    <row r="1025" spans="1:8" x14ac:dyDescent="0.25">
      <c r="A1025">
        <v>1024</v>
      </c>
      <c r="B1025">
        <v>8</v>
      </c>
      <c r="C1025">
        <v>0.9</v>
      </c>
      <c r="D1025">
        <v>7.7</v>
      </c>
      <c r="E1025">
        <v>4.2</v>
      </c>
      <c r="F1025">
        <v>3.2</v>
      </c>
      <c r="G1025">
        <v>3.44</v>
      </c>
      <c r="H1025" t="s">
        <v>8</v>
      </c>
    </row>
    <row r="1026" spans="1:8" x14ac:dyDescent="0.25">
      <c r="A1026">
        <v>1025</v>
      </c>
      <c r="B1026">
        <v>7.6</v>
      </c>
      <c r="C1026">
        <v>4</v>
      </c>
      <c r="D1026">
        <v>8.1</v>
      </c>
      <c r="E1026">
        <v>1.6</v>
      </c>
      <c r="F1026">
        <v>2.7</v>
      </c>
      <c r="G1026">
        <v>3.02</v>
      </c>
      <c r="H1026" t="s">
        <v>8</v>
      </c>
    </row>
    <row r="1027" spans="1:8" x14ac:dyDescent="0.25">
      <c r="A1027">
        <v>1026</v>
      </c>
      <c r="B1027">
        <v>6.9</v>
      </c>
      <c r="C1027">
        <v>1.4</v>
      </c>
      <c r="D1027">
        <v>7.2</v>
      </c>
      <c r="E1027">
        <v>4.7</v>
      </c>
      <c r="F1027">
        <v>3.8</v>
      </c>
      <c r="G1027">
        <v>3.14</v>
      </c>
      <c r="H1027" t="s">
        <v>8</v>
      </c>
    </row>
    <row r="1028" spans="1:8" x14ac:dyDescent="0.25">
      <c r="A1028">
        <v>1027</v>
      </c>
      <c r="B1028">
        <v>7.4</v>
      </c>
      <c r="C1028">
        <v>3.2</v>
      </c>
      <c r="D1028">
        <v>7.9</v>
      </c>
      <c r="E1028">
        <v>1.9</v>
      </c>
      <c r="F1028">
        <v>3.6</v>
      </c>
      <c r="G1028">
        <v>2.99</v>
      </c>
      <c r="H1028" t="s">
        <v>8</v>
      </c>
    </row>
    <row r="1029" spans="1:8" x14ac:dyDescent="0.25">
      <c r="A1029">
        <v>1028</v>
      </c>
      <c r="B1029">
        <v>6.1</v>
      </c>
      <c r="C1029">
        <v>2</v>
      </c>
      <c r="D1029">
        <v>6.3</v>
      </c>
      <c r="E1029">
        <v>0.1</v>
      </c>
      <c r="F1029">
        <v>9.5</v>
      </c>
      <c r="G1029">
        <v>3.05</v>
      </c>
      <c r="H1029" t="s">
        <v>8</v>
      </c>
    </row>
    <row r="1030" spans="1:8" x14ac:dyDescent="0.25">
      <c r="A1030">
        <v>1029</v>
      </c>
      <c r="B1030">
        <v>8.1999999999999993</v>
      </c>
      <c r="C1030">
        <v>2</v>
      </c>
      <c r="D1030">
        <v>7.2</v>
      </c>
      <c r="E1030">
        <v>5.8</v>
      </c>
      <c r="F1030">
        <v>0.8</v>
      </c>
      <c r="G1030">
        <v>3.45</v>
      </c>
      <c r="H1030" t="s">
        <v>10</v>
      </c>
    </row>
    <row r="1031" spans="1:8" x14ac:dyDescent="0.25">
      <c r="A1031">
        <v>1030</v>
      </c>
      <c r="B1031">
        <v>5.7</v>
      </c>
      <c r="C1031">
        <v>2.2999999999999998</v>
      </c>
      <c r="D1031">
        <v>9.3000000000000007</v>
      </c>
      <c r="E1031">
        <v>3.5</v>
      </c>
      <c r="F1031">
        <v>3.2</v>
      </c>
      <c r="G1031">
        <v>2.9</v>
      </c>
      <c r="H1031" t="s">
        <v>9</v>
      </c>
    </row>
    <row r="1032" spans="1:8" x14ac:dyDescent="0.25">
      <c r="A1032">
        <v>1031</v>
      </c>
      <c r="B1032">
        <v>8.6</v>
      </c>
      <c r="C1032">
        <v>1.5</v>
      </c>
      <c r="D1032">
        <v>5.5</v>
      </c>
      <c r="E1032">
        <v>2.7</v>
      </c>
      <c r="F1032">
        <v>5.7</v>
      </c>
      <c r="G1032">
        <v>3.49</v>
      </c>
      <c r="H1032" t="s">
        <v>10</v>
      </c>
    </row>
    <row r="1033" spans="1:8" x14ac:dyDescent="0.25">
      <c r="A1033">
        <v>1032</v>
      </c>
      <c r="B1033">
        <v>6.2</v>
      </c>
      <c r="C1033">
        <v>3.9</v>
      </c>
      <c r="D1033">
        <v>9.8000000000000007</v>
      </c>
      <c r="E1033">
        <v>1</v>
      </c>
      <c r="F1033">
        <v>3.1</v>
      </c>
      <c r="G1033">
        <v>2.87</v>
      </c>
      <c r="H1033" t="s">
        <v>8</v>
      </c>
    </row>
    <row r="1034" spans="1:8" x14ac:dyDescent="0.25">
      <c r="A1034">
        <v>1033</v>
      </c>
      <c r="B1034">
        <v>6.7</v>
      </c>
      <c r="C1034">
        <v>3.6</v>
      </c>
      <c r="D1034">
        <v>9.8000000000000007</v>
      </c>
      <c r="E1034">
        <v>1.7</v>
      </c>
      <c r="F1034">
        <v>2.2000000000000002</v>
      </c>
      <c r="G1034">
        <v>3.06</v>
      </c>
      <c r="H1034" t="s">
        <v>8</v>
      </c>
    </row>
    <row r="1035" spans="1:8" x14ac:dyDescent="0.25">
      <c r="A1035">
        <v>1034</v>
      </c>
      <c r="B1035">
        <v>8.4</v>
      </c>
      <c r="C1035">
        <v>1.1000000000000001</v>
      </c>
      <c r="D1035">
        <v>8.6999999999999993</v>
      </c>
      <c r="E1035">
        <v>0.3</v>
      </c>
      <c r="F1035">
        <v>5.5</v>
      </c>
      <c r="G1035">
        <v>2.86</v>
      </c>
      <c r="H1035" t="s">
        <v>10</v>
      </c>
    </row>
    <row r="1036" spans="1:8" x14ac:dyDescent="0.25">
      <c r="A1036">
        <v>1035</v>
      </c>
      <c r="B1036">
        <v>5.2</v>
      </c>
      <c r="C1036">
        <v>1.5</v>
      </c>
      <c r="D1036">
        <v>6.8</v>
      </c>
      <c r="E1036">
        <v>1.9</v>
      </c>
      <c r="F1036">
        <v>8.6</v>
      </c>
      <c r="G1036">
        <v>2.38</v>
      </c>
      <c r="H1036" t="s">
        <v>9</v>
      </c>
    </row>
    <row r="1037" spans="1:8" x14ac:dyDescent="0.25">
      <c r="A1037">
        <v>1036</v>
      </c>
      <c r="B1037">
        <v>6</v>
      </c>
      <c r="C1037">
        <v>1.2</v>
      </c>
      <c r="D1037">
        <v>9.9</v>
      </c>
      <c r="E1037">
        <v>2.5</v>
      </c>
      <c r="F1037">
        <v>4.4000000000000004</v>
      </c>
      <c r="G1037">
        <v>2.88</v>
      </c>
      <c r="H1037" t="s">
        <v>8</v>
      </c>
    </row>
    <row r="1038" spans="1:8" x14ac:dyDescent="0.25">
      <c r="A1038">
        <v>1037</v>
      </c>
      <c r="B1038">
        <v>7.2</v>
      </c>
      <c r="C1038">
        <v>2.2999999999999998</v>
      </c>
      <c r="D1038">
        <v>9.9</v>
      </c>
      <c r="E1038">
        <v>1.1000000000000001</v>
      </c>
      <c r="F1038">
        <v>3.5</v>
      </c>
      <c r="G1038">
        <v>3.31</v>
      </c>
      <c r="H1038" t="s">
        <v>8</v>
      </c>
    </row>
    <row r="1039" spans="1:8" x14ac:dyDescent="0.25">
      <c r="A1039">
        <v>1038</v>
      </c>
      <c r="B1039">
        <v>8</v>
      </c>
      <c r="C1039">
        <v>0.4</v>
      </c>
      <c r="D1039">
        <v>8.4</v>
      </c>
      <c r="E1039">
        <v>0.4</v>
      </c>
      <c r="F1039">
        <v>6.8</v>
      </c>
      <c r="G1039">
        <v>3.39</v>
      </c>
      <c r="H1039" t="s">
        <v>8</v>
      </c>
    </row>
    <row r="1040" spans="1:8" x14ac:dyDescent="0.25">
      <c r="A1040">
        <v>1039</v>
      </c>
      <c r="B1040">
        <v>8</v>
      </c>
      <c r="C1040">
        <v>3</v>
      </c>
      <c r="D1040">
        <v>6.1</v>
      </c>
      <c r="E1040">
        <v>5</v>
      </c>
      <c r="F1040">
        <v>1.9</v>
      </c>
      <c r="G1040">
        <v>2.9</v>
      </c>
      <c r="H1040" t="s">
        <v>8</v>
      </c>
    </row>
    <row r="1041" spans="1:8" x14ac:dyDescent="0.25">
      <c r="A1041">
        <v>1040</v>
      </c>
      <c r="B1041">
        <v>5.7</v>
      </c>
      <c r="C1041">
        <v>3.8</v>
      </c>
      <c r="D1041">
        <v>5.4</v>
      </c>
      <c r="E1041">
        <v>1.2</v>
      </c>
      <c r="F1041">
        <v>7.9</v>
      </c>
      <c r="G1041">
        <v>2.81</v>
      </c>
      <c r="H1041" t="s">
        <v>10</v>
      </c>
    </row>
    <row r="1042" spans="1:8" x14ac:dyDescent="0.25">
      <c r="A1042">
        <v>1041</v>
      </c>
      <c r="B1042">
        <v>6.7</v>
      </c>
      <c r="C1042">
        <v>2.5</v>
      </c>
      <c r="D1042">
        <v>7.7</v>
      </c>
      <c r="E1042">
        <v>0.8</v>
      </c>
      <c r="F1042">
        <v>6.3</v>
      </c>
      <c r="G1042">
        <v>2.81</v>
      </c>
      <c r="H1042" t="s">
        <v>8</v>
      </c>
    </row>
    <row r="1043" spans="1:8" x14ac:dyDescent="0.25">
      <c r="A1043">
        <v>1042</v>
      </c>
      <c r="B1043">
        <v>6.1</v>
      </c>
      <c r="C1043">
        <v>1.6</v>
      </c>
      <c r="D1043">
        <v>8.5</v>
      </c>
      <c r="E1043">
        <v>1.3</v>
      </c>
      <c r="F1043">
        <v>6.5</v>
      </c>
      <c r="G1043">
        <v>2.76</v>
      </c>
      <c r="H1043" t="s">
        <v>8</v>
      </c>
    </row>
    <row r="1044" spans="1:8" x14ac:dyDescent="0.25">
      <c r="A1044">
        <v>1043</v>
      </c>
      <c r="B1044">
        <v>6.8</v>
      </c>
      <c r="C1044">
        <v>1.6</v>
      </c>
      <c r="D1044">
        <v>9.9</v>
      </c>
      <c r="E1044">
        <v>5.4</v>
      </c>
      <c r="F1044">
        <v>0.3</v>
      </c>
      <c r="G1044">
        <v>2.89</v>
      </c>
      <c r="H1044" t="s">
        <v>8</v>
      </c>
    </row>
    <row r="1045" spans="1:8" x14ac:dyDescent="0.25">
      <c r="A1045">
        <v>1044</v>
      </c>
      <c r="B1045">
        <v>5.3</v>
      </c>
      <c r="C1045">
        <v>1.3</v>
      </c>
      <c r="D1045">
        <v>6.3</v>
      </c>
      <c r="E1045">
        <v>3</v>
      </c>
      <c r="F1045">
        <v>8.1</v>
      </c>
      <c r="G1045">
        <v>2.94</v>
      </c>
      <c r="H1045" t="s">
        <v>9</v>
      </c>
    </row>
    <row r="1046" spans="1:8" x14ac:dyDescent="0.25">
      <c r="A1046">
        <v>1045</v>
      </c>
      <c r="B1046">
        <v>8.9</v>
      </c>
      <c r="C1046">
        <v>3.4</v>
      </c>
      <c r="D1046">
        <v>9.1999999999999993</v>
      </c>
      <c r="E1046">
        <v>0.9</v>
      </c>
      <c r="F1046">
        <v>1.6</v>
      </c>
      <c r="G1046">
        <v>3.11</v>
      </c>
      <c r="H1046" t="s">
        <v>10</v>
      </c>
    </row>
    <row r="1047" spans="1:8" x14ac:dyDescent="0.25">
      <c r="A1047">
        <v>1046</v>
      </c>
      <c r="B1047">
        <v>5.3</v>
      </c>
      <c r="C1047">
        <v>2.8</v>
      </c>
      <c r="D1047">
        <v>5</v>
      </c>
      <c r="E1047">
        <v>2.5</v>
      </c>
      <c r="F1047">
        <v>8.4</v>
      </c>
      <c r="G1047">
        <v>3.02</v>
      </c>
      <c r="H1047" t="s">
        <v>10</v>
      </c>
    </row>
    <row r="1048" spans="1:8" x14ac:dyDescent="0.25">
      <c r="A1048">
        <v>1047</v>
      </c>
      <c r="B1048">
        <v>6.6</v>
      </c>
      <c r="C1048">
        <v>2.8</v>
      </c>
      <c r="D1048">
        <v>8.8000000000000007</v>
      </c>
      <c r="E1048">
        <v>1.8</v>
      </c>
      <c r="F1048">
        <v>4</v>
      </c>
      <c r="G1048">
        <v>2.87</v>
      </c>
      <c r="H1048" t="s">
        <v>8</v>
      </c>
    </row>
    <row r="1049" spans="1:8" x14ac:dyDescent="0.25">
      <c r="A1049">
        <v>1048</v>
      </c>
      <c r="B1049">
        <v>7.2</v>
      </c>
      <c r="C1049">
        <v>2.9</v>
      </c>
      <c r="D1049">
        <v>8.5</v>
      </c>
      <c r="E1049">
        <v>5.3</v>
      </c>
      <c r="F1049">
        <v>0.1</v>
      </c>
      <c r="G1049">
        <v>3.26</v>
      </c>
      <c r="H1049" t="s">
        <v>8</v>
      </c>
    </row>
    <row r="1050" spans="1:8" x14ac:dyDescent="0.25">
      <c r="A1050">
        <v>1049</v>
      </c>
      <c r="B1050">
        <v>6.1</v>
      </c>
      <c r="C1050">
        <v>2.6</v>
      </c>
      <c r="D1050">
        <v>8</v>
      </c>
      <c r="E1050">
        <v>5.5</v>
      </c>
      <c r="F1050">
        <v>1.8</v>
      </c>
      <c r="G1050">
        <v>3.01</v>
      </c>
      <c r="H1050" t="s">
        <v>8</v>
      </c>
    </row>
    <row r="1051" spans="1:8" x14ac:dyDescent="0.25">
      <c r="A1051">
        <v>1050</v>
      </c>
      <c r="B1051">
        <v>7.8</v>
      </c>
      <c r="C1051">
        <v>1.1000000000000001</v>
      </c>
      <c r="D1051">
        <v>7.4</v>
      </c>
      <c r="E1051">
        <v>2</v>
      </c>
      <c r="F1051">
        <v>5.7</v>
      </c>
      <c r="G1051">
        <v>3.04</v>
      </c>
      <c r="H1051" t="s">
        <v>8</v>
      </c>
    </row>
    <row r="1052" spans="1:8" x14ac:dyDescent="0.25">
      <c r="A1052">
        <v>1051</v>
      </c>
      <c r="B1052">
        <v>7.9</v>
      </c>
      <c r="C1052">
        <v>3.6</v>
      </c>
      <c r="D1052">
        <v>7.8</v>
      </c>
      <c r="E1052">
        <v>3</v>
      </c>
      <c r="F1052">
        <v>1.7</v>
      </c>
      <c r="G1052">
        <v>3.05</v>
      </c>
      <c r="H1052" t="s">
        <v>8</v>
      </c>
    </row>
    <row r="1053" spans="1:8" x14ac:dyDescent="0.25">
      <c r="A1053">
        <v>1052</v>
      </c>
      <c r="B1053">
        <v>6.2</v>
      </c>
      <c r="C1053">
        <v>2</v>
      </c>
      <c r="D1053">
        <v>6.6</v>
      </c>
      <c r="E1053">
        <v>1.1000000000000001</v>
      </c>
      <c r="F1053">
        <v>8.1</v>
      </c>
      <c r="G1053">
        <v>2.94</v>
      </c>
      <c r="H1053" t="s">
        <v>8</v>
      </c>
    </row>
    <row r="1054" spans="1:8" x14ac:dyDescent="0.25">
      <c r="A1054">
        <v>1053</v>
      </c>
      <c r="B1054">
        <v>7.5</v>
      </c>
      <c r="C1054">
        <v>1.3</v>
      </c>
      <c r="D1054">
        <v>6.3</v>
      </c>
      <c r="E1054">
        <v>2.8</v>
      </c>
      <c r="F1054">
        <v>6.1</v>
      </c>
      <c r="G1054">
        <v>3.21</v>
      </c>
      <c r="H1054" t="s">
        <v>8</v>
      </c>
    </row>
    <row r="1055" spans="1:8" x14ac:dyDescent="0.25">
      <c r="A1055">
        <v>1054</v>
      </c>
      <c r="B1055">
        <v>5.5</v>
      </c>
      <c r="C1055">
        <v>3.1</v>
      </c>
      <c r="D1055">
        <v>9</v>
      </c>
      <c r="E1055">
        <v>4.5999999999999996</v>
      </c>
      <c r="F1055">
        <v>1.8</v>
      </c>
      <c r="G1055">
        <v>2.97</v>
      </c>
      <c r="H1055" t="s">
        <v>9</v>
      </c>
    </row>
    <row r="1056" spans="1:8" x14ac:dyDescent="0.25">
      <c r="A1056">
        <v>1055</v>
      </c>
      <c r="B1056">
        <v>5.6</v>
      </c>
      <c r="C1056">
        <v>2.6</v>
      </c>
      <c r="D1056">
        <v>9.1999999999999993</v>
      </c>
      <c r="E1056">
        <v>3.5</v>
      </c>
      <c r="F1056">
        <v>3.1</v>
      </c>
      <c r="G1056">
        <v>2.72</v>
      </c>
      <c r="H1056" t="s">
        <v>9</v>
      </c>
    </row>
    <row r="1057" spans="1:8" x14ac:dyDescent="0.25">
      <c r="A1057">
        <v>1056</v>
      </c>
      <c r="B1057">
        <v>7.6</v>
      </c>
      <c r="C1057">
        <v>0.1</v>
      </c>
      <c r="D1057">
        <v>8.1999999999999993</v>
      </c>
      <c r="E1057">
        <v>0.5</v>
      </c>
      <c r="F1057">
        <v>7.6</v>
      </c>
      <c r="G1057">
        <v>3.56</v>
      </c>
      <c r="H1057" t="s">
        <v>8</v>
      </c>
    </row>
    <row r="1058" spans="1:8" x14ac:dyDescent="0.25">
      <c r="A1058">
        <v>1057</v>
      </c>
      <c r="B1058">
        <v>7.2</v>
      </c>
      <c r="C1058">
        <v>1.2</v>
      </c>
      <c r="D1058">
        <v>7.7</v>
      </c>
      <c r="E1058">
        <v>0.8</v>
      </c>
      <c r="F1058">
        <v>7.1</v>
      </c>
      <c r="G1058">
        <v>3.28</v>
      </c>
      <c r="H1058" t="s">
        <v>8</v>
      </c>
    </row>
    <row r="1059" spans="1:8" x14ac:dyDescent="0.25">
      <c r="A1059">
        <v>1058</v>
      </c>
      <c r="B1059">
        <v>5.8</v>
      </c>
      <c r="C1059">
        <v>0.4</v>
      </c>
      <c r="D1059">
        <v>5.7</v>
      </c>
      <c r="E1059">
        <v>5.3</v>
      </c>
      <c r="F1059">
        <v>6.8</v>
      </c>
      <c r="G1059">
        <v>3</v>
      </c>
      <c r="H1059" t="s">
        <v>10</v>
      </c>
    </row>
    <row r="1060" spans="1:8" x14ac:dyDescent="0.25">
      <c r="A1060">
        <v>1059</v>
      </c>
      <c r="B1060">
        <v>7.6</v>
      </c>
      <c r="C1060">
        <v>1.9</v>
      </c>
      <c r="D1060">
        <v>5.5</v>
      </c>
      <c r="E1060">
        <v>3.9</v>
      </c>
      <c r="F1060">
        <v>5.0999999999999996</v>
      </c>
      <c r="G1060">
        <v>3.17</v>
      </c>
      <c r="H1060" t="s">
        <v>10</v>
      </c>
    </row>
    <row r="1061" spans="1:8" x14ac:dyDescent="0.25">
      <c r="A1061">
        <v>1060</v>
      </c>
      <c r="B1061">
        <v>8.1</v>
      </c>
      <c r="C1061">
        <v>0.3</v>
      </c>
      <c r="D1061">
        <v>5.6</v>
      </c>
      <c r="E1061">
        <v>0.3</v>
      </c>
      <c r="F1061">
        <v>9.6999999999999993</v>
      </c>
      <c r="G1061">
        <v>3.25</v>
      </c>
      <c r="H1061" t="s">
        <v>10</v>
      </c>
    </row>
    <row r="1062" spans="1:8" x14ac:dyDescent="0.25">
      <c r="A1062">
        <v>1061</v>
      </c>
      <c r="B1062">
        <v>6.3</v>
      </c>
      <c r="C1062">
        <v>0.5</v>
      </c>
      <c r="D1062">
        <v>6.3</v>
      </c>
      <c r="E1062">
        <v>2.2999999999999998</v>
      </c>
      <c r="F1062">
        <v>8.6</v>
      </c>
      <c r="G1062">
        <v>2.97</v>
      </c>
      <c r="H1062" t="s">
        <v>8</v>
      </c>
    </row>
    <row r="1063" spans="1:8" x14ac:dyDescent="0.25">
      <c r="A1063">
        <v>1062</v>
      </c>
      <c r="B1063">
        <v>9.1999999999999993</v>
      </c>
      <c r="C1063">
        <v>2.8</v>
      </c>
      <c r="D1063">
        <v>5.6</v>
      </c>
      <c r="E1063">
        <v>4.4000000000000004</v>
      </c>
      <c r="F1063">
        <v>2</v>
      </c>
      <c r="G1063">
        <v>3.5</v>
      </c>
      <c r="H1063" t="s">
        <v>10</v>
      </c>
    </row>
    <row r="1064" spans="1:8" x14ac:dyDescent="0.25">
      <c r="A1064">
        <v>1063</v>
      </c>
      <c r="B1064">
        <v>6.4</v>
      </c>
      <c r="C1064">
        <v>2.6</v>
      </c>
      <c r="D1064">
        <v>6.7</v>
      </c>
      <c r="E1064">
        <v>6</v>
      </c>
      <c r="F1064">
        <v>2.2999999999999998</v>
      </c>
      <c r="G1064">
        <v>2.78</v>
      </c>
      <c r="H1064" t="s">
        <v>8</v>
      </c>
    </row>
    <row r="1065" spans="1:8" x14ac:dyDescent="0.25">
      <c r="A1065">
        <v>1064</v>
      </c>
      <c r="B1065">
        <v>9.6999999999999993</v>
      </c>
      <c r="C1065">
        <v>0.1</v>
      </c>
      <c r="D1065">
        <v>8.5</v>
      </c>
      <c r="E1065">
        <v>4.0999999999999996</v>
      </c>
      <c r="F1065">
        <v>1.6</v>
      </c>
      <c r="G1065">
        <v>3.26</v>
      </c>
      <c r="H1065" t="s">
        <v>10</v>
      </c>
    </row>
    <row r="1066" spans="1:8" x14ac:dyDescent="0.25">
      <c r="A1066">
        <v>1065</v>
      </c>
      <c r="B1066">
        <v>9.1999999999999993</v>
      </c>
      <c r="C1066">
        <v>3.9</v>
      </c>
      <c r="D1066">
        <v>9.9</v>
      </c>
      <c r="E1066">
        <v>0.1</v>
      </c>
      <c r="F1066">
        <v>0.9</v>
      </c>
      <c r="G1066">
        <v>3.48</v>
      </c>
      <c r="H1066" t="s">
        <v>10</v>
      </c>
    </row>
    <row r="1067" spans="1:8" x14ac:dyDescent="0.25">
      <c r="A1067">
        <v>1066</v>
      </c>
      <c r="B1067">
        <v>8.1999999999999993</v>
      </c>
      <c r="C1067">
        <v>0.5</v>
      </c>
      <c r="D1067">
        <v>8.3000000000000007</v>
      </c>
      <c r="E1067">
        <v>5.9</v>
      </c>
      <c r="F1067">
        <v>1.1000000000000001</v>
      </c>
      <c r="G1067">
        <v>3.44</v>
      </c>
      <c r="H1067" t="s">
        <v>10</v>
      </c>
    </row>
    <row r="1068" spans="1:8" x14ac:dyDescent="0.25">
      <c r="A1068">
        <v>1067</v>
      </c>
      <c r="B1068">
        <v>9.6</v>
      </c>
      <c r="C1068">
        <v>1.8</v>
      </c>
      <c r="D1068">
        <v>5.2</v>
      </c>
      <c r="E1068">
        <v>2.2000000000000002</v>
      </c>
      <c r="F1068">
        <v>5.2</v>
      </c>
      <c r="G1068">
        <v>3.55</v>
      </c>
      <c r="H1068" t="s">
        <v>10</v>
      </c>
    </row>
    <row r="1069" spans="1:8" x14ac:dyDescent="0.25">
      <c r="A1069">
        <v>1068</v>
      </c>
      <c r="B1069">
        <v>7.3</v>
      </c>
      <c r="C1069">
        <v>0.2</v>
      </c>
      <c r="D1069">
        <v>7.1</v>
      </c>
      <c r="E1069">
        <v>2.8</v>
      </c>
      <c r="F1069">
        <v>6.6</v>
      </c>
      <c r="G1069">
        <v>3.27</v>
      </c>
      <c r="H1069" t="s">
        <v>8</v>
      </c>
    </row>
    <row r="1070" spans="1:8" x14ac:dyDescent="0.25">
      <c r="A1070">
        <v>1069</v>
      </c>
      <c r="B1070">
        <v>9.6</v>
      </c>
      <c r="C1070">
        <v>2.6</v>
      </c>
      <c r="D1070">
        <v>6.6</v>
      </c>
      <c r="E1070">
        <v>2.7</v>
      </c>
      <c r="F1070">
        <v>2.5</v>
      </c>
      <c r="G1070">
        <v>3.37</v>
      </c>
      <c r="H1070" t="s">
        <v>10</v>
      </c>
    </row>
    <row r="1071" spans="1:8" x14ac:dyDescent="0.25">
      <c r="A1071">
        <v>1070</v>
      </c>
      <c r="B1071">
        <v>6.8</v>
      </c>
      <c r="C1071">
        <v>2.7</v>
      </c>
      <c r="D1071">
        <v>8.3000000000000007</v>
      </c>
      <c r="E1071">
        <v>4.3</v>
      </c>
      <c r="F1071">
        <v>1.9</v>
      </c>
      <c r="G1071">
        <v>2.58</v>
      </c>
      <c r="H1071" t="s">
        <v>8</v>
      </c>
    </row>
    <row r="1072" spans="1:8" x14ac:dyDescent="0.25">
      <c r="A1072">
        <v>1071</v>
      </c>
      <c r="B1072">
        <v>6.3</v>
      </c>
      <c r="C1072">
        <v>1.3</v>
      </c>
      <c r="D1072">
        <v>5.6</v>
      </c>
      <c r="E1072">
        <v>3.9</v>
      </c>
      <c r="F1072">
        <v>6.9</v>
      </c>
      <c r="G1072">
        <v>2.97</v>
      </c>
      <c r="H1072" t="s">
        <v>10</v>
      </c>
    </row>
    <row r="1073" spans="1:8" x14ac:dyDescent="0.25">
      <c r="A1073">
        <v>1072</v>
      </c>
      <c r="B1073">
        <v>9.3000000000000007</v>
      </c>
      <c r="C1073">
        <v>3.6</v>
      </c>
      <c r="D1073">
        <v>7.2</v>
      </c>
      <c r="E1073">
        <v>1.8</v>
      </c>
      <c r="F1073">
        <v>2.1</v>
      </c>
      <c r="G1073">
        <v>3.3</v>
      </c>
      <c r="H1073" t="s">
        <v>10</v>
      </c>
    </row>
    <row r="1074" spans="1:8" x14ac:dyDescent="0.25">
      <c r="A1074">
        <v>1073</v>
      </c>
      <c r="B1074">
        <v>5.4</v>
      </c>
      <c r="C1074">
        <v>2.7</v>
      </c>
      <c r="D1074">
        <v>9.1</v>
      </c>
      <c r="E1074">
        <v>1.5</v>
      </c>
      <c r="F1074">
        <v>5.3</v>
      </c>
      <c r="G1074">
        <v>3.04</v>
      </c>
      <c r="H1074" t="s">
        <v>9</v>
      </c>
    </row>
    <row r="1075" spans="1:8" x14ac:dyDescent="0.25">
      <c r="A1075">
        <v>1074</v>
      </c>
      <c r="B1075">
        <v>9.4</v>
      </c>
      <c r="C1075">
        <v>1</v>
      </c>
      <c r="D1075">
        <v>7.8</v>
      </c>
      <c r="E1075">
        <v>1.1000000000000001</v>
      </c>
      <c r="F1075">
        <v>4.7</v>
      </c>
      <c r="G1075">
        <v>3.36</v>
      </c>
      <c r="H1075" t="s">
        <v>10</v>
      </c>
    </row>
    <row r="1076" spans="1:8" x14ac:dyDescent="0.25">
      <c r="A1076">
        <v>1075</v>
      </c>
      <c r="B1076">
        <v>5.5</v>
      </c>
      <c r="C1076">
        <v>3.6</v>
      </c>
      <c r="D1076">
        <v>9.1</v>
      </c>
      <c r="E1076">
        <v>4.4000000000000004</v>
      </c>
      <c r="F1076">
        <v>1.4</v>
      </c>
      <c r="G1076">
        <v>2.44</v>
      </c>
      <c r="H1076" t="s">
        <v>9</v>
      </c>
    </row>
    <row r="1077" spans="1:8" x14ac:dyDescent="0.25">
      <c r="A1077">
        <v>1076</v>
      </c>
      <c r="B1077">
        <v>7.7</v>
      </c>
      <c r="C1077">
        <v>0.4</v>
      </c>
      <c r="D1077">
        <v>8.8000000000000007</v>
      </c>
      <c r="E1077">
        <v>3.5</v>
      </c>
      <c r="F1077">
        <v>3.6</v>
      </c>
      <c r="G1077">
        <v>3</v>
      </c>
      <c r="H1077" t="s">
        <v>8</v>
      </c>
    </row>
    <row r="1078" spans="1:8" x14ac:dyDescent="0.25">
      <c r="A1078">
        <v>1077</v>
      </c>
      <c r="B1078">
        <v>5.9</v>
      </c>
      <c r="C1078">
        <v>0.8</v>
      </c>
      <c r="D1078">
        <v>5.9</v>
      </c>
      <c r="E1078">
        <v>0.3</v>
      </c>
      <c r="F1078">
        <v>11.1</v>
      </c>
      <c r="G1078">
        <v>3.11</v>
      </c>
      <c r="H1078" t="s">
        <v>10</v>
      </c>
    </row>
    <row r="1079" spans="1:8" x14ac:dyDescent="0.25">
      <c r="A1079">
        <v>1078</v>
      </c>
      <c r="B1079">
        <v>5.0999999999999996</v>
      </c>
      <c r="C1079">
        <v>0.2</v>
      </c>
      <c r="D1079">
        <v>7.9</v>
      </c>
      <c r="E1079">
        <v>4.9000000000000004</v>
      </c>
      <c r="F1079">
        <v>5.9</v>
      </c>
      <c r="G1079">
        <v>2.82</v>
      </c>
      <c r="H1079" t="s">
        <v>9</v>
      </c>
    </row>
    <row r="1080" spans="1:8" x14ac:dyDescent="0.25">
      <c r="A1080">
        <v>1079</v>
      </c>
      <c r="B1080">
        <v>6.6</v>
      </c>
      <c r="C1080">
        <v>1.4</v>
      </c>
      <c r="D1080">
        <v>8</v>
      </c>
      <c r="E1080">
        <v>1.6</v>
      </c>
      <c r="F1080">
        <v>6.4</v>
      </c>
      <c r="G1080">
        <v>3.23</v>
      </c>
      <c r="H1080" t="s">
        <v>8</v>
      </c>
    </row>
    <row r="1081" spans="1:8" x14ac:dyDescent="0.25">
      <c r="A1081">
        <v>1080</v>
      </c>
      <c r="B1081">
        <v>8.6999999999999993</v>
      </c>
      <c r="C1081">
        <v>2.7</v>
      </c>
      <c r="D1081">
        <v>6</v>
      </c>
      <c r="E1081">
        <v>2.1</v>
      </c>
      <c r="F1081">
        <v>4.5</v>
      </c>
      <c r="G1081">
        <v>3.67</v>
      </c>
      <c r="H1081" t="s">
        <v>10</v>
      </c>
    </row>
    <row r="1082" spans="1:8" x14ac:dyDescent="0.25">
      <c r="A1082">
        <v>1081</v>
      </c>
      <c r="B1082">
        <v>5.6</v>
      </c>
      <c r="C1082">
        <v>0.5</v>
      </c>
      <c r="D1082">
        <v>8.4</v>
      </c>
      <c r="E1082">
        <v>5.2</v>
      </c>
      <c r="F1082">
        <v>4.3</v>
      </c>
      <c r="G1082">
        <v>2.86</v>
      </c>
      <c r="H1082" t="s">
        <v>9</v>
      </c>
    </row>
    <row r="1083" spans="1:8" x14ac:dyDescent="0.25">
      <c r="A1083">
        <v>1082</v>
      </c>
      <c r="B1083">
        <v>5.9</v>
      </c>
      <c r="C1083">
        <v>0.4</v>
      </c>
      <c r="D1083">
        <v>9.1</v>
      </c>
      <c r="E1083">
        <v>3.5</v>
      </c>
      <c r="F1083">
        <v>5.0999999999999996</v>
      </c>
      <c r="G1083">
        <v>2.96</v>
      </c>
      <c r="H1083" t="s">
        <v>9</v>
      </c>
    </row>
    <row r="1084" spans="1:8" x14ac:dyDescent="0.25">
      <c r="A1084">
        <v>1083</v>
      </c>
      <c r="B1084">
        <v>8.1</v>
      </c>
      <c r="C1084">
        <v>3.1</v>
      </c>
      <c r="D1084">
        <v>8.5</v>
      </c>
      <c r="E1084">
        <v>3.6</v>
      </c>
      <c r="F1084">
        <v>0.7</v>
      </c>
      <c r="G1084">
        <v>3.12</v>
      </c>
      <c r="H1084" t="s">
        <v>10</v>
      </c>
    </row>
    <row r="1085" spans="1:8" x14ac:dyDescent="0.25">
      <c r="A1085">
        <v>1084</v>
      </c>
      <c r="B1085">
        <v>8.1999999999999993</v>
      </c>
      <c r="C1085">
        <v>1.3</v>
      </c>
      <c r="D1085">
        <v>9.8000000000000007</v>
      </c>
      <c r="E1085">
        <v>0.2</v>
      </c>
      <c r="F1085">
        <v>4.5</v>
      </c>
      <c r="G1085">
        <v>3.38</v>
      </c>
      <c r="H1085" t="s">
        <v>10</v>
      </c>
    </row>
    <row r="1086" spans="1:8" x14ac:dyDescent="0.25">
      <c r="A1086">
        <v>1085</v>
      </c>
      <c r="B1086">
        <v>7.9</v>
      </c>
      <c r="C1086">
        <v>0.7</v>
      </c>
      <c r="D1086">
        <v>8.6</v>
      </c>
      <c r="E1086">
        <v>1.1000000000000001</v>
      </c>
      <c r="F1086">
        <v>5.7</v>
      </c>
      <c r="G1086">
        <v>3.18</v>
      </c>
      <c r="H1086" t="s">
        <v>8</v>
      </c>
    </row>
    <row r="1087" spans="1:8" x14ac:dyDescent="0.25">
      <c r="A1087">
        <v>1086</v>
      </c>
      <c r="B1087">
        <v>9.6</v>
      </c>
      <c r="C1087">
        <v>0.8</v>
      </c>
      <c r="D1087">
        <v>5.7</v>
      </c>
      <c r="E1087">
        <v>4.5999999999999996</v>
      </c>
      <c r="F1087">
        <v>3.3</v>
      </c>
      <c r="G1087">
        <v>3.12</v>
      </c>
      <c r="H1087" t="s">
        <v>10</v>
      </c>
    </row>
    <row r="1088" spans="1:8" x14ac:dyDescent="0.25">
      <c r="A1088">
        <v>1087</v>
      </c>
      <c r="B1088">
        <v>7.5</v>
      </c>
      <c r="C1088">
        <v>3.6</v>
      </c>
      <c r="D1088">
        <v>5.7</v>
      </c>
      <c r="E1088">
        <v>3.9</v>
      </c>
      <c r="F1088">
        <v>3.3</v>
      </c>
      <c r="G1088">
        <v>3.01</v>
      </c>
      <c r="H1088" t="s">
        <v>10</v>
      </c>
    </row>
    <row r="1089" spans="1:8" x14ac:dyDescent="0.25">
      <c r="A1089">
        <v>1088</v>
      </c>
      <c r="B1089">
        <v>8.4</v>
      </c>
      <c r="C1089">
        <v>2.4</v>
      </c>
      <c r="D1089">
        <v>8.8000000000000007</v>
      </c>
      <c r="E1089">
        <v>1.4</v>
      </c>
      <c r="F1089">
        <v>3</v>
      </c>
      <c r="G1089">
        <v>3.17</v>
      </c>
      <c r="H1089" t="s">
        <v>10</v>
      </c>
    </row>
    <row r="1090" spans="1:8" x14ac:dyDescent="0.25">
      <c r="A1090">
        <v>1089</v>
      </c>
      <c r="B1090">
        <v>7.2</v>
      </c>
      <c r="C1090">
        <v>1.6</v>
      </c>
      <c r="D1090">
        <v>9.9</v>
      </c>
      <c r="E1090">
        <v>1.5</v>
      </c>
      <c r="F1090">
        <v>3.8</v>
      </c>
      <c r="G1090">
        <v>2.89</v>
      </c>
      <c r="H1090" t="s">
        <v>8</v>
      </c>
    </row>
    <row r="1091" spans="1:8" x14ac:dyDescent="0.25">
      <c r="A1091">
        <v>1090</v>
      </c>
      <c r="B1091">
        <v>7.8</v>
      </c>
      <c r="C1091">
        <v>1</v>
      </c>
      <c r="D1091">
        <v>9.6</v>
      </c>
      <c r="E1091">
        <v>1.5</v>
      </c>
      <c r="F1091">
        <v>4.0999999999999996</v>
      </c>
      <c r="G1091">
        <v>2.9</v>
      </c>
      <c r="H1091" t="s">
        <v>8</v>
      </c>
    </row>
    <row r="1092" spans="1:8" x14ac:dyDescent="0.25">
      <c r="A1092">
        <v>1091</v>
      </c>
      <c r="B1092">
        <v>9.5</v>
      </c>
      <c r="C1092">
        <v>0.4</v>
      </c>
      <c r="D1092">
        <v>8.3000000000000007</v>
      </c>
      <c r="E1092">
        <v>5.3</v>
      </c>
      <c r="F1092">
        <v>0.5</v>
      </c>
      <c r="G1092">
        <v>3.56</v>
      </c>
      <c r="H1092" t="s">
        <v>10</v>
      </c>
    </row>
    <row r="1093" spans="1:8" x14ac:dyDescent="0.25">
      <c r="A1093">
        <v>1092</v>
      </c>
      <c r="B1093">
        <v>8.4</v>
      </c>
      <c r="C1093">
        <v>1.2</v>
      </c>
      <c r="D1093">
        <v>5.9</v>
      </c>
      <c r="E1093">
        <v>1.8</v>
      </c>
      <c r="F1093">
        <v>6.7</v>
      </c>
      <c r="G1093">
        <v>3.25</v>
      </c>
      <c r="H1093" t="s">
        <v>10</v>
      </c>
    </row>
    <row r="1094" spans="1:8" x14ac:dyDescent="0.25">
      <c r="A1094">
        <v>1093</v>
      </c>
      <c r="B1094">
        <v>5.5</v>
      </c>
      <c r="C1094">
        <v>0.6</v>
      </c>
      <c r="D1094">
        <v>5.5</v>
      </c>
      <c r="E1094">
        <v>2.5</v>
      </c>
      <c r="F1094">
        <v>9.9</v>
      </c>
      <c r="G1094">
        <v>2.74</v>
      </c>
      <c r="H1094" t="s">
        <v>10</v>
      </c>
    </row>
    <row r="1095" spans="1:8" x14ac:dyDescent="0.25">
      <c r="A1095">
        <v>1094</v>
      </c>
      <c r="B1095">
        <v>5.7</v>
      </c>
      <c r="C1095">
        <v>2.6</v>
      </c>
      <c r="D1095">
        <v>6</v>
      </c>
      <c r="E1095">
        <v>0.6</v>
      </c>
      <c r="F1095">
        <v>9.1</v>
      </c>
      <c r="G1095">
        <v>2.92</v>
      </c>
      <c r="H1095" t="s">
        <v>9</v>
      </c>
    </row>
    <row r="1096" spans="1:8" x14ac:dyDescent="0.25">
      <c r="A1096">
        <v>1095</v>
      </c>
      <c r="B1096">
        <v>5.8</v>
      </c>
      <c r="C1096">
        <v>3.7</v>
      </c>
      <c r="D1096">
        <v>9.1</v>
      </c>
      <c r="E1096">
        <v>1.9</v>
      </c>
      <c r="F1096">
        <v>3.5</v>
      </c>
      <c r="G1096">
        <v>2.97</v>
      </c>
      <c r="H1096" t="s">
        <v>9</v>
      </c>
    </row>
    <row r="1097" spans="1:8" x14ac:dyDescent="0.25">
      <c r="A1097">
        <v>1096</v>
      </c>
      <c r="B1097">
        <v>8.4</v>
      </c>
      <c r="C1097">
        <v>2.7</v>
      </c>
      <c r="D1097">
        <v>8.1</v>
      </c>
      <c r="E1097">
        <v>1.3</v>
      </c>
      <c r="F1097">
        <v>3.5</v>
      </c>
      <c r="G1097">
        <v>3.68</v>
      </c>
      <c r="H1097" t="s">
        <v>10</v>
      </c>
    </row>
    <row r="1098" spans="1:8" x14ac:dyDescent="0.25">
      <c r="A1098">
        <v>1097</v>
      </c>
      <c r="B1098">
        <v>5.2</v>
      </c>
      <c r="C1098">
        <v>1.8</v>
      </c>
      <c r="D1098">
        <v>9.5</v>
      </c>
      <c r="E1098">
        <v>3.4</v>
      </c>
      <c r="F1098">
        <v>4.0999999999999996</v>
      </c>
      <c r="G1098">
        <v>2.88</v>
      </c>
      <c r="H1098" t="s">
        <v>9</v>
      </c>
    </row>
    <row r="1099" spans="1:8" x14ac:dyDescent="0.25">
      <c r="A1099">
        <v>1098</v>
      </c>
      <c r="B1099">
        <v>8.4</v>
      </c>
      <c r="C1099">
        <v>3.9</v>
      </c>
      <c r="D1099">
        <v>9.9</v>
      </c>
      <c r="E1099">
        <v>1.2</v>
      </c>
      <c r="F1099">
        <v>0.6</v>
      </c>
      <c r="G1099">
        <v>3.08</v>
      </c>
      <c r="H1099" t="s">
        <v>10</v>
      </c>
    </row>
    <row r="1100" spans="1:8" x14ac:dyDescent="0.25">
      <c r="A1100">
        <v>1099</v>
      </c>
      <c r="B1100">
        <v>6.2</v>
      </c>
      <c r="C1100">
        <v>3.2</v>
      </c>
      <c r="D1100">
        <v>5.5</v>
      </c>
      <c r="E1100">
        <v>4.7</v>
      </c>
      <c r="F1100">
        <v>4.4000000000000004</v>
      </c>
      <c r="G1100">
        <v>2.89</v>
      </c>
      <c r="H1100" t="s">
        <v>10</v>
      </c>
    </row>
    <row r="1101" spans="1:8" x14ac:dyDescent="0.25">
      <c r="A1101">
        <v>1100</v>
      </c>
      <c r="B1101">
        <v>8.1999999999999993</v>
      </c>
      <c r="C1101">
        <v>1.7</v>
      </c>
      <c r="D1101">
        <v>7.2</v>
      </c>
      <c r="E1101">
        <v>1.9</v>
      </c>
      <c r="F1101">
        <v>5</v>
      </c>
      <c r="G1101">
        <v>3.38</v>
      </c>
      <c r="H1101" t="s">
        <v>10</v>
      </c>
    </row>
    <row r="1102" spans="1:8" x14ac:dyDescent="0.25">
      <c r="A1102">
        <v>1101</v>
      </c>
      <c r="B1102">
        <v>8.8000000000000007</v>
      </c>
      <c r="C1102">
        <v>3.7</v>
      </c>
      <c r="D1102">
        <v>9.6999999999999993</v>
      </c>
      <c r="E1102">
        <v>0.3</v>
      </c>
      <c r="F1102">
        <v>1.5</v>
      </c>
      <c r="G1102">
        <v>3.39</v>
      </c>
      <c r="H1102" t="s">
        <v>10</v>
      </c>
    </row>
    <row r="1103" spans="1:8" x14ac:dyDescent="0.25">
      <c r="A1103">
        <v>1102</v>
      </c>
      <c r="B1103">
        <v>6.3</v>
      </c>
      <c r="C1103">
        <v>0.3</v>
      </c>
      <c r="D1103">
        <v>6.3</v>
      </c>
      <c r="E1103">
        <v>5.5</v>
      </c>
      <c r="F1103">
        <v>5.6</v>
      </c>
      <c r="G1103">
        <v>3.06</v>
      </c>
      <c r="H1103" t="s">
        <v>8</v>
      </c>
    </row>
    <row r="1104" spans="1:8" x14ac:dyDescent="0.25">
      <c r="A1104">
        <v>1103</v>
      </c>
      <c r="B1104">
        <v>8.1999999999999993</v>
      </c>
      <c r="C1104">
        <v>2.9</v>
      </c>
      <c r="D1104">
        <v>6.3</v>
      </c>
      <c r="E1104">
        <v>4.3</v>
      </c>
      <c r="F1104">
        <v>2.2999999999999998</v>
      </c>
      <c r="G1104">
        <v>3.21</v>
      </c>
      <c r="H1104" t="s">
        <v>10</v>
      </c>
    </row>
    <row r="1105" spans="1:8" x14ac:dyDescent="0.25">
      <c r="A1105">
        <v>1104</v>
      </c>
      <c r="B1105">
        <v>8.1</v>
      </c>
      <c r="C1105">
        <v>0.6</v>
      </c>
      <c r="D1105">
        <v>9.1</v>
      </c>
      <c r="E1105">
        <v>1.4</v>
      </c>
      <c r="F1105">
        <v>4.8</v>
      </c>
      <c r="G1105">
        <v>3.15</v>
      </c>
      <c r="H1105" t="s">
        <v>10</v>
      </c>
    </row>
    <row r="1106" spans="1:8" x14ac:dyDescent="0.25">
      <c r="A1106">
        <v>1105</v>
      </c>
      <c r="B1106">
        <v>8.3000000000000007</v>
      </c>
      <c r="C1106">
        <v>1.6</v>
      </c>
      <c r="D1106">
        <v>8</v>
      </c>
      <c r="E1106">
        <v>0.6</v>
      </c>
      <c r="F1106">
        <v>5.5</v>
      </c>
      <c r="G1106">
        <v>3.4</v>
      </c>
      <c r="H1106" t="s">
        <v>10</v>
      </c>
    </row>
    <row r="1107" spans="1:8" x14ac:dyDescent="0.25">
      <c r="A1107">
        <v>1106</v>
      </c>
      <c r="B1107">
        <v>10</v>
      </c>
      <c r="C1107">
        <v>0.8</v>
      </c>
      <c r="D1107">
        <v>6.3</v>
      </c>
      <c r="E1107">
        <v>4</v>
      </c>
      <c r="F1107">
        <v>2.9</v>
      </c>
      <c r="G1107">
        <v>3.39</v>
      </c>
      <c r="H1107" t="s">
        <v>10</v>
      </c>
    </row>
    <row r="1108" spans="1:8" x14ac:dyDescent="0.25">
      <c r="A1108">
        <v>1107</v>
      </c>
      <c r="B1108">
        <v>9.8000000000000007</v>
      </c>
      <c r="C1108">
        <v>3.7</v>
      </c>
      <c r="D1108">
        <v>7.5</v>
      </c>
      <c r="E1108">
        <v>2.4</v>
      </c>
      <c r="F1108">
        <v>0.6</v>
      </c>
      <c r="G1108">
        <v>3.35</v>
      </c>
      <c r="H1108" t="s">
        <v>10</v>
      </c>
    </row>
    <row r="1109" spans="1:8" x14ac:dyDescent="0.25">
      <c r="A1109">
        <v>1108</v>
      </c>
      <c r="B1109">
        <v>6.4</v>
      </c>
      <c r="C1109">
        <v>3.3</v>
      </c>
      <c r="D1109">
        <v>6.9</v>
      </c>
      <c r="E1109">
        <v>0.5</v>
      </c>
      <c r="F1109">
        <v>6.9</v>
      </c>
      <c r="G1109">
        <v>2.9</v>
      </c>
      <c r="H1109" t="s">
        <v>8</v>
      </c>
    </row>
    <row r="1110" spans="1:8" x14ac:dyDescent="0.25">
      <c r="A1110">
        <v>1109</v>
      </c>
      <c r="B1110">
        <v>6.7</v>
      </c>
      <c r="C1110">
        <v>3.9</v>
      </c>
      <c r="D1110">
        <v>8.1</v>
      </c>
      <c r="E1110">
        <v>2.2000000000000002</v>
      </c>
      <c r="F1110">
        <v>3.1</v>
      </c>
      <c r="G1110">
        <v>2.89</v>
      </c>
      <c r="H1110" t="s">
        <v>8</v>
      </c>
    </row>
    <row r="1111" spans="1:8" x14ac:dyDescent="0.25">
      <c r="A1111">
        <v>1110</v>
      </c>
      <c r="B1111">
        <v>5.4</v>
      </c>
      <c r="C1111">
        <v>0.2</v>
      </c>
      <c r="D1111">
        <v>5.6</v>
      </c>
      <c r="E1111">
        <v>3.5</v>
      </c>
      <c r="F1111">
        <v>9.3000000000000007</v>
      </c>
      <c r="G1111">
        <v>2.98</v>
      </c>
      <c r="H1111" t="s">
        <v>10</v>
      </c>
    </row>
    <row r="1112" spans="1:8" x14ac:dyDescent="0.25">
      <c r="A1112">
        <v>1111</v>
      </c>
      <c r="B1112">
        <v>9.6</v>
      </c>
      <c r="C1112">
        <v>2</v>
      </c>
      <c r="D1112">
        <v>9.1999999999999993</v>
      </c>
      <c r="E1112">
        <v>1.4</v>
      </c>
      <c r="F1112">
        <v>1.8</v>
      </c>
      <c r="G1112">
        <v>3.64</v>
      </c>
      <c r="H1112" t="s">
        <v>10</v>
      </c>
    </row>
    <row r="1113" spans="1:8" x14ac:dyDescent="0.25">
      <c r="A1113">
        <v>1112</v>
      </c>
      <c r="B1113">
        <v>5.9</v>
      </c>
      <c r="C1113">
        <v>1.4</v>
      </c>
      <c r="D1113">
        <v>8.1999999999999993</v>
      </c>
      <c r="E1113">
        <v>0.4</v>
      </c>
      <c r="F1113">
        <v>8.1</v>
      </c>
      <c r="G1113">
        <v>3.07</v>
      </c>
      <c r="H1113" t="s">
        <v>9</v>
      </c>
    </row>
    <row r="1114" spans="1:8" x14ac:dyDescent="0.25">
      <c r="A1114">
        <v>1113</v>
      </c>
      <c r="B1114">
        <v>6.8</v>
      </c>
      <c r="C1114">
        <v>2.1</v>
      </c>
      <c r="D1114">
        <v>10</v>
      </c>
      <c r="E1114">
        <v>2.4</v>
      </c>
      <c r="F1114">
        <v>2.7</v>
      </c>
      <c r="G1114">
        <v>2.96</v>
      </c>
      <c r="H1114" t="s">
        <v>8</v>
      </c>
    </row>
    <row r="1115" spans="1:8" x14ac:dyDescent="0.25">
      <c r="A1115">
        <v>1114</v>
      </c>
      <c r="B1115">
        <v>9</v>
      </c>
      <c r="C1115">
        <v>2.4</v>
      </c>
      <c r="D1115">
        <v>9.4</v>
      </c>
      <c r="E1115">
        <v>1.3</v>
      </c>
      <c r="F1115">
        <v>1.9</v>
      </c>
      <c r="G1115">
        <v>3.61</v>
      </c>
      <c r="H1115" t="s">
        <v>10</v>
      </c>
    </row>
    <row r="1116" spans="1:8" x14ac:dyDescent="0.25">
      <c r="A1116">
        <v>1115</v>
      </c>
      <c r="B1116">
        <v>8</v>
      </c>
      <c r="C1116">
        <v>2.5</v>
      </c>
      <c r="D1116">
        <v>7.1</v>
      </c>
      <c r="E1116">
        <v>0.9</v>
      </c>
      <c r="F1116">
        <v>5.5</v>
      </c>
      <c r="G1116">
        <v>3.13</v>
      </c>
      <c r="H1116" t="s">
        <v>8</v>
      </c>
    </row>
    <row r="1117" spans="1:8" x14ac:dyDescent="0.25">
      <c r="A1117">
        <v>1116</v>
      </c>
      <c r="B1117">
        <v>6.1</v>
      </c>
      <c r="C1117">
        <v>2.9</v>
      </c>
      <c r="D1117">
        <v>6.6</v>
      </c>
      <c r="E1117">
        <v>3</v>
      </c>
      <c r="F1117">
        <v>5.4</v>
      </c>
      <c r="G1117">
        <v>3.01</v>
      </c>
      <c r="H1117" t="s">
        <v>8</v>
      </c>
    </row>
    <row r="1118" spans="1:8" x14ac:dyDescent="0.25">
      <c r="A1118">
        <v>1117</v>
      </c>
      <c r="B1118">
        <v>5.8</v>
      </c>
      <c r="C1118">
        <v>3.8</v>
      </c>
      <c r="D1118">
        <v>9.3000000000000007</v>
      </c>
      <c r="E1118">
        <v>4.4000000000000004</v>
      </c>
      <c r="F1118">
        <v>0.7</v>
      </c>
      <c r="G1118">
        <v>3.16</v>
      </c>
      <c r="H1118" t="s">
        <v>9</v>
      </c>
    </row>
    <row r="1119" spans="1:8" x14ac:dyDescent="0.25">
      <c r="A1119">
        <v>1118</v>
      </c>
      <c r="B1119">
        <v>5.7</v>
      </c>
      <c r="C1119">
        <v>0</v>
      </c>
      <c r="D1119">
        <v>5.0999999999999996</v>
      </c>
      <c r="E1119">
        <v>3.5</v>
      </c>
      <c r="F1119">
        <v>9.6999999999999993</v>
      </c>
      <c r="G1119">
        <v>2.75</v>
      </c>
      <c r="H1119" t="s">
        <v>10</v>
      </c>
    </row>
    <row r="1120" spans="1:8" x14ac:dyDescent="0.25">
      <c r="A1120">
        <v>1119</v>
      </c>
      <c r="B1120">
        <v>7.3</v>
      </c>
      <c r="C1120">
        <v>2.1</v>
      </c>
      <c r="D1120">
        <v>5</v>
      </c>
      <c r="E1120">
        <v>2.5</v>
      </c>
      <c r="F1120">
        <v>7.1</v>
      </c>
      <c r="G1120">
        <v>3</v>
      </c>
      <c r="H1120" t="s">
        <v>10</v>
      </c>
    </row>
    <row r="1121" spans="1:8" x14ac:dyDescent="0.25">
      <c r="A1121">
        <v>1120</v>
      </c>
      <c r="B1121">
        <v>8.6999999999999993</v>
      </c>
      <c r="C1121">
        <v>0.9</v>
      </c>
      <c r="D1121">
        <v>9.1</v>
      </c>
      <c r="E1121">
        <v>3.1</v>
      </c>
      <c r="F1121">
        <v>2.2000000000000002</v>
      </c>
      <c r="G1121">
        <v>3.65</v>
      </c>
      <c r="H1121" t="s">
        <v>10</v>
      </c>
    </row>
    <row r="1122" spans="1:8" x14ac:dyDescent="0.25">
      <c r="A1122">
        <v>1121</v>
      </c>
      <c r="B1122">
        <v>6.1</v>
      </c>
      <c r="C1122">
        <v>0.9</v>
      </c>
      <c r="D1122">
        <v>8.1</v>
      </c>
      <c r="E1122">
        <v>5</v>
      </c>
      <c r="F1122">
        <v>3.9</v>
      </c>
      <c r="G1122">
        <v>2.61</v>
      </c>
      <c r="H1122" t="s">
        <v>8</v>
      </c>
    </row>
    <row r="1123" spans="1:8" x14ac:dyDescent="0.25">
      <c r="A1123">
        <v>1122</v>
      </c>
      <c r="B1123">
        <v>9.3000000000000007</v>
      </c>
      <c r="C1123">
        <v>2.7</v>
      </c>
      <c r="D1123">
        <v>7.2</v>
      </c>
      <c r="E1123">
        <v>2.2999999999999998</v>
      </c>
      <c r="F1123">
        <v>2.5</v>
      </c>
      <c r="G1123">
        <v>3.29</v>
      </c>
      <c r="H1123" t="s">
        <v>10</v>
      </c>
    </row>
    <row r="1124" spans="1:8" x14ac:dyDescent="0.25">
      <c r="A1124">
        <v>1123</v>
      </c>
      <c r="B1124">
        <v>6</v>
      </c>
      <c r="C1124">
        <v>2.5</v>
      </c>
      <c r="D1124">
        <v>6.8</v>
      </c>
      <c r="E1124">
        <v>6</v>
      </c>
      <c r="F1124">
        <v>2.7</v>
      </c>
      <c r="G1124">
        <v>2.5</v>
      </c>
      <c r="H1124" t="s">
        <v>8</v>
      </c>
    </row>
    <row r="1125" spans="1:8" x14ac:dyDescent="0.25">
      <c r="A1125">
        <v>1124</v>
      </c>
      <c r="B1125">
        <v>7.8</v>
      </c>
      <c r="C1125">
        <v>3.7</v>
      </c>
      <c r="D1125">
        <v>9</v>
      </c>
      <c r="E1125">
        <v>1.6</v>
      </c>
      <c r="F1125">
        <v>1.9</v>
      </c>
      <c r="G1125">
        <v>2.6</v>
      </c>
      <c r="H1125" t="s">
        <v>8</v>
      </c>
    </row>
    <row r="1126" spans="1:8" x14ac:dyDescent="0.25">
      <c r="A1126">
        <v>1125</v>
      </c>
      <c r="B1126">
        <v>8.6</v>
      </c>
      <c r="C1126">
        <v>2.2999999999999998</v>
      </c>
      <c r="D1126">
        <v>7.5</v>
      </c>
      <c r="E1126">
        <v>1.1000000000000001</v>
      </c>
      <c r="F1126">
        <v>4.5</v>
      </c>
      <c r="G1126">
        <v>2.97</v>
      </c>
      <c r="H1126" t="s">
        <v>10</v>
      </c>
    </row>
    <row r="1127" spans="1:8" x14ac:dyDescent="0.25">
      <c r="A1127">
        <v>1126</v>
      </c>
      <c r="B1127">
        <v>9.6</v>
      </c>
      <c r="C1127">
        <v>1.3</v>
      </c>
      <c r="D1127">
        <v>9.8000000000000007</v>
      </c>
      <c r="E1127">
        <v>1.8</v>
      </c>
      <c r="F1127">
        <v>1.5</v>
      </c>
      <c r="G1127">
        <v>3.39</v>
      </c>
      <c r="H1127" t="s">
        <v>10</v>
      </c>
    </row>
    <row r="1128" spans="1:8" x14ac:dyDescent="0.25">
      <c r="A1128">
        <v>1127</v>
      </c>
      <c r="B1128">
        <v>8.1999999999999993</v>
      </c>
      <c r="C1128">
        <v>2.2000000000000002</v>
      </c>
      <c r="D1128">
        <v>5.6</v>
      </c>
      <c r="E1128">
        <v>2.2999999999999998</v>
      </c>
      <c r="F1128">
        <v>5.7</v>
      </c>
      <c r="G1128">
        <v>3.28</v>
      </c>
      <c r="H1128" t="s">
        <v>10</v>
      </c>
    </row>
    <row r="1129" spans="1:8" x14ac:dyDescent="0.25">
      <c r="A1129">
        <v>1128</v>
      </c>
      <c r="B1129">
        <v>7.2</v>
      </c>
      <c r="C1129">
        <v>3.1</v>
      </c>
      <c r="D1129">
        <v>6.1</v>
      </c>
      <c r="E1129">
        <v>1</v>
      </c>
      <c r="F1129">
        <v>6.6</v>
      </c>
      <c r="G1129">
        <v>2.92</v>
      </c>
      <c r="H1129" t="s">
        <v>8</v>
      </c>
    </row>
    <row r="1130" spans="1:8" x14ac:dyDescent="0.25">
      <c r="A1130">
        <v>1129</v>
      </c>
      <c r="B1130">
        <v>7</v>
      </c>
      <c r="C1130">
        <v>3.7</v>
      </c>
      <c r="D1130">
        <v>8.6</v>
      </c>
      <c r="E1130">
        <v>2</v>
      </c>
      <c r="F1130">
        <v>2.7</v>
      </c>
      <c r="G1130">
        <v>2.88</v>
      </c>
      <c r="H1130" t="s">
        <v>8</v>
      </c>
    </row>
    <row r="1131" spans="1:8" x14ac:dyDescent="0.25">
      <c r="A1131">
        <v>1130</v>
      </c>
      <c r="B1131">
        <v>9.9</v>
      </c>
      <c r="C1131">
        <v>2.7</v>
      </c>
      <c r="D1131">
        <v>6.4</v>
      </c>
      <c r="E1131">
        <v>2.9</v>
      </c>
      <c r="F1131">
        <v>2.1</v>
      </c>
      <c r="G1131">
        <v>3.49</v>
      </c>
      <c r="H1131" t="s">
        <v>10</v>
      </c>
    </row>
    <row r="1132" spans="1:8" x14ac:dyDescent="0.25">
      <c r="A1132">
        <v>1131</v>
      </c>
      <c r="B1132">
        <v>5.5</v>
      </c>
      <c r="C1132">
        <v>3.9</v>
      </c>
      <c r="D1132">
        <v>5.9</v>
      </c>
      <c r="E1132">
        <v>3.9</v>
      </c>
      <c r="F1132">
        <v>4.8</v>
      </c>
      <c r="G1132">
        <v>2.99</v>
      </c>
      <c r="H1132" t="s">
        <v>10</v>
      </c>
    </row>
    <row r="1133" spans="1:8" x14ac:dyDescent="0.25">
      <c r="A1133">
        <v>1132</v>
      </c>
      <c r="B1133">
        <v>8.9</v>
      </c>
      <c r="C1133">
        <v>2.7</v>
      </c>
      <c r="D1133">
        <v>8.1</v>
      </c>
      <c r="E1133">
        <v>3.8</v>
      </c>
      <c r="F1133">
        <v>0.5</v>
      </c>
      <c r="G1133">
        <v>3.14</v>
      </c>
      <c r="H1133" t="s">
        <v>10</v>
      </c>
    </row>
    <row r="1134" spans="1:8" x14ac:dyDescent="0.25">
      <c r="A1134">
        <v>1133</v>
      </c>
      <c r="B1134">
        <v>5.4</v>
      </c>
      <c r="C1134">
        <v>1.3</v>
      </c>
      <c r="D1134">
        <v>6.2</v>
      </c>
      <c r="E1134">
        <v>5.9</v>
      </c>
      <c r="F1134">
        <v>5.2</v>
      </c>
      <c r="G1134">
        <v>3.1</v>
      </c>
      <c r="H1134" t="s">
        <v>9</v>
      </c>
    </row>
    <row r="1135" spans="1:8" x14ac:dyDescent="0.25">
      <c r="A1135">
        <v>1134</v>
      </c>
      <c r="B1135">
        <v>8.4</v>
      </c>
      <c r="C1135">
        <v>0.8</v>
      </c>
      <c r="D1135">
        <v>6.2</v>
      </c>
      <c r="E1135">
        <v>1.7</v>
      </c>
      <c r="F1135">
        <v>6.9</v>
      </c>
      <c r="G1135">
        <v>3.12</v>
      </c>
      <c r="H1135" t="s">
        <v>10</v>
      </c>
    </row>
    <row r="1136" spans="1:8" x14ac:dyDescent="0.25">
      <c r="A1136">
        <v>1135</v>
      </c>
      <c r="B1136">
        <v>7.1</v>
      </c>
      <c r="C1136">
        <v>0.9</v>
      </c>
      <c r="D1136">
        <v>5.0999999999999996</v>
      </c>
      <c r="E1136">
        <v>5.3</v>
      </c>
      <c r="F1136">
        <v>5.6</v>
      </c>
      <c r="G1136">
        <v>3.05</v>
      </c>
      <c r="H1136" t="s">
        <v>10</v>
      </c>
    </row>
    <row r="1137" spans="1:8" x14ac:dyDescent="0.25">
      <c r="A1137">
        <v>1136</v>
      </c>
      <c r="B1137">
        <v>6.7</v>
      </c>
      <c r="C1137">
        <v>0</v>
      </c>
      <c r="D1137">
        <v>8.4</v>
      </c>
      <c r="E1137">
        <v>5</v>
      </c>
      <c r="F1137">
        <v>3.9</v>
      </c>
      <c r="G1137">
        <v>3.05</v>
      </c>
      <c r="H1137" t="s">
        <v>8</v>
      </c>
    </row>
    <row r="1138" spans="1:8" x14ac:dyDescent="0.25">
      <c r="A1138">
        <v>1137</v>
      </c>
      <c r="B1138">
        <v>5.7</v>
      </c>
      <c r="C1138">
        <v>0.6</v>
      </c>
      <c r="D1138">
        <v>9</v>
      </c>
      <c r="E1138">
        <v>3.7</v>
      </c>
      <c r="F1138">
        <v>5</v>
      </c>
      <c r="G1138">
        <v>2.88</v>
      </c>
      <c r="H1138" t="s">
        <v>9</v>
      </c>
    </row>
    <row r="1139" spans="1:8" x14ac:dyDescent="0.25">
      <c r="A1139">
        <v>1138</v>
      </c>
      <c r="B1139">
        <v>6.5</v>
      </c>
      <c r="C1139">
        <v>1.5</v>
      </c>
      <c r="D1139">
        <v>8.8000000000000007</v>
      </c>
      <c r="E1139">
        <v>4.9000000000000004</v>
      </c>
      <c r="F1139">
        <v>2.2999999999999998</v>
      </c>
      <c r="G1139">
        <v>2.88</v>
      </c>
      <c r="H1139" t="s">
        <v>8</v>
      </c>
    </row>
    <row r="1140" spans="1:8" x14ac:dyDescent="0.25">
      <c r="A1140">
        <v>1139</v>
      </c>
      <c r="B1140">
        <v>7</v>
      </c>
      <c r="C1140">
        <v>3.8</v>
      </c>
      <c r="D1140">
        <v>7</v>
      </c>
      <c r="E1140">
        <v>4.5999999999999996</v>
      </c>
      <c r="F1140">
        <v>1.6</v>
      </c>
      <c r="G1140">
        <v>3.24</v>
      </c>
      <c r="H1140" t="s">
        <v>8</v>
      </c>
    </row>
    <row r="1141" spans="1:8" x14ac:dyDescent="0.25">
      <c r="A1141">
        <v>1140</v>
      </c>
      <c r="B1141">
        <v>9.5</v>
      </c>
      <c r="C1141">
        <v>0.3</v>
      </c>
      <c r="D1141">
        <v>9.6999999999999993</v>
      </c>
      <c r="E1141">
        <v>3.7</v>
      </c>
      <c r="F1141">
        <v>0.8</v>
      </c>
      <c r="G1141">
        <v>3.42</v>
      </c>
      <c r="H1141" t="s">
        <v>10</v>
      </c>
    </row>
    <row r="1142" spans="1:8" x14ac:dyDescent="0.25">
      <c r="A1142">
        <v>1141</v>
      </c>
      <c r="B1142">
        <v>9</v>
      </c>
      <c r="C1142">
        <v>0.8</v>
      </c>
      <c r="D1142">
        <v>9</v>
      </c>
      <c r="E1142">
        <v>4.4000000000000004</v>
      </c>
      <c r="F1142">
        <v>0.8</v>
      </c>
      <c r="G1142">
        <v>3.37</v>
      </c>
      <c r="H1142" t="s">
        <v>10</v>
      </c>
    </row>
    <row r="1143" spans="1:8" x14ac:dyDescent="0.25">
      <c r="A1143">
        <v>1142</v>
      </c>
      <c r="B1143">
        <v>5.2</v>
      </c>
      <c r="C1143">
        <v>0.6</v>
      </c>
      <c r="D1143">
        <v>7.7</v>
      </c>
      <c r="E1143">
        <v>3.5</v>
      </c>
      <c r="F1143">
        <v>7</v>
      </c>
      <c r="G1143">
        <v>2.77</v>
      </c>
      <c r="H1143" t="s">
        <v>9</v>
      </c>
    </row>
    <row r="1144" spans="1:8" x14ac:dyDescent="0.25">
      <c r="A1144">
        <v>1143</v>
      </c>
      <c r="B1144">
        <v>8.1999999999999993</v>
      </c>
      <c r="C1144">
        <v>0.1</v>
      </c>
      <c r="D1144">
        <v>9.8000000000000007</v>
      </c>
      <c r="E1144">
        <v>0.3</v>
      </c>
      <c r="F1144">
        <v>5.6</v>
      </c>
      <c r="G1144">
        <v>3.37</v>
      </c>
      <c r="H1144" t="s">
        <v>10</v>
      </c>
    </row>
    <row r="1145" spans="1:8" x14ac:dyDescent="0.25">
      <c r="A1145">
        <v>1144</v>
      </c>
      <c r="B1145">
        <v>8.3000000000000007</v>
      </c>
      <c r="C1145">
        <v>3.3</v>
      </c>
      <c r="D1145">
        <v>5.0999999999999996</v>
      </c>
      <c r="E1145">
        <v>3.3</v>
      </c>
      <c r="F1145">
        <v>4</v>
      </c>
      <c r="G1145">
        <v>3.27</v>
      </c>
      <c r="H1145" t="s">
        <v>10</v>
      </c>
    </row>
    <row r="1146" spans="1:8" x14ac:dyDescent="0.25">
      <c r="A1146">
        <v>1145</v>
      </c>
      <c r="B1146">
        <v>7.3</v>
      </c>
      <c r="C1146">
        <v>2</v>
      </c>
      <c r="D1146">
        <v>5.4</v>
      </c>
      <c r="E1146">
        <v>4.0999999999999996</v>
      </c>
      <c r="F1146">
        <v>5.2</v>
      </c>
      <c r="G1146">
        <v>3.41</v>
      </c>
      <c r="H1146" t="s">
        <v>10</v>
      </c>
    </row>
    <row r="1147" spans="1:8" x14ac:dyDescent="0.25">
      <c r="A1147">
        <v>1146</v>
      </c>
      <c r="B1147">
        <v>7.4</v>
      </c>
      <c r="C1147">
        <v>0.6</v>
      </c>
      <c r="D1147">
        <v>8.1999999999999993</v>
      </c>
      <c r="E1147">
        <v>1</v>
      </c>
      <c r="F1147">
        <v>6.8</v>
      </c>
      <c r="G1147">
        <v>3.11</v>
      </c>
      <c r="H1147" t="s">
        <v>8</v>
      </c>
    </row>
    <row r="1148" spans="1:8" x14ac:dyDescent="0.25">
      <c r="A1148">
        <v>1147</v>
      </c>
      <c r="B1148">
        <v>9.4</v>
      </c>
      <c r="C1148">
        <v>2.5</v>
      </c>
      <c r="D1148">
        <v>5.8</v>
      </c>
      <c r="E1148">
        <v>5.8</v>
      </c>
      <c r="F1148">
        <v>0.5</v>
      </c>
      <c r="G1148">
        <v>3.25</v>
      </c>
      <c r="H1148" t="s">
        <v>10</v>
      </c>
    </row>
    <row r="1149" spans="1:8" x14ac:dyDescent="0.25">
      <c r="A1149">
        <v>1148</v>
      </c>
      <c r="B1149">
        <v>8.1</v>
      </c>
      <c r="C1149">
        <v>1</v>
      </c>
      <c r="D1149">
        <v>9</v>
      </c>
      <c r="E1149">
        <v>4.8</v>
      </c>
      <c r="F1149">
        <v>1.1000000000000001</v>
      </c>
      <c r="G1149">
        <v>3.22</v>
      </c>
      <c r="H1149" t="s">
        <v>10</v>
      </c>
    </row>
    <row r="1150" spans="1:8" x14ac:dyDescent="0.25">
      <c r="A1150">
        <v>1149</v>
      </c>
      <c r="B1150">
        <v>9.9</v>
      </c>
      <c r="C1150">
        <v>2</v>
      </c>
      <c r="D1150">
        <v>7.3</v>
      </c>
      <c r="E1150">
        <v>3.6</v>
      </c>
      <c r="F1150">
        <v>1.2</v>
      </c>
      <c r="G1150">
        <v>3.51</v>
      </c>
      <c r="H1150" t="s">
        <v>10</v>
      </c>
    </row>
    <row r="1151" spans="1:8" x14ac:dyDescent="0.25">
      <c r="A1151">
        <v>1150</v>
      </c>
      <c r="B1151">
        <v>7.7</v>
      </c>
      <c r="C1151">
        <v>0.4</v>
      </c>
      <c r="D1151">
        <v>7.1</v>
      </c>
      <c r="E1151">
        <v>5.0999999999999996</v>
      </c>
      <c r="F1151">
        <v>3.7</v>
      </c>
      <c r="G1151">
        <v>2.94</v>
      </c>
      <c r="H1151" t="s">
        <v>8</v>
      </c>
    </row>
    <row r="1152" spans="1:8" x14ac:dyDescent="0.25">
      <c r="A1152">
        <v>1151</v>
      </c>
      <c r="B1152">
        <v>9.3000000000000007</v>
      </c>
      <c r="C1152">
        <v>0.4</v>
      </c>
      <c r="D1152">
        <v>5.5</v>
      </c>
      <c r="E1152">
        <v>1.6</v>
      </c>
      <c r="F1152">
        <v>7.2</v>
      </c>
      <c r="G1152">
        <v>3.29</v>
      </c>
      <c r="H1152" t="s">
        <v>10</v>
      </c>
    </row>
    <row r="1153" spans="1:8" x14ac:dyDescent="0.25">
      <c r="A1153">
        <v>1152</v>
      </c>
      <c r="B1153">
        <v>8.1</v>
      </c>
      <c r="C1153">
        <v>1.4</v>
      </c>
      <c r="D1153">
        <v>8.9</v>
      </c>
      <c r="E1153">
        <v>1.3</v>
      </c>
      <c r="F1153">
        <v>4.3</v>
      </c>
      <c r="G1153">
        <v>3.27</v>
      </c>
      <c r="H1153" t="s">
        <v>10</v>
      </c>
    </row>
    <row r="1154" spans="1:8" x14ac:dyDescent="0.25">
      <c r="A1154">
        <v>1153</v>
      </c>
      <c r="B1154">
        <v>8.1999999999999993</v>
      </c>
      <c r="C1154">
        <v>0.9</v>
      </c>
      <c r="D1154">
        <v>8.6</v>
      </c>
      <c r="E1154">
        <v>5.2</v>
      </c>
      <c r="F1154">
        <v>1.1000000000000001</v>
      </c>
      <c r="G1154">
        <v>3.03</v>
      </c>
      <c r="H1154" t="s">
        <v>10</v>
      </c>
    </row>
    <row r="1155" spans="1:8" x14ac:dyDescent="0.25">
      <c r="A1155">
        <v>1154</v>
      </c>
      <c r="B1155">
        <v>7.1</v>
      </c>
      <c r="C1155">
        <v>0.6</v>
      </c>
      <c r="D1155">
        <v>8.5</v>
      </c>
      <c r="E1155">
        <v>4.5999999999999996</v>
      </c>
      <c r="F1155">
        <v>3.2</v>
      </c>
      <c r="G1155">
        <v>3.11</v>
      </c>
      <c r="H1155" t="s">
        <v>8</v>
      </c>
    </row>
    <row r="1156" spans="1:8" x14ac:dyDescent="0.25">
      <c r="A1156">
        <v>1155</v>
      </c>
      <c r="B1156">
        <v>5.5</v>
      </c>
      <c r="C1156">
        <v>2</v>
      </c>
      <c r="D1156">
        <v>9.1</v>
      </c>
      <c r="E1156">
        <v>5.6</v>
      </c>
      <c r="F1156">
        <v>1.8</v>
      </c>
      <c r="G1156">
        <v>2.95</v>
      </c>
      <c r="H1156" t="s">
        <v>9</v>
      </c>
    </row>
    <row r="1157" spans="1:8" x14ac:dyDescent="0.25">
      <c r="A1157">
        <v>1156</v>
      </c>
      <c r="B1157">
        <v>7.7</v>
      </c>
      <c r="C1157">
        <v>1.6</v>
      </c>
      <c r="D1157">
        <v>9.1999999999999993</v>
      </c>
      <c r="E1157">
        <v>2.7</v>
      </c>
      <c r="F1157">
        <v>2.8</v>
      </c>
      <c r="G1157">
        <v>3.16</v>
      </c>
      <c r="H1157" t="s">
        <v>8</v>
      </c>
    </row>
    <row r="1158" spans="1:8" x14ac:dyDescent="0.25">
      <c r="A1158">
        <v>1157</v>
      </c>
      <c r="B1158">
        <v>7.4</v>
      </c>
      <c r="C1158">
        <v>2</v>
      </c>
      <c r="D1158">
        <v>9.1999999999999993</v>
      </c>
      <c r="E1158">
        <v>4.5</v>
      </c>
      <c r="F1158">
        <v>0.9</v>
      </c>
      <c r="G1158">
        <v>2.77</v>
      </c>
      <c r="H1158" t="s">
        <v>8</v>
      </c>
    </row>
    <row r="1159" spans="1:8" x14ac:dyDescent="0.25">
      <c r="A1159">
        <v>1158</v>
      </c>
      <c r="B1159">
        <v>7.5</v>
      </c>
      <c r="C1159">
        <v>2.2999999999999998</v>
      </c>
      <c r="D1159">
        <v>6.2</v>
      </c>
      <c r="E1159">
        <v>4.8</v>
      </c>
      <c r="F1159">
        <v>3.2</v>
      </c>
      <c r="G1159">
        <v>2.93</v>
      </c>
      <c r="H1159" t="s">
        <v>8</v>
      </c>
    </row>
    <row r="1160" spans="1:8" x14ac:dyDescent="0.25">
      <c r="A1160">
        <v>1159</v>
      </c>
      <c r="B1160">
        <v>7.4</v>
      </c>
      <c r="C1160">
        <v>1.3</v>
      </c>
      <c r="D1160">
        <v>5.5</v>
      </c>
      <c r="E1160">
        <v>1.4</v>
      </c>
      <c r="F1160">
        <v>8.4</v>
      </c>
      <c r="G1160">
        <v>3.09</v>
      </c>
      <c r="H1160" t="s">
        <v>10</v>
      </c>
    </row>
    <row r="1161" spans="1:8" x14ac:dyDescent="0.25">
      <c r="A1161">
        <v>1160</v>
      </c>
      <c r="B1161">
        <v>5.8</v>
      </c>
      <c r="C1161">
        <v>1.8</v>
      </c>
      <c r="D1161">
        <v>6.5</v>
      </c>
      <c r="E1161">
        <v>0.2</v>
      </c>
      <c r="F1161">
        <v>9.6999999999999993</v>
      </c>
      <c r="G1161">
        <v>2.92</v>
      </c>
      <c r="H1161" t="s">
        <v>9</v>
      </c>
    </row>
    <row r="1162" spans="1:8" x14ac:dyDescent="0.25">
      <c r="A1162">
        <v>1161</v>
      </c>
      <c r="B1162">
        <v>6.6</v>
      </c>
      <c r="C1162">
        <v>2.2000000000000002</v>
      </c>
      <c r="D1162">
        <v>7.8</v>
      </c>
      <c r="E1162">
        <v>2.1</v>
      </c>
      <c r="F1162">
        <v>5.3</v>
      </c>
      <c r="G1162">
        <v>3.09</v>
      </c>
      <c r="H1162" t="s">
        <v>8</v>
      </c>
    </row>
    <row r="1163" spans="1:8" x14ac:dyDescent="0.25">
      <c r="A1163">
        <v>1162</v>
      </c>
      <c r="B1163">
        <v>6.9</v>
      </c>
      <c r="C1163">
        <v>1</v>
      </c>
      <c r="D1163">
        <v>6.2</v>
      </c>
      <c r="E1163">
        <v>2.7</v>
      </c>
      <c r="F1163">
        <v>7.2</v>
      </c>
      <c r="G1163">
        <v>3.02</v>
      </c>
      <c r="H1163" t="s">
        <v>8</v>
      </c>
    </row>
    <row r="1164" spans="1:8" x14ac:dyDescent="0.25">
      <c r="A1164">
        <v>1163</v>
      </c>
      <c r="B1164">
        <v>8.8000000000000007</v>
      </c>
      <c r="C1164">
        <v>0.8</v>
      </c>
      <c r="D1164">
        <v>8.5</v>
      </c>
      <c r="E1164">
        <v>0.1</v>
      </c>
      <c r="F1164">
        <v>5.8</v>
      </c>
      <c r="G1164">
        <v>3.61</v>
      </c>
      <c r="H1164" t="s">
        <v>10</v>
      </c>
    </row>
    <row r="1165" spans="1:8" x14ac:dyDescent="0.25">
      <c r="A1165">
        <v>1164</v>
      </c>
      <c r="B1165">
        <v>6.7</v>
      </c>
      <c r="C1165">
        <v>2.2999999999999998</v>
      </c>
      <c r="D1165">
        <v>6</v>
      </c>
      <c r="E1165">
        <v>4.5</v>
      </c>
      <c r="F1165">
        <v>4.5</v>
      </c>
      <c r="G1165">
        <v>2.92</v>
      </c>
      <c r="H1165" t="s">
        <v>8</v>
      </c>
    </row>
    <row r="1166" spans="1:8" x14ac:dyDescent="0.25">
      <c r="A1166">
        <v>1165</v>
      </c>
      <c r="B1166">
        <v>5.3</v>
      </c>
      <c r="C1166">
        <v>3.4</v>
      </c>
      <c r="D1166">
        <v>6</v>
      </c>
      <c r="E1166">
        <v>5.2</v>
      </c>
      <c r="F1166">
        <v>4.0999999999999996</v>
      </c>
      <c r="G1166">
        <v>3.06</v>
      </c>
      <c r="H1166" t="s">
        <v>9</v>
      </c>
    </row>
    <row r="1167" spans="1:8" x14ac:dyDescent="0.25">
      <c r="A1167">
        <v>1166</v>
      </c>
      <c r="B1167">
        <v>6.6</v>
      </c>
      <c r="C1167">
        <v>3.6</v>
      </c>
      <c r="D1167">
        <v>5.6</v>
      </c>
      <c r="E1167">
        <v>1.1000000000000001</v>
      </c>
      <c r="F1167">
        <v>7.1</v>
      </c>
      <c r="G1167">
        <v>2.82</v>
      </c>
      <c r="H1167" t="s">
        <v>10</v>
      </c>
    </row>
    <row r="1168" spans="1:8" x14ac:dyDescent="0.25">
      <c r="A1168">
        <v>1167</v>
      </c>
      <c r="B1168">
        <v>7.5</v>
      </c>
      <c r="C1168">
        <v>0.3</v>
      </c>
      <c r="D1168">
        <v>6</v>
      </c>
      <c r="E1168">
        <v>5.7</v>
      </c>
      <c r="F1168">
        <v>4.5</v>
      </c>
      <c r="G1168">
        <v>3.11</v>
      </c>
      <c r="H1168" t="s">
        <v>8</v>
      </c>
    </row>
    <row r="1169" spans="1:8" x14ac:dyDescent="0.25">
      <c r="A1169">
        <v>1168</v>
      </c>
      <c r="B1169">
        <v>9.6</v>
      </c>
      <c r="C1169">
        <v>2.2000000000000002</v>
      </c>
      <c r="D1169">
        <v>6.3</v>
      </c>
      <c r="E1169">
        <v>4.0999999999999996</v>
      </c>
      <c r="F1169">
        <v>1.8</v>
      </c>
      <c r="G1169">
        <v>3.49</v>
      </c>
      <c r="H1169" t="s">
        <v>10</v>
      </c>
    </row>
    <row r="1170" spans="1:8" x14ac:dyDescent="0.25">
      <c r="A1170">
        <v>1169</v>
      </c>
      <c r="B1170">
        <v>8.3000000000000007</v>
      </c>
      <c r="C1170">
        <v>4</v>
      </c>
      <c r="D1170">
        <v>6.3</v>
      </c>
      <c r="E1170">
        <v>3.6</v>
      </c>
      <c r="F1170">
        <v>1.8</v>
      </c>
      <c r="G1170">
        <v>3.36</v>
      </c>
      <c r="H1170" t="s">
        <v>10</v>
      </c>
    </row>
    <row r="1171" spans="1:8" x14ac:dyDescent="0.25">
      <c r="A1171">
        <v>1170</v>
      </c>
      <c r="B1171">
        <v>7.5</v>
      </c>
      <c r="C1171">
        <v>1.2</v>
      </c>
      <c r="D1171">
        <v>5.8</v>
      </c>
      <c r="E1171">
        <v>1.7</v>
      </c>
      <c r="F1171">
        <v>7.8</v>
      </c>
      <c r="G1171">
        <v>3.25</v>
      </c>
      <c r="H1171" t="s">
        <v>10</v>
      </c>
    </row>
    <row r="1172" spans="1:8" x14ac:dyDescent="0.25">
      <c r="A1172">
        <v>1171</v>
      </c>
      <c r="B1172">
        <v>6.9</v>
      </c>
      <c r="C1172">
        <v>3</v>
      </c>
      <c r="D1172">
        <v>7.7</v>
      </c>
      <c r="E1172">
        <v>0.5</v>
      </c>
      <c r="F1172">
        <v>5.9</v>
      </c>
      <c r="G1172">
        <v>3.17</v>
      </c>
      <c r="H1172" t="s">
        <v>8</v>
      </c>
    </row>
    <row r="1173" spans="1:8" x14ac:dyDescent="0.25">
      <c r="A1173">
        <v>1172</v>
      </c>
      <c r="B1173">
        <v>8.1999999999999993</v>
      </c>
      <c r="C1173">
        <v>3.2</v>
      </c>
      <c r="D1173">
        <v>7.3</v>
      </c>
      <c r="E1173">
        <v>1.9</v>
      </c>
      <c r="F1173">
        <v>3.4</v>
      </c>
      <c r="G1173">
        <v>3.2</v>
      </c>
      <c r="H1173" t="s">
        <v>10</v>
      </c>
    </row>
    <row r="1174" spans="1:8" x14ac:dyDescent="0.25">
      <c r="A1174">
        <v>1173</v>
      </c>
      <c r="B1174">
        <v>5.5</v>
      </c>
      <c r="C1174">
        <v>3.5</v>
      </c>
      <c r="D1174">
        <v>8.9</v>
      </c>
      <c r="E1174">
        <v>1</v>
      </c>
      <c r="F1174">
        <v>5.0999999999999996</v>
      </c>
      <c r="G1174">
        <v>2.2999999999999998</v>
      </c>
      <c r="H1174" t="s">
        <v>9</v>
      </c>
    </row>
    <row r="1175" spans="1:8" x14ac:dyDescent="0.25">
      <c r="A1175">
        <v>1174</v>
      </c>
      <c r="B1175">
        <v>8.1</v>
      </c>
      <c r="C1175">
        <v>3.8</v>
      </c>
      <c r="D1175">
        <v>7.9</v>
      </c>
      <c r="E1175">
        <v>2.2999999999999998</v>
      </c>
      <c r="F1175">
        <v>1.9</v>
      </c>
      <c r="G1175">
        <v>3.72</v>
      </c>
      <c r="H1175" t="s">
        <v>10</v>
      </c>
    </row>
    <row r="1176" spans="1:8" x14ac:dyDescent="0.25">
      <c r="A1176">
        <v>1175</v>
      </c>
      <c r="B1176">
        <v>5.3</v>
      </c>
      <c r="C1176">
        <v>0.3</v>
      </c>
      <c r="D1176">
        <v>5.9</v>
      </c>
      <c r="E1176">
        <v>0.2</v>
      </c>
      <c r="F1176">
        <v>12.3</v>
      </c>
      <c r="G1176">
        <v>2.97</v>
      </c>
      <c r="H1176" t="s">
        <v>10</v>
      </c>
    </row>
    <row r="1177" spans="1:8" x14ac:dyDescent="0.25">
      <c r="A1177">
        <v>1176</v>
      </c>
      <c r="B1177">
        <v>5.7</v>
      </c>
      <c r="C1177">
        <v>3.3</v>
      </c>
      <c r="D1177">
        <v>5.8</v>
      </c>
      <c r="E1177">
        <v>1.8</v>
      </c>
      <c r="F1177">
        <v>7.4</v>
      </c>
      <c r="G1177">
        <v>3.04</v>
      </c>
      <c r="H1177" t="s">
        <v>10</v>
      </c>
    </row>
    <row r="1178" spans="1:8" x14ac:dyDescent="0.25">
      <c r="A1178">
        <v>1177</v>
      </c>
      <c r="B1178">
        <v>6.2</v>
      </c>
      <c r="C1178">
        <v>1.5</v>
      </c>
      <c r="D1178">
        <v>6.3</v>
      </c>
      <c r="E1178">
        <v>2.9</v>
      </c>
      <c r="F1178">
        <v>7.1</v>
      </c>
      <c r="G1178">
        <v>2.97</v>
      </c>
      <c r="H1178" t="s">
        <v>8</v>
      </c>
    </row>
    <row r="1179" spans="1:8" x14ac:dyDescent="0.25">
      <c r="A1179">
        <v>1178</v>
      </c>
      <c r="B1179">
        <v>5.3</v>
      </c>
      <c r="C1179">
        <v>0.6</v>
      </c>
      <c r="D1179">
        <v>5.3</v>
      </c>
      <c r="E1179">
        <v>3.8</v>
      </c>
      <c r="F1179">
        <v>9</v>
      </c>
      <c r="G1179">
        <v>2.79</v>
      </c>
      <c r="H1179" t="s">
        <v>10</v>
      </c>
    </row>
    <row r="1180" spans="1:8" x14ac:dyDescent="0.25">
      <c r="A1180">
        <v>1179</v>
      </c>
      <c r="B1180">
        <v>5.3</v>
      </c>
      <c r="C1180">
        <v>3.3</v>
      </c>
      <c r="D1180">
        <v>7.6</v>
      </c>
      <c r="E1180">
        <v>3.2</v>
      </c>
      <c r="F1180">
        <v>4.5999999999999996</v>
      </c>
      <c r="G1180">
        <v>2.5499999999999998</v>
      </c>
      <c r="H1180" t="s">
        <v>9</v>
      </c>
    </row>
    <row r="1181" spans="1:8" x14ac:dyDescent="0.25">
      <c r="A1181">
        <v>1180</v>
      </c>
      <c r="B1181">
        <v>6</v>
      </c>
      <c r="C1181">
        <v>1.3</v>
      </c>
      <c r="D1181">
        <v>8</v>
      </c>
      <c r="E1181">
        <v>1.3</v>
      </c>
      <c r="F1181">
        <v>7.4</v>
      </c>
      <c r="G1181">
        <v>2.95</v>
      </c>
      <c r="H1181" t="s">
        <v>8</v>
      </c>
    </row>
    <row r="1182" spans="1:8" x14ac:dyDescent="0.25">
      <c r="A1182">
        <v>1181</v>
      </c>
      <c r="B1182">
        <v>5.6</v>
      </c>
      <c r="C1182">
        <v>3.9</v>
      </c>
      <c r="D1182">
        <v>5.0999999999999996</v>
      </c>
      <c r="E1182">
        <v>4.8</v>
      </c>
      <c r="F1182">
        <v>4.5999999999999996</v>
      </c>
      <c r="G1182">
        <v>2.7</v>
      </c>
      <c r="H1182" t="s">
        <v>10</v>
      </c>
    </row>
    <row r="1183" spans="1:8" x14ac:dyDescent="0.25">
      <c r="A1183">
        <v>1182</v>
      </c>
      <c r="B1183">
        <v>5.7</v>
      </c>
      <c r="C1183">
        <v>0.6</v>
      </c>
      <c r="D1183">
        <v>8.5</v>
      </c>
      <c r="E1183">
        <v>3.9</v>
      </c>
      <c r="F1183">
        <v>5.3</v>
      </c>
      <c r="G1183">
        <v>3.05</v>
      </c>
      <c r="H1183" t="s">
        <v>9</v>
      </c>
    </row>
    <row r="1184" spans="1:8" x14ac:dyDescent="0.25">
      <c r="A1184">
        <v>1183</v>
      </c>
      <c r="B1184">
        <v>8.9</v>
      </c>
      <c r="C1184">
        <v>3.7</v>
      </c>
      <c r="D1184">
        <v>8.5</v>
      </c>
      <c r="E1184">
        <v>0.5</v>
      </c>
      <c r="F1184">
        <v>2.4</v>
      </c>
      <c r="G1184">
        <v>3.46</v>
      </c>
      <c r="H1184" t="s">
        <v>10</v>
      </c>
    </row>
    <row r="1185" spans="1:8" x14ac:dyDescent="0.25">
      <c r="A1185">
        <v>1184</v>
      </c>
      <c r="B1185">
        <v>6</v>
      </c>
      <c r="C1185">
        <v>0.3</v>
      </c>
      <c r="D1185">
        <v>8.5</v>
      </c>
      <c r="E1185">
        <v>2.4</v>
      </c>
      <c r="F1185">
        <v>6.8</v>
      </c>
      <c r="G1185">
        <v>2.81</v>
      </c>
      <c r="H1185" t="s">
        <v>8</v>
      </c>
    </row>
    <row r="1186" spans="1:8" x14ac:dyDescent="0.25">
      <c r="A1186">
        <v>1185</v>
      </c>
      <c r="B1186">
        <v>9.6</v>
      </c>
      <c r="C1186">
        <v>2.6</v>
      </c>
      <c r="D1186">
        <v>5.5</v>
      </c>
      <c r="E1186">
        <v>5.7</v>
      </c>
      <c r="F1186">
        <v>0.6</v>
      </c>
      <c r="G1186">
        <v>3.28</v>
      </c>
      <c r="H1186" t="s">
        <v>10</v>
      </c>
    </row>
    <row r="1187" spans="1:8" x14ac:dyDescent="0.25">
      <c r="A1187">
        <v>1186</v>
      </c>
      <c r="B1187">
        <v>7</v>
      </c>
      <c r="C1187">
        <v>0.2</v>
      </c>
      <c r="D1187">
        <v>7.5</v>
      </c>
      <c r="E1187">
        <v>0.7</v>
      </c>
      <c r="F1187">
        <v>8.6</v>
      </c>
      <c r="G1187">
        <v>2.81</v>
      </c>
      <c r="H1187" t="s">
        <v>8</v>
      </c>
    </row>
    <row r="1188" spans="1:8" x14ac:dyDescent="0.25">
      <c r="A1188">
        <v>1187</v>
      </c>
      <c r="B1188">
        <v>7</v>
      </c>
      <c r="C1188">
        <v>1.4</v>
      </c>
      <c r="D1188">
        <v>8.9</v>
      </c>
      <c r="E1188">
        <v>4.8</v>
      </c>
      <c r="F1188">
        <v>1.9</v>
      </c>
      <c r="G1188">
        <v>2.97</v>
      </c>
      <c r="H1188" t="s">
        <v>8</v>
      </c>
    </row>
    <row r="1189" spans="1:8" x14ac:dyDescent="0.25">
      <c r="A1189">
        <v>1188</v>
      </c>
      <c r="B1189">
        <v>6.9</v>
      </c>
      <c r="C1189">
        <v>0.6</v>
      </c>
      <c r="D1189">
        <v>9</v>
      </c>
      <c r="E1189">
        <v>4.2</v>
      </c>
      <c r="F1189">
        <v>3.3</v>
      </c>
      <c r="G1189">
        <v>2.83</v>
      </c>
      <c r="H1189" t="s">
        <v>8</v>
      </c>
    </row>
    <row r="1190" spans="1:8" x14ac:dyDescent="0.25">
      <c r="A1190">
        <v>1189</v>
      </c>
      <c r="B1190">
        <v>6</v>
      </c>
      <c r="C1190">
        <v>1.5</v>
      </c>
      <c r="D1190">
        <v>5.5</v>
      </c>
      <c r="E1190">
        <v>3.8</v>
      </c>
      <c r="F1190">
        <v>7.2</v>
      </c>
      <c r="G1190">
        <v>2.8</v>
      </c>
      <c r="H1190" t="s">
        <v>10</v>
      </c>
    </row>
    <row r="1191" spans="1:8" x14ac:dyDescent="0.25">
      <c r="A1191">
        <v>1190</v>
      </c>
      <c r="B1191">
        <v>7.9</v>
      </c>
      <c r="C1191">
        <v>3.6</v>
      </c>
      <c r="D1191">
        <v>7.8</v>
      </c>
      <c r="E1191">
        <v>0.8</v>
      </c>
      <c r="F1191">
        <v>3.9</v>
      </c>
      <c r="G1191">
        <v>3.45</v>
      </c>
      <c r="H1191" t="s">
        <v>8</v>
      </c>
    </row>
    <row r="1192" spans="1:8" x14ac:dyDescent="0.25">
      <c r="A1192">
        <v>1191</v>
      </c>
      <c r="B1192">
        <v>6.9</v>
      </c>
      <c r="C1192">
        <v>3.4</v>
      </c>
      <c r="D1192">
        <v>8.1999999999999993</v>
      </c>
      <c r="E1192">
        <v>3.6</v>
      </c>
      <c r="F1192">
        <v>1.9</v>
      </c>
      <c r="G1192">
        <v>3.37</v>
      </c>
      <c r="H1192" t="s">
        <v>8</v>
      </c>
    </row>
    <row r="1193" spans="1:8" x14ac:dyDescent="0.25">
      <c r="A1193">
        <v>1192</v>
      </c>
      <c r="B1193">
        <v>8.8000000000000007</v>
      </c>
      <c r="C1193">
        <v>2.4</v>
      </c>
      <c r="D1193">
        <v>5.8</v>
      </c>
      <c r="E1193">
        <v>4.8</v>
      </c>
      <c r="F1193">
        <v>2.2000000000000002</v>
      </c>
      <c r="G1193">
        <v>3.38</v>
      </c>
      <c r="H1193" t="s">
        <v>10</v>
      </c>
    </row>
    <row r="1194" spans="1:8" x14ac:dyDescent="0.25">
      <c r="A1194">
        <v>1193</v>
      </c>
      <c r="B1194">
        <v>8.6</v>
      </c>
      <c r="C1194">
        <v>0.3</v>
      </c>
      <c r="D1194">
        <v>7.3</v>
      </c>
      <c r="E1194">
        <v>1</v>
      </c>
      <c r="F1194">
        <v>6.8</v>
      </c>
      <c r="G1194">
        <v>3.51</v>
      </c>
      <c r="H1194" t="s">
        <v>10</v>
      </c>
    </row>
    <row r="1195" spans="1:8" x14ac:dyDescent="0.25">
      <c r="A1195">
        <v>1194</v>
      </c>
      <c r="B1195">
        <v>8.1</v>
      </c>
      <c r="C1195">
        <v>2.7</v>
      </c>
      <c r="D1195">
        <v>9.1999999999999993</v>
      </c>
      <c r="E1195">
        <v>0.9</v>
      </c>
      <c r="F1195">
        <v>3.1</v>
      </c>
      <c r="G1195">
        <v>2.78</v>
      </c>
      <c r="H1195" t="s">
        <v>10</v>
      </c>
    </row>
    <row r="1196" spans="1:8" x14ac:dyDescent="0.25">
      <c r="A1196">
        <v>1195</v>
      </c>
      <c r="B1196">
        <v>5.6</v>
      </c>
      <c r="C1196">
        <v>3.4</v>
      </c>
      <c r="D1196">
        <v>5.8</v>
      </c>
      <c r="E1196">
        <v>5.8</v>
      </c>
      <c r="F1196">
        <v>3.4</v>
      </c>
      <c r="G1196">
        <v>2.84</v>
      </c>
      <c r="H1196" t="s">
        <v>10</v>
      </c>
    </row>
    <row r="1197" spans="1:8" x14ac:dyDescent="0.25">
      <c r="A1197">
        <v>1196</v>
      </c>
      <c r="B1197">
        <v>9.9</v>
      </c>
      <c r="C1197">
        <v>0.4</v>
      </c>
      <c r="D1197">
        <v>6.5</v>
      </c>
      <c r="E1197">
        <v>3.8</v>
      </c>
      <c r="F1197">
        <v>3.4</v>
      </c>
      <c r="G1197">
        <v>3.73</v>
      </c>
      <c r="H1197" t="s">
        <v>10</v>
      </c>
    </row>
    <row r="1198" spans="1:8" x14ac:dyDescent="0.25">
      <c r="A1198">
        <v>1197</v>
      </c>
      <c r="B1198">
        <v>6.8</v>
      </c>
      <c r="C1198">
        <v>3.7</v>
      </c>
      <c r="D1198">
        <v>5.3</v>
      </c>
      <c r="E1198">
        <v>3.3</v>
      </c>
      <c r="F1198">
        <v>4.9000000000000004</v>
      </c>
      <c r="G1198">
        <v>3.37</v>
      </c>
      <c r="H1198" t="s">
        <v>10</v>
      </c>
    </row>
    <row r="1199" spans="1:8" x14ac:dyDescent="0.25">
      <c r="A1199">
        <v>1198</v>
      </c>
      <c r="B1199">
        <v>6.3</v>
      </c>
      <c r="C1199">
        <v>1.5</v>
      </c>
      <c r="D1199">
        <v>9.1999999999999993</v>
      </c>
      <c r="E1199">
        <v>1.2</v>
      </c>
      <c r="F1199">
        <v>5.8</v>
      </c>
      <c r="G1199">
        <v>3.15</v>
      </c>
      <c r="H1199" t="s">
        <v>8</v>
      </c>
    </row>
    <row r="1200" spans="1:8" x14ac:dyDescent="0.25">
      <c r="A1200">
        <v>1199</v>
      </c>
      <c r="B1200">
        <v>9.1</v>
      </c>
      <c r="C1200">
        <v>2.2999999999999998</v>
      </c>
      <c r="D1200">
        <v>8.8000000000000007</v>
      </c>
      <c r="E1200">
        <v>2.7</v>
      </c>
      <c r="F1200">
        <v>1.1000000000000001</v>
      </c>
      <c r="G1200">
        <v>3.43</v>
      </c>
      <c r="H1200" t="s">
        <v>10</v>
      </c>
    </row>
    <row r="1201" spans="1:8" x14ac:dyDescent="0.25">
      <c r="A1201">
        <v>1200</v>
      </c>
      <c r="B1201">
        <v>9.3000000000000007</v>
      </c>
      <c r="C1201">
        <v>1.7</v>
      </c>
      <c r="D1201">
        <v>9.8000000000000007</v>
      </c>
      <c r="E1201">
        <v>1.4</v>
      </c>
      <c r="F1201">
        <v>1.8</v>
      </c>
      <c r="G1201">
        <v>3.12</v>
      </c>
      <c r="H1201" t="s">
        <v>10</v>
      </c>
    </row>
    <row r="1202" spans="1:8" x14ac:dyDescent="0.25">
      <c r="A1202">
        <v>1201</v>
      </c>
      <c r="B1202">
        <v>5.7</v>
      </c>
      <c r="C1202">
        <v>1.6</v>
      </c>
      <c r="D1202">
        <v>9.8000000000000007</v>
      </c>
      <c r="E1202">
        <v>1.9</v>
      </c>
      <c r="F1202">
        <v>5</v>
      </c>
      <c r="G1202">
        <v>2.72</v>
      </c>
      <c r="H1202" t="s">
        <v>9</v>
      </c>
    </row>
    <row r="1203" spans="1:8" x14ac:dyDescent="0.25">
      <c r="A1203">
        <v>1202</v>
      </c>
      <c r="B1203">
        <v>8.6</v>
      </c>
      <c r="C1203">
        <v>1.2</v>
      </c>
      <c r="D1203">
        <v>8.9</v>
      </c>
      <c r="E1203">
        <v>2.2999999999999998</v>
      </c>
      <c r="F1203">
        <v>3</v>
      </c>
      <c r="G1203">
        <v>3.24</v>
      </c>
      <c r="H1203" t="s">
        <v>10</v>
      </c>
    </row>
    <row r="1204" spans="1:8" x14ac:dyDescent="0.25">
      <c r="A1204">
        <v>1203</v>
      </c>
      <c r="B1204">
        <v>7.4</v>
      </c>
      <c r="C1204">
        <v>3.1</v>
      </c>
      <c r="D1204">
        <v>6.9</v>
      </c>
      <c r="E1204">
        <v>2.7</v>
      </c>
      <c r="F1204">
        <v>3.9</v>
      </c>
      <c r="G1204">
        <v>2.82</v>
      </c>
      <c r="H1204" t="s">
        <v>8</v>
      </c>
    </row>
    <row r="1205" spans="1:8" x14ac:dyDescent="0.25">
      <c r="A1205">
        <v>1204</v>
      </c>
      <c r="B1205">
        <v>7.6</v>
      </c>
      <c r="C1205">
        <v>3.2</v>
      </c>
      <c r="D1205">
        <v>6.8</v>
      </c>
      <c r="E1205">
        <v>3.1</v>
      </c>
      <c r="F1205">
        <v>3.3</v>
      </c>
      <c r="G1205">
        <v>2.87</v>
      </c>
      <c r="H1205" t="s">
        <v>8</v>
      </c>
    </row>
    <row r="1206" spans="1:8" x14ac:dyDescent="0.25">
      <c r="A1206">
        <v>1205</v>
      </c>
      <c r="B1206">
        <v>8.4</v>
      </c>
      <c r="C1206">
        <v>1.1000000000000001</v>
      </c>
      <c r="D1206">
        <v>6.4</v>
      </c>
      <c r="E1206">
        <v>5.6</v>
      </c>
      <c r="F1206">
        <v>2.5</v>
      </c>
      <c r="G1206">
        <v>3.37</v>
      </c>
      <c r="H1206" t="s">
        <v>10</v>
      </c>
    </row>
    <row r="1207" spans="1:8" x14ac:dyDescent="0.25">
      <c r="A1207">
        <v>1206</v>
      </c>
      <c r="B1207">
        <v>8.1999999999999993</v>
      </c>
      <c r="C1207">
        <v>0.1</v>
      </c>
      <c r="D1207">
        <v>8.1</v>
      </c>
      <c r="E1207">
        <v>3.1</v>
      </c>
      <c r="F1207">
        <v>4.5</v>
      </c>
      <c r="G1207">
        <v>3.56</v>
      </c>
      <c r="H1207" t="s">
        <v>10</v>
      </c>
    </row>
    <row r="1208" spans="1:8" x14ac:dyDescent="0.25">
      <c r="A1208">
        <v>1207</v>
      </c>
      <c r="B1208">
        <v>7.7</v>
      </c>
      <c r="C1208">
        <v>1.4</v>
      </c>
      <c r="D1208">
        <v>5.4</v>
      </c>
      <c r="E1208">
        <v>1.2</v>
      </c>
      <c r="F1208">
        <v>8.3000000000000007</v>
      </c>
      <c r="G1208">
        <v>3.13</v>
      </c>
      <c r="H1208" t="s">
        <v>10</v>
      </c>
    </row>
    <row r="1209" spans="1:8" x14ac:dyDescent="0.25">
      <c r="A1209">
        <v>1208</v>
      </c>
      <c r="B1209">
        <v>7.3</v>
      </c>
      <c r="C1209">
        <v>0.2</v>
      </c>
      <c r="D1209">
        <v>5.2</v>
      </c>
      <c r="E1209">
        <v>4.3</v>
      </c>
      <c r="F1209">
        <v>7</v>
      </c>
      <c r="G1209">
        <v>3.21</v>
      </c>
      <c r="H1209" t="s">
        <v>10</v>
      </c>
    </row>
    <row r="1210" spans="1:8" x14ac:dyDescent="0.25">
      <c r="A1210">
        <v>1209</v>
      </c>
      <c r="B1210">
        <v>7.7</v>
      </c>
      <c r="C1210">
        <v>2</v>
      </c>
      <c r="D1210">
        <v>6.2</v>
      </c>
      <c r="E1210">
        <v>4.5</v>
      </c>
      <c r="F1210">
        <v>3.6</v>
      </c>
      <c r="G1210">
        <v>3.07</v>
      </c>
      <c r="H1210" t="s">
        <v>8</v>
      </c>
    </row>
    <row r="1211" spans="1:8" x14ac:dyDescent="0.25">
      <c r="A1211">
        <v>1210</v>
      </c>
      <c r="B1211">
        <v>7.3</v>
      </c>
      <c r="C1211">
        <v>1.1000000000000001</v>
      </c>
      <c r="D1211">
        <v>6.2</v>
      </c>
      <c r="E1211">
        <v>3.9</v>
      </c>
      <c r="F1211">
        <v>5.5</v>
      </c>
      <c r="G1211">
        <v>3</v>
      </c>
      <c r="H1211" t="s">
        <v>8</v>
      </c>
    </row>
    <row r="1212" spans="1:8" x14ac:dyDescent="0.25">
      <c r="A1212">
        <v>1211</v>
      </c>
      <c r="B1212">
        <v>8.3000000000000007</v>
      </c>
      <c r="C1212">
        <v>3.3</v>
      </c>
      <c r="D1212">
        <v>7.1</v>
      </c>
      <c r="E1212">
        <v>0.4</v>
      </c>
      <c r="F1212">
        <v>4.9000000000000004</v>
      </c>
      <c r="G1212">
        <v>3.56</v>
      </c>
      <c r="H1212" t="s">
        <v>10</v>
      </c>
    </row>
    <row r="1213" spans="1:8" x14ac:dyDescent="0.25">
      <c r="A1213">
        <v>1212</v>
      </c>
      <c r="B1213">
        <v>5</v>
      </c>
      <c r="C1213">
        <v>2.1</v>
      </c>
      <c r="D1213">
        <v>5.2</v>
      </c>
      <c r="E1213">
        <v>3.4</v>
      </c>
      <c r="F1213">
        <v>8.3000000000000007</v>
      </c>
      <c r="G1213">
        <v>2.9</v>
      </c>
      <c r="H1213" t="s">
        <v>10</v>
      </c>
    </row>
    <row r="1214" spans="1:8" x14ac:dyDescent="0.25">
      <c r="A1214">
        <v>1213</v>
      </c>
      <c r="B1214">
        <v>9.6</v>
      </c>
      <c r="C1214">
        <v>3.9</v>
      </c>
      <c r="D1214">
        <v>7.7</v>
      </c>
      <c r="E1214">
        <v>1.3</v>
      </c>
      <c r="F1214">
        <v>1.5</v>
      </c>
      <c r="G1214">
        <v>3.47</v>
      </c>
      <c r="H1214" t="s">
        <v>10</v>
      </c>
    </row>
    <row r="1215" spans="1:8" x14ac:dyDescent="0.25">
      <c r="A1215">
        <v>1214</v>
      </c>
      <c r="B1215">
        <v>5.3</v>
      </c>
      <c r="C1215">
        <v>1.9</v>
      </c>
      <c r="D1215">
        <v>6.2</v>
      </c>
      <c r="E1215">
        <v>2.8</v>
      </c>
      <c r="F1215">
        <v>7.8</v>
      </c>
      <c r="G1215">
        <v>2.87</v>
      </c>
      <c r="H1215" t="s">
        <v>9</v>
      </c>
    </row>
    <row r="1216" spans="1:8" x14ac:dyDescent="0.25">
      <c r="A1216">
        <v>1215</v>
      </c>
      <c r="B1216">
        <v>7.3</v>
      </c>
      <c r="C1216">
        <v>2.2999999999999998</v>
      </c>
      <c r="D1216">
        <v>6.8</v>
      </c>
      <c r="E1216">
        <v>1</v>
      </c>
      <c r="F1216">
        <v>6.6</v>
      </c>
      <c r="G1216">
        <v>3.35</v>
      </c>
      <c r="H1216" t="s">
        <v>8</v>
      </c>
    </row>
    <row r="1217" spans="1:8" x14ac:dyDescent="0.25">
      <c r="A1217">
        <v>1216</v>
      </c>
      <c r="B1217">
        <v>8.3000000000000007</v>
      </c>
      <c r="C1217">
        <v>1.4</v>
      </c>
      <c r="D1217">
        <v>9.6999999999999993</v>
      </c>
      <c r="E1217">
        <v>4.2</v>
      </c>
      <c r="F1217">
        <v>0.4</v>
      </c>
      <c r="G1217">
        <v>3.25</v>
      </c>
      <c r="H1217" t="s">
        <v>10</v>
      </c>
    </row>
    <row r="1218" spans="1:8" x14ac:dyDescent="0.25">
      <c r="A1218">
        <v>1217</v>
      </c>
      <c r="B1218">
        <v>6</v>
      </c>
      <c r="C1218">
        <v>0.2</v>
      </c>
      <c r="D1218">
        <v>8.6999999999999993</v>
      </c>
      <c r="E1218">
        <v>5</v>
      </c>
      <c r="F1218">
        <v>4.0999999999999996</v>
      </c>
      <c r="G1218">
        <v>3.04</v>
      </c>
      <c r="H1218" t="s">
        <v>8</v>
      </c>
    </row>
    <row r="1219" spans="1:8" x14ac:dyDescent="0.25">
      <c r="A1219">
        <v>1218</v>
      </c>
      <c r="B1219">
        <v>5.0999999999999996</v>
      </c>
      <c r="C1219">
        <v>1</v>
      </c>
      <c r="D1219">
        <v>7.3</v>
      </c>
      <c r="E1219">
        <v>3.8</v>
      </c>
      <c r="F1219">
        <v>6.8</v>
      </c>
      <c r="G1219">
        <v>3.24</v>
      </c>
      <c r="H1219" t="s">
        <v>9</v>
      </c>
    </row>
    <row r="1220" spans="1:8" x14ac:dyDescent="0.25">
      <c r="A1220">
        <v>1219</v>
      </c>
      <c r="B1220">
        <v>7.8</v>
      </c>
      <c r="C1220">
        <v>3</v>
      </c>
      <c r="D1220">
        <v>6.4</v>
      </c>
      <c r="E1220">
        <v>3.4</v>
      </c>
      <c r="F1220">
        <v>3.4</v>
      </c>
      <c r="G1220">
        <v>3.14</v>
      </c>
      <c r="H1220" t="s">
        <v>8</v>
      </c>
    </row>
    <row r="1221" spans="1:8" x14ac:dyDescent="0.25">
      <c r="A1221">
        <v>1220</v>
      </c>
      <c r="B1221">
        <v>8.8000000000000007</v>
      </c>
      <c r="C1221">
        <v>2.8</v>
      </c>
      <c r="D1221">
        <v>10</v>
      </c>
      <c r="E1221">
        <v>0.7</v>
      </c>
      <c r="F1221">
        <v>1.7</v>
      </c>
      <c r="G1221">
        <v>3.16</v>
      </c>
      <c r="H1221" t="s">
        <v>10</v>
      </c>
    </row>
    <row r="1222" spans="1:8" x14ac:dyDescent="0.25">
      <c r="A1222">
        <v>1221</v>
      </c>
      <c r="B1222">
        <v>7.5</v>
      </c>
      <c r="C1222">
        <v>1.3</v>
      </c>
      <c r="D1222">
        <v>7.2</v>
      </c>
      <c r="E1222">
        <v>5.0999999999999996</v>
      </c>
      <c r="F1222">
        <v>2.9</v>
      </c>
      <c r="G1222">
        <v>3.27</v>
      </c>
      <c r="H1222" t="s">
        <v>8</v>
      </c>
    </row>
    <row r="1223" spans="1:8" x14ac:dyDescent="0.25">
      <c r="A1223">
        <v>1222</v>
      </c>
      <c r="B1223">
        <v>6</v>
      </c>
      <c r="C1223">
        <v>3.5</v>
      </c>
      <c r="D1223">
        <v>5.3</v>
      </c>
      <c r="E1223">
        <v>5.3</v>
      </c>
      <c r="F1223">
        <v>3.9</v>
      </c>
      <c r="G1223">
        <v>2.97</v>
      </c>
      <c r="H1223" t="s">
        <v>10</v>
      </c>
    </row>
    <row r="1224" spans="1:8" x14ac:dyDescent="0.25">
      <c r="A1224">
        <v>1223</v>
      </c>
      <c r="B1224">
        <v>6.6</v>
      </c>
      <c r="C1224">
        <v>1.3</v>
      </c>
      <c r="D1224">
        <v>7.6</v>
      </c>
      <c r="E1224">
        <v>5.6</v>
      </c>
      <c r="F1224">
        <v>2.9</v>
      </c>
      <c r="G1224">
        <v>2.96</v>
      </c>
      <c r="H1224" t="s">
        <v>8</v>
      </c>
    </row>
    <row r="1225" spans="1:8" x14ac:dyDescent="0.25">
      <c r="A1225">
        <v>1224</v>
      </c>
      <c r="B1225">
        <v>9.3000000000000007</v>
      </c>
      <c r="C1225">
        <v>1.6</v>
      </c>
      <c r="D1225">
        <v>6</v>
      </c>
      <c r="E1225">
        <v>2.5</v>
      </c>
      <c r="F1225">
        <v>4.5999999999999996</v>
      </c>
      <c r="G1225">
        <v>3.31</v>
      </c>
      <c r="H1225" t="s">
        <v>10</v>
      </c>
    </row>
    <row r="1226" spans="1:8" x14ac:dyDescent="0.25">
      <c r="A1226">
        <v>1225</v>
      </c>
      <c r="B1226">
        <v>6.9</v>
      </c>
      <c r="C1226">
        <v>3.7</v>
      </c>
      <c r="D1226">
        <v>8.8000000000000007</v>
      </c>
      <c r="E1226">
        <v>2.2999999999999998</v>
      </c>
      <c r="F1226">
        <v>2.2999999999999998</v>
      </c>
      <c r="G1226">
        <v>3.03</v>
      </c>
      <c r="H1226" t="s">
        <v>8</v>
      </c>
    </row>
    <row r="1227" spans="1:8" x14ac:dyDescent="0.25">
      <c r="A1227">
        <v>1226</v>
      </c>
      <c r="B1227">
        <v>5.3</v>
      </c>
      <c r="C1227">
        <v>1</v>
      </c>
      <c r="D1227">
        <v>7.2</v>
      </c>
      <c r="E1227">
        <v>0.9</v>
      </c>
      <c r="F1227">
        <v>9.6</v>
      </c>
      <c r="G1227">
        <v>2.85</v>
      </c>
      <c r="H1227" t="s">
        <v>9</v>
      </c>
    </row>
    <row r="1228" spans="1:8" x14ac:dyDescent="0.25">
      <c r="A1228">
        <v>1227</v>
      </c>
      <c r="B1228">
        <v>9.6999999999999993</v>
      </c>
      <c r="C1228">
        <v>3.1</v>
      </c>
      <c r="D1228">
        <v>6.3</v>
      </c>
      <c r="E1228">
        <v>2.9</v>
      </c>
      <c r="F1228">
        <v>2</v>
      </c>
      <c r="G1228">
        <v>3.5</v>
      </c>
      <c r="H1228" t="s">
        <v>10</v>
      </c>
    </row>
    <row r="1229" spans="1:8" x14ac:dyDescent="0.25">
      <c r="A1229">
        <v>1228</v>
      </c>
      <c r="B1229">
        <v>9.4</v>
      </c>
      <c r="C1229">
        <v>2.1</v>
      </c>
      <c r="D1229">
        <v>8.9</v>
      </c>
      <c r="E1229">
        <v>2</v>
      </c>
      <c r="F1229">
        <v>1.6</v>
      </c>
      <c r="G1229">
        <v>3.43</v>
      </c>
      <c r="H1229" t="s">
        <v>10</v>
      </c>
    </row>
    <row r="1230" spans="1:8" x14ac:dyDescent="0.25">
      <c r="A1230">
        <v>1229</v>
      </c>
      <c r="B1230">
        <v>7.8</v>
      </c>
      <c r="C1230">
        <v>0.5</v>
      </c>
      <c r="D1230">
        <v>5.6</v>
      </c>
      <c r="E1230">
        <v>3.2</v>
      </c>
      <c r="F1230">
        <v>6.9</v>
      </c>
      <c r="G1230">
        <v>3.36</v>
      </c>
      <c r="H1230" t="s">
        <v>10</v>
      </c>
    </row>
    <row r="1231" spans="1:8" x14ac:dyDescent="0.25">
      <c r="A1231">
        <v>1230</v>
      </c>
      <c r="B1231">
        <v>9.8000000000000007</v>
      </c>
      <c r="C1231">
        <v>1.9</v>
      </c>
      <c r="D1231">
        <v>5.3</v>
      </c>
      <c r="E1231">
        <v>3.3</v>
      </c>
      <c r="F1231">
        <v>3.7</v>
      </c>
      <c r="G1231">
        <v>3.93</v>
      </c>
      <c r="H1231" t="s">
        <v>10</v>
      </c>
    </row>
    <row r="1232" spans="1:8" x14ac:dyDescent="0.25">
      <c r="A1232">
        <v>1231</v>
      </c>
      <c r="B1232">
        <v>9.1999999999999993</v>
      </c>
      <c r="C1232">
        <v>4</v>
      </c>
      <c r="D1232">
        <v>7.2</v>
      </c>
      <c r="E1232">
        <v>1.2</v>
      </c>
      <c r="F1232">
        <v>2.4</v>
      </c>
      <c r="G1232">
        <v>3.1</v>
      </c>
      <c r="H1232" t="s">
        <v>10</v>
      </c>
    </row>
    <row r="1233" spans="1:8" x14ac:dyDescent="0.25">
      <c r="A1233">
        <v>1232</v>
      </c>
      <c r="B1233">
        <v>5.2</v>
      </c>
      <c r="C1233">
        <v>1.4</v>
      </c>
      <c r="D1233">
        <v>6.3</v>
      </c>
      <c r="E1233">
        <v>4.0999999999999996</v>
      </c>
      <c r="F1233">
        <v>7</v>
      </c>
      <c r="G1233">
        <v>3.12</v>
      </c>
      <c r="H1233" t="s">
        <v>9</v>
      </c>
    </row>
    <row r="1234" spans="1:8" x14ac:dyDescent="0.25">
      <c r="A1234">
        <v>1233</v>
      </c>
      <c r="B1234">
        <v>9.6999999999999993</v>
      </c>
      <c r="C1234">
        <v>1.1000000000000001</v>
      </c>
      <c r="D1234">
        <v>9.1</v>
      </c>
      <c r="E1234">
        <v>0.2</v>
      </c>
      <c r="F1234">
        <v>3.9</v>
      </c>
      <c r="G1234">
        <v>3.3</v>
      </c>
      <c r="H1234" t="s">
        <v>10</v>
      </c>
    </row>
    <row r="1235" spans="1:8" x14ac:dyDescent="0.25">
      <c r="A1235">
        <v>1234</v>
      </c>
      <c r="B1235">
        <v>9.6999999999999993</v>
      </c>
      <c r="C1235">
        <v>3.1</v>
      </c>
      <c r="D1235">
        <v>8.3000000000000007</v>
      </c>
      <c r="E1235">
        <v>2.4</v>
      </c>
      <c r="F1235">
        <v>0.5</v>
      </c>
      <c r="G1235">
        <v>3.47</v>
      </c>
      <c r="H1235" t="s">
        <v>10</v>
      </c>
    </row>
    <row r="1236" spans="1:8" x14ac:dyDescent="0.25">
      <c r="A1236">
        <v>1235</v>
      </c>
      <c r="B1236">
        <v>8.1999999999999993</v>
      </c>
      <c r="C1236">
        <v>3.9</v>
      </c>
      <c r="D1236">
        <v>8.6</v>
      </c>
      <c r="E1236">
        <v>3.1</v>
      </c>
      <c r="F1236">
        <v>0.2</v>
      </c>
      <c r="G1236">
        <v>3.02</v>
      </c>
      <c r="H1236" t="s">
        <v>10</v>
      </c>
    </row>
    <row r="1237" spans="1:8" x14ac:dyDescent="0.25">
      <c r="A1237">
        <v>1236</v>
      </c>
      <c r="B1237">
        <v>7.6</v>
      </c>
      <c r="C1237">
        <v>0.5</v>
      </c>
      <c r="D1237">
        <v>8</v>
      </c>
      <c r="E1237">
        <v>2.9</v>
      </c>
      <c r="F1237">
        <v>5</v>
      </c>
      <c r="G1237">
        <v>3.15</v>
      </c>
      <c r="H1237" t="s">
        <v>8</v>
      </c>
    </row>
    <row r="1238" spans="1:8" x14ac:dyDescent="0.25">
      <c r="A1238">
        <v>1237</v>
      </c>
      <c r="B1238">
        <v>8.1</v>
      </c>
      <c r="C1238">
        <v>0</v>
      </c>
      <c r="D1238">
        <v>6</v>
      </c>
      <c r="E1238">
        <v>2.9</v>
      </c>
      <c r="F1238">
        <v>7</v>
      </c>
      <c r="G1238">
        <v>3.19</v>
      </c>
      <c r="H1238" t="s">
        <v>10</v>
      </c>
    </row>
    <row r="1239" spans="1:8" x14ac:dyDescent="0.25">
      <c r="A1239">
        <v>1238</v>
      </c>
      <c r="B1239">
        <v>7.1</v>
      </c>
      <c r="C1239">
        <v>2.9</v>
      </c>
      <c r="D1239">
        <v>8</v>
      </c>
      <c r="E1239">
        <v>1.8</v>
      </c>
      <c r="F1239">
        <v>4.2</v>
      </c>
      <c r="G1239">
        <v>3.17</v>
      </c>
      <c r="H1239" t="s">
        <v>8</v>
      </c>
    </row>
    <row r="1240" spans="1:8" x14ac:dyDescent="0.25">
      <c r="A1240">
        <v>1239</v>
      </c>
      <c r="B1240">
        <v>7.1</v>
      </c>
      <c r="C1240">
        <v>0.9</v>
      </c>
      <c r="D1240">
        <v>9.8000000000000007</v>
      </c>
      <c r="E1240">
        <v>0.8</v>
      </c>
      <c r="F1240">
        <v>5.4</v>
      </c>
      <c r="G1240">
        <v>3.01</v>
      </c>
      <c r="H1240" t="s">
        <v>8</v>
      </c>
    </row>
    <row r="1241" spans="1:8" x14ac:dyDescent="0.25">
      <c r="A1241">
        <v>1240</v>
      </c>
      <c r="B1241">
        <v>6.1</v>
      </c>
      <c r="C1241">
        <v>3.1</v>
      </c>
      <c r="D1241">
        <v>6</v>
      </c>
      <c r="E1241">
        <v>0.5</v>
      </c>
      <c r="F1241">
        <v>8.3000000000000007</v>
      </c>
      <c r="G1241">
        <v>2.9</v>
      </c>
      <c r="H1241" t="s">
        <v>8</v>
      </c>
    </row>
    <row r="1242" spans="1:8" x14ac:dyDescent="0.25">
      <c r="A1242">
        <v>1241</v>
      </c>
      <c r="B1242">
        <v>7.4</v>
      </c>
      <c r="C1242">
        <v>0</v>
      </c>
      <c r="D1242">
        <v>5.4</v>
      </c>
      <c r="E1242">
        <v>4.8</v>
      </c>
      <c r="F1242">
        <v>6.4</v>
      </c>
      <c r="G1242">
        <v>3.14</v>
      </c>
      <c r="H1242" t="s">
        <v>10</v>
      </c>
    </row>
    <row r="1243" spans="1:8" x14ac:dyDescent="0.25">
      <c r="A1243">
        <v>1242</v>
      </c>
      <c r="B1243">
        <v>9.3000000000000007</v>
      </c>
      <c r="C1243">
        <v>2.7</v>
      </c>
      <c r="D1243">
        <v>5.3</v>
      </c>
      <c r="E1243">
        <v>4.7</v>
      </c>
      <c r="F1243">
        <v>2</v>
      </c>
      <c r="G1243">
        <v>3.41</v>
      </c>
      <c r="H1243" t="s">
        <v>10</v>
      </c>
    </row>
    <row r="1244" spans="1:8" x14ac:dyDescent="0.25">
      <c r="A1244">
        <v>1243</v>
      </c>
      <c r="B1244">
        <v>9.1999999999999993</v>
      </c>
      <c r="C1244">
        <v>3.2</v>
      </c>
      <c r="D1244">
        <v>7.5</v>
      </c>
      <c r="E1244">
        <v>1</v>
      </c>
      <c r="F1244">
        <v>3.1</v>
      </c>
      <c r="G1244">
        <v>3.48</v>
      </c>
      <c r="H1244" t="s">
        <v>10</v>
      </c>
    </row>
    <row r="1245" spans="1:8" x14ac:dyDescent="0.25">
      <c r="A1245">
        <v>1244</v>
      </c>
      <c r="B1245">
        <v>9.9</v>
      </c>
      <c r="C1245">
        <v>0.6</v>
      </c>
      <c r="D1245">
        <v>6.1</v>
      </c>
      <c r="E1245">
        <v>1.3</v>
      </c>
      <c r="F1245">
        <v>6.1</v>
      </c>
      <c r="G1245">
        <v>3.63</v>
      </c>
      <c r="H1245" t="s">
        <v>10</v>
      </c>
    </row>
    <row r="1246" spans="1:8" x14ac:dyDescent="0.25">
      <c r="A1246">
        <v>1245</v>
      </c>
      <c r="B1246">
        <v>9</v>
      </c>
      <c r="C1246">
        <v>0.7</v>
      </c>
      <c r="D1246">
        <v>5.3</v>
      </c>
      <c r="E1246">
        <v>6</v>
      </c>
      <c r="F1246">
        <v>3</v>
      </c>
      <c r="G1246">
        <v>3.56</v>
      </c>
      <c r="H1246" t="s">
        <v>10</v>
      </c>
    </row>
    <row r="1247" spans="1:8" x14ac:dyDescent="0.25">
      <c r="A1247">
        <v>1246</v>
      </c>
      <c r="B1247">
        <v>7.8</v>
      </c>
      <c r="C1247">
        <v>3.6</v>
      </c>
      <c r="D1247">
        <v>9.6</v>
      </c>
      <c r="E1247">
        <v>0</v>
      </c>
      <c r="F1247">
        <v>3</v>
      </c>
      <c r="G1247">
        <v>3.09</v>
      </c>
      <c r="H1247" t="s">
        <v>8</v>
      </c>
    </row>
    <row r="1248" spans="1:8" x14ac:dyDescent="0.25">
      <c r="A1248">
        <v>1247</v>
      </c>
      <c r="B1248">
        <v>5.4</v>
      </c>
      <c r="C1248">
        <v>1</v>
      </c>
      <c r="D1248">
        <v>8.3000000000000007</v>
      </c>
      <c r="E1248">
        <v>5.3</v>
      </c>
      <c r="F1248">
        <v>4</v>
      </c>
      <c r="G1248">
        <v>3.27</v>
      </c>
      <c r="H1248" t="s">
        <v>9</v>
      </c>
    </row>
    <row r="1249" spans="1:8" x14ac:dyDescent="0.25">
      <c r="A1249">
        <v>1248</v>
      </c>
      <c r="B1249">
        <v>5.9</v>
      </c>
      <c r="C1249">
        <v>3.2</v>
      </c>
      <c r="D1249">
        <v>9.8000000000000007</v>
      </c>
      <c r="E1249">
        <v>1.4</v>
      </c>
      <c r="F1249">
        <v>3.7</v>
      </c>
      <c r="G1249">
        <v>2.71</v>
      </c>
      <c r="H1249" t="s">
        <v>9</v>
      </c>
    </row>
    <row r="1250" spans="1:8" x14ac:dyDescent="0.25">
      <c r="A1250">
        <v>1249</v>
      </c>
      <c r="B1250">
        <v>7.5</v>
      </c>
      <c r="C1250">
        <v>0.3</v>
      </c>
      <c r="D1250">
        <v>7.8</v>
      </c>
      <c r="E1250">
        <v>3</v>
      </c>
      <c r="F1250">
        <v>5.4</v>
      </c>
      <c r="G1250">
        <v>3.09</v>
      </c>
      <c r="H1250" t="s">
        <v>8</v>
      </c>
    </row>
    <row r="1251" spans="1:8" x14ac:dyDescent="0.25">
      <c r="A1251">
        <v>1250</v>
      </c>
      <c r="B1251">
        <v>6.7</v>
      </c>
      <c r="C1251">
        <v>2.1</v>
      </c>
      <c r="D1251">
        <v>7.9</v>
      </c>
      <c r="E1251">
        <v>0.1</v>
      </c>
      <c r="F1251">
        <v>7.2</v>
      </c>
      <c r="G1251">
        <v>2.78</v>
      </c>
      <c r="H1251" t="s">
        <v>8</v>
      </c>
    </row>
    <row r="1252" spans="1:8" x14ac:dyDescent="0.25">
      <c r="A1252">
        <v>1251</v>
      </c>
      <c r="B1252">
        <v>8.8000000000000007</v>
      </c>
      <c r="C1252">
        <v>2.9</v>
      </c>
      <c r="D1252">
        <v>6.8</v>
      </c>
      <c r="E1252">
        <v>0.3</v>
      </c>
      <c r="F1252">
        <v>5.2</v>
      </c>
      <c r="G1252">
        <v>3.17</v>
      </c>
      <c r="H1252" t="s">
        <v>10</v>
      </c>
    </row>
    <row r="1253" spans="1:8" x14ac:dyDescent="0.25">
      <c r="A1253">
        <v>1252</v>
      </c>
      <c r="B1253">
        <v>5.9</v>
      </c>
      <c r="C1253">
        <v>2.2999999999999998</v>
      </c>
      <c r="D1253">
        <v>5.8</v>
      </c>
      <c r="E1253">
        <v>2.1</v>
      </c>
      <c r="F1253">
        <v>7.9</v>
      </c>
      <c r="G1253">
        <v>2.66</v>
      </c>
      <c r="H1253" t="s">
        <v>10</v>
      </c>
    </row>
    <row r="1254" spans="1:8" x14ac:dyDescent="0.25">
      <c r="A1254">
        <v>1253</v>
      </c>
      <c r="B1254">
        <v>8.5</v>
      </c>
      <c r="C1254">
        <v>2.2000000000000002</v>
      </c>
      <c r="D1254">
        <v>6.9</v>
      </c>
      <c r="E1254">
        <v>2.5</v>
      </c>
      <c r="F1254">
        <v>3.9</v>
      </c>
      <c r="G1254">
        <v>3.25</v>
      </c>
      <c r="H1254" t="s">
        <v>10</v>
      </c>
    </row>
    <row r="1255" spans="1:8" x14ac:dyDescent="0.25">
      <c r="A1255">
        <v>1254</v>
      </c>
      <c r="B1255">
        <v>5.4</v>
      </c>
      <c r="C1255">
        <v>3.5</v>
      </c>
      <c r="D1255">
        <v>5.4</v>
      </c>
      <c r="E1255">
        <v>4.2</v>
      </c>
      <c r="F1255">
        <v>5.5</v>
      </c>
      <c r="G1255">
        <v>2.81</v>
      </c>
      <c r="H1255" t="s">
        <v>10</v>
      </c>
    </row>
    <row r="1256" spans="1:8" x14ac:dyDescent="0.25">
      <c r="A1256">
        <v>1255</v>
      </c>
      <c r="B1256">
        <v>9.6</v>
      </c>
      <c r="C1256">
        <v>1.1000000000000001</v>
      </c>
      <c r="D1256">
        <v>6.9</v>
      </c>
      <c r="E1256">
        <v>3.4</v>
      </c>
      <c r="F1256">
        <v>3</v>
      </c>
      <c r="G1256">
        <v>3.37</v>
      </c>
      <c r="H1256" t="s">
        <v>10</v>
      </c>
    </row>
    <row r="1257" spans="1:8" x14ac:dyDescent="0.25">
      <c r="A1257">
        <v>1256</v>
      </c>
      <c r="B1257">
        <v>8.3000000000000007</v>
      </c>
      <c r="C1257">
        <v>1.6</v>
      </c>
      <c r="D1257">
        <v>7.4</v>
      </c>
      <c r="E1257">
        <v>0.3</v>
      </c>
      <c r="F1257">
        <v>6.4</v>
      </c>
      <c r="G1257">
        <v>3.29</v>
      </c>
      <c r="H1257" t="s">
        <v>10</v>
      </c>
    </row>
    <row r="1258" spans="1:8" x14ac:dyDescent="0.25">
      <c r="A1258">
        <v>1257</v>
      </c>
      <c r="B1258">
        <v>6</v>
      </c>
      <c r="C1258">
        <v>3.2</v>
      </c>
      <c r="D1258">
        <v>7.3</v>
      </c>
      <c r="E1258">
        <v>1.8</v>
      </c>
      <c r="F1258">
        <v>5.7</v>
      </c>
      <c r="G1258">
        <v>3.11</v>
      </c>
      <c r="H1258" t="s">
        <v>8</v>
      </c>
    </row>
    <row r="1259" spans="1:8" x14ac:dyDescent="0.25">
      <c r="A1259">
        <v>1258</v>
      </c>
      <c r="B1259">
        <v>8.6999999999999993</v>
      </c>
      <c r="C1259">
        <v>1.1000000000000001</v>
      </c>
      <c r="D1259">
        <v>5.6</v>
      </c>
      <c r="E1259">
        <v>1.5</v>
      </c>
      <c r="F1259">
        <v>7.1</v>
      </c>
      <c r="G1259">
        <v>3.24</v>
      </c>
      <c r="H1259" t="s">
        <v>10</v>
      </c>
    </row>
    <row r="1260" spans="1:8" x14ac:dyDescent="0.25">
      <c r="A1260">
        <v>1259</v>
      </c>
      <c r="B1260">
        <v>9.6</v>
      </c>
      <c r="C1260">
        <v>2.2999999999999998</v>
      </c>
      <c r="D1260">
        <v>7.7</v>
      </c>
      <c r="E1260">
        <v>2.6</v>
      </c>
      <c r="F1260">
        <v>1.8</v>
      </c>
      <c r="G1260">
        <v>3.67</v>
      </c>
      <c r="H1260" t="s">
        <v>10</v>
      </c>
    </row>
    <row r="1261" spans="1:8" x14ac:dyDescent="0.25">
      <c r="A1261">
        <v>1260</v>
      </c>
      <c r="B1261">
        <v>7.6</v>
      </c>
      <c r="C1261">
        <v>0.5</v>
      </c>
      <c r="D1261">
        <v>5.6</v>
      </c>
      <c r="E1261">
        <v>3.2</v>
      </c>
      <c r="F1261">
        <v>7.1</v>
      </c>
      <c r="G1261">
        <v>3.04</v>
      </c>
      <c r="H1261" t="s">
        <v>10</v>
      </c>
    </row>
    <row r="1262" spans="1:8" x14ac:dyDescent="0.25">
      <c r="A1262">
        <v>1261</v>
      </c>
      <c r="B1262">
        <v>9.6999999999999993</v>
      </c>
      <c r="C1262">
        <v>1.2</v>
      </c>
      <c r="D1262">
        <v>9.3000000000000007</v>
      </c>
      <c r="E1262">
        <v>2.9</v>
      </c>
      <c r="F1262">
        <v>0.9</v>
      </c>
      <c r="G1262">
        <v>3.51</v>
      </c>
      <c r="H1262" t="s">
        <v>10</v>
      </c>
    </row>
    <row r="1263" spans="1:8" x14ac:dyDescent="0.25">
      <c r="A1263">
        <v>1262</v>
      </c>
      <c r="B1263">
        <v>6</v>
      </c>
      <c r="C1263">
        <v>1.5</v>
      </c>
      <c r="D1263">
        <v>7.5</v>
      </c>
      <c r="E1263">
        <v>4.4000000000000004</v>
      </c>
      <c r="F1263">
        <v>4.5999999999999996</v>
      </c>
      <c r="G1263">
        <v>2.8</v>
      </c>
      <c r="H1263" t="s">
        <v>8</v>
      </c>
    </row>
    <row r="1264" spans="1:8" x14ac:dyDescent="0.25">
      <c r="A1264">
        <v>1263</v>
      </c>
      <c r="B1264">
        <v>5.6</v>
      </c>
      <c r="C1264">
        <v>1.6</v>
      </c>
      <c r="D1264">
        <v>7.4</v>
      </c>
      <c r="E1264">
        <v>3.2</v>
      </c>
      <c r="F1264">
        <v>6.2</v>
      </c>
      <c r="G1264">
        <v>2.75</v>
      </c>
      <c r="H1264" t="s">
        <v>9</v>
      </c>
    </row>
    <row r="1265" spans="1:8" x14ac:dyDescent="0.25">
      <c r="A1265">
        <v>1264</v>
      </c>
      <c r="B1265">
        <v>9</v>
      </c>
      <c r="C1265">
        <v>2.8</v>
      </c>
      <c r="D1265">
        <v>7.8</v>
      </c>
      <c r="E1265">
        <v>3.1</v>
      </c>
      <c r="F1265">
        <v>1.3</v>
      </c>
      <c r="G1265">
        <v>3.43</v>
      </c>
      <c r="H1265" t="s">
        <v>10</v>
      </c>
    </row>
    <row r="1266" spans="1:8" x14ac:dyDescent="0.25">
      <c r="A1266">
        <v>1265</v>
      </c>
      <c r="B1266">
        <v>7.1</v>
      </c>
      <c r="C1266">
        <v>0.6</v>
      </c>
      <c r="D1266">
        <v>8.3000000000000007</v>
      </c>
      <c r="E1266">
        <v>3.1</v>
      </c>
      <c r="F1266">
        <v>4.9000000000000004</v>
      </c>
      <c r="G1266">
        <v>2.79</v>
      </c>
      <c r="H1266" t="s">
        <v>8</v>
      </c>
    </row>
    <row r="1267" spans="1:8" x14ac:dyDescent="0.25">
      <c r="A1267">
        <v>1266</v>
      </c>
      <c r="B1267">
        <v>9.5</v>
      </c>
      <c r="C1267">
        <v>2.2999999999999998</v>
      </c>
      <c r="D1267">
        <v>5.4</v>
      </c>
      <c r="E1267">
        <v>2.7</v>
      </c>
      <c r="F1267">
        <v>4.0999999999999996</v>
      </c>
      <c r="G1267">
        <v>3.67</v>
      </c>
      <c r="H1267" t="s">
        <v>10</v>
      </c>
    </row>
    <row r="1268" spans="1:8" x14ac:dyDescent="0.25">
      <c r="A1268">
        <v>1267</v>
      </c>
      <c r="B1268">
        <v>8.8000000000000007</v>
      </c>
      <c r="C1268">
        <v>3.2</v>
      </c>
      <c r="D1268">
        <v>7.5</v>
      </c>
      <c r="E1268">
        <v>4</v>
      </c>
      <c r="F1268">
        <v>0.5</v>
      </c>
      <c r="G1268">
        <v>3.2</v>
      </c>
      <c r="H1268" t="s">
        <v>10</v>
      </c>
    </row>
    <row r="1269" spans="1:8" x14ac:dyDescent="0.25">
      <c r="A1269">
        <v>1268</v>
      </c>
      <c r="B1269">
        <v>9.5</v>
      </c>
      <c r="C1269">
        <v>3.6</v>
      </c>
      <c r="D1269">
        <v>8.4</v>
      </c>
      <c r="E1269">
        <v>2.1</v>
      </c>
      <c r="F1269">
        <v>0.4</v>
      </c>
      <c r="G1269">
        <v>3.11</v>
      </c>
      <c r="H1269" t="s">
        <v>10</v>
      </c>
    </row>
    <row r="1270" spans="1:8" x14ac:dyDescent="0.25">
      <c r="A1270">
        <v>1269</v>
      </c>
      <c r="B1270">
        <v>5.4</v>
      </c>
      <c r="C1270">
        <v>3.5</v>
      </c>
      <c r="D1270">
        <v>6.6</v>
      </c>
      <c r="E1270">
        <v>1.1000000000000001</v>
      </c>
      <c r="F1270">
        <v>7.4</v>
      </c>
      <c r="G1270">
        <v>2.72</v>
      </c>
      <c r="H1270" t="s">
        <v>9</v>
      </c>
    </row>
    <row r="1271" spans="1:8" x14ac:dyDescent="0.25">
      <c r="A1271">
        <v>1270</v>
      </c>
      <c r="B1271">
        <v>6.3</v>
      </c>
      <c r="C1271">
        <v>1.3</v>
      </c>
      <c r="D1271">
        <v>5.7</v>
      </c>
      <c r="E1271">
        <v>1.8</v>
      </c>
      <c r="F1271">
        <v>8.9</v>
      </c>
      <c r="G1271">
        <v>2.65</v>
      </c>
      <c r="H1271" t="s">
        <v>10</v>
      </c>
    </row>
    <row r="1272" spans="1:8" x14ac:dyDescent="0.25">
      <c r="A1272">
        <v>1271</v>
      </c>
      <c r="B1272">
        <v>7.9</v>
      </c>
      <c r="C1272">
        <v>1.8</v>
      </c>
      <c r="D1272">
        <v>6.7</v>
      </c>
      <c r="E1272">
        <v>4.5</v>
      </c>
      <c r="F1272">
        <v>3.1</v>
      </c>
      <c r="G1272">
        <v>3.24</v>
      </c>
      <c r="H1272" t="s">
        <v>8</v>
      </c>
    </row>
    <row r="1273" spans="1:8" x14ac:dyDescent="0.25">
      <c r="A1273">
        <v>1272</v>
      </c>
      <c r="B1273">
        <v>6.7</v>
      </c>
      <c r="C1273">
        <v>3</v>
      </c>
      <c r="D1273">
        <v>5.8</v>
      </c>
      <c r="E1273">
        <v>0.8</v>
      </c>
      <c r="F1273">
        <v>7.7</v>
      </c>
      <c r="G1273">
        <v>3.09</v>
      </c>
      <c r="H1273" t="s">
        <v>10</v>
      </c>
    </row>
    <row r="1274" spans="1:8" x14ac:dyDescent="0.25">
      <c r="A1274">
        <v>1273</v>
      </c>
      <c r="B1274">
        <v>6.7</v>
      </c>
      <c r="C1274">
        <v>3.2</v>
      </c>
      <c r="D1274">
        <v>6.2</v>
      </c>
      <c r="E1274">
        <v>0.4</v>
      </c>
      <c r="F1274">
        <v>7.5</v>
      </c>
      <c r="G1274">
        <v>2.74</v>
      </c>
      <c r="H1274" t="s">
        <v>8</v>
      </c>
    </row>
    <row r="1275" spans="1:8" x14ac:dyDescent="0.25">
      <c r="A1275">
        <v>1274</v>
      </c>
      <c r="B1275">
        <v>7.8</v>
      </c>
      <c r="C1275">
        <v>2.1</v>
      </c>
      <c r="D1275">
        <v>8.3000000000000007</v>
      </c>
      <c r="E1275">
        <v>1.4</v>
      </c>
      <c r="F1275">
        <v>4.4000000000000004</v>
      </c>
      <c r="G1275">
        <v>3.31</v>
      </c>
      <c r="H1275" t="s">
        <v>8</v>
      </c>
    </row>
    <row r="1276" spans="1:8" x14ac:dyDescent="0.25">
      <c r="A1276">
        <v>1275</v>
      </c>
      <c r="B1276">
        <v>9.3000000000000007</v>
      </c>
      <c r="C1276">
        <v>1.2</v>
      </c>
      <c r="D1276">
        <v>8.5</v>
      </c>
      <c r="E1276">
        <v>0.1</v>
      </c>
      <c r="F1276">
        <v>4.9000000000000004</v>
      </c>
      <c r="G1276">
        <v>3.1</v>
      </c>
      <c r="H1276" t="s">
        <v>10</v>
      </c>
    </row>
    <row r="1277" spans="1:8" x14ac:dyDescent="0.25">
      <c r="A1277">
        <v>1276</v>
      </c>
      <c r="B1277">
        <v>7.7</v>
      </c>
      <c r="C1277">
        <v>0.3</v>
      </c>
      <c r="D1277">
        <v>9</v>
      </c>
      <c r="E1277">
        <v>1.3</v>
      </c>
      <c r="F1277">
        <v>5.7</v>
      </c>
      <c r="G1277">
        <v>2.9</v>
      </c>
      <c r="H1277" t="s">
        <v>8</v>
      </c>
    </row>
    <row r="1278" spans="1:8" x14ac:dyDescent="0.25">
      <c r="A1278">
        <v>1277</v>
      </c>
      <c r="B1278">
        <v>8.4</v>
      </c>
      <c r="C1278">
        <v>3.2</v>
      </c>
      <c r="D1278">
        <v>7.8</v>
      </c>
      <c r="E1278">
        <v>3.4</v>
      </c>
      <c r="F1278">
        <v>1.2</v>
      </c>
      <c r="G1278">
        <v>3.02</v>
      </c>
      <c r="H1278" t="s">
        <v>10</v>
      </c>
    </row>
    <row r="1279" spans="1:8" x14ac:dyDescent="0.25">
      <c r="A1279">
        <v>1278</v>
      </c>
      <c r="B1279">
        <v>9</v>
      </c>
      <c r="C1279">
        <v>1.2</v>
      </c>
      <c r="D1279">
        <v>7.9</v>
      </c>
      <c r="E1279">
        <v>4.4000000000000004</v>
      </c>
      <c r="F1279">
        <v>1.5</v>
      </c>
      <c r="G1279">
        <v>3.62</v>
      </c>
      <c r="H1279" t="s">
        <v>10</v>
      </c>
    </row>
    <row r="1280" spans="1:8" x14ac:dyDescent="0.25">
      <c r="A1280">
        <v>1279</v>
      </c>
      <c r="B1280">
        <v>6.9</v>
      </c>
      <c r="C1280">
        <v>1.2</v>
      </c>
      <c r="D1280">
        <v>7.3</v>
      </c>
      <c r="E1280">
        <v>4.9000000000000004</v>
      </c>
      <c r="F1280">
        <v>3.7</v>
      </c>
      <c r="G1280">
        <v>3.05</v>
      </c>
      <c r="H1280" t="s">
        <v>8</v>
      </c>
    </row>
    <row r="1281" spans="1:8" x14ac:dyDescent="0.25">
      <c r="A1281">
        <v>1280</v>
      </c>
      <c r="B1281">
        <v>8.3000000000000007</v>
      </c>
      <c r="C1281">
        <v>3.6</v>
      </c>
      <c r="D1281">
        <v>5.5</v>
      </c>
      <c r="E1281">
        <v>1.4</v>
      </c>
      <c r="F1281">
        <v>5.2</v>
      </c>
      <c r="G1281">
        <v>3.4</v>
      </c>
      <c r="H1281" t="s">
        <v>10</v>
      </c>
    </row>
    <row r="1282" spans="1:8" x14ac:dyDescent="0.25">
      <c r="A1282">
        <v>1281</v>
      </c>
      <c r="B1282">
        <v>8.5</v>
      </c>
      <c r="C1282">
        <v>3.3</v>
      </c>
      <c r="D1282">
        <v>9.3000000000000007</v>
      </c>
      <c r="E1282">
        <v>1.2</v>
      </c>
      <c r="F1282">
        <v>1.7</v>
      </c>
      <c r="G1282">
        <v>3.25</v>
      </c>
      <c r="H1282" t="s">
        <v>10</v>
      </c>
    </row>
    <row r="1283" spans="1:8" x14ac:dyDescent="0.25">
      <c r="A1283">
        <v>1282</v>
      </c>
      <c r="B1283">
        <v>6.2</v>
      </c>
      <c r="C1283">
        <v>1.2</v>
      </c>
      <c r="D1283">
        <v>8.9</v>
      </c>
      <c r="E1283">
        <v>0.5</v>
      </c>
      <c r="F1283">
        <v>7.2</v>
      </c>
      <c r="G1283">
        <v>2.76</v>
      </c>
      <c r="H1283" t="s">
        <v>8</v>
      </c>
    </row>
    <row r="1284" spans="1:8" x14ac:dyDescent="0.25">
      <c r="A1284">
        <v>1283</v>
      </c>
      <c r="B1284">
        <v>9.1</v>
      </c>
      <c r="C1284">
        <v>1.7</v>
      </c>
      <c r="D1284">
        <v>8</v>
      </c>
      <c r="E1284">
        <v>0.5</v>
      </c>
      <c r="F1284">
        <v>4.7</v>
      </c>
      <c r="G1284">
        <v>3.23</v>
      </c>
      <c r="H1284" t="s">
        <v>10</v>
      </c>
    </row>
    <row r="1285" spans="1:8" x14ac:dyDescent="0.25">
      <c r="A1285">
        <v>1284</v>
      </c>
      <c r="B1285">
        <v>9.8000000000000007</v>
      </c>
      <c r="C1285">
        <v>3.2</v>
      </c>
      <c r="D1285">
        <v>7.3</v>
      </c>
      <c r="E1285">
        <v>0.8</v>
      </c>
      <c r="F1285">
        <v>2.9</v>
      </c>
      <c r="G1285">
        <v>3.42</v>
      </c>
      <c r="H1285" t="s">
        <v>10</v>
      </c>
    </row>
    <row r="1286" spans="1:8" x14ac:dyDescent="0.25">
      <c r="A1286">
        <v>1285</v>
      </c>
      <c r="B1286">
        <v>9.6999999999999993</v>
      </c>
      <c r="C1286">
        <v>1.4</v>
      </c>
      <c r="D1286">
        <v>5.8</v>
      </c>
      <c r="E1286">
        <v>3.4</v>
      </c>
      <c r="F1286">
        <v>3.7</v>
      </c>
      <c r="G1286">
        <v>3.67</v>
      </c>
      <c r="H1286" t="s">
        <v>10</v>
      </c>
    </row>
    <row r="1287" spans="1:8" x14ac:dyDescent="0.25">
      <c r="A1287">
        <v>1286</v>
      </c>
      <c r="B1287">
        <v>7.4</v>
      </c>
      <c r="C1287">
        <v>4</v>
      </c>
      <c r="D1287">
        <v>8.4</v>
      </c>
      <c r="E1287">
        <v>0.3</v>
      </c>
      <c r="F1287">
        <v>3.9</v>
      </c>
      <c r="G1287">
        <v>3.15</v>
      </c>
      <c r="H1287" t="s">
        <v>8</v>
      </c>
    </row>
    <row r="1288" spans="1:8" x14ac:dyDescent="0.25">
      <c r="A1288">
        <v>1287</v>
      </c>
      <c r="B1288">
        <v>10</v>
      </c>
      <c r="C1288">
        <v>1.6</v>
      </c>
      <c r="D1288">
        <v>6.4</v>
      </c>
      <c r="E1288">
        <v>3.3</v>
      </c>
      <c r="F1288">
        <v>2.7</v>
      </c>
      <c r="G1288">
        <v>3.39</v>
      </c>
      <c r="H1288" t="s">
        <v>10</v>
      </c>
    </row>
    <row r="1289" spans="1:8" x14ac:dyDescent="0.25">
      <c r="A1289">
        <v>1288</v>
      </c>
      <c r="B1289">
        <v>5</v>
      </c>
      <c r="C1289">
        <v>1.8</v>
      </c>
      <c r="D1289">
        <v>9.1999999999999993</v>
      </c>
      <c r="E1289">
        <v>3.4</v>
      </c>
      <c r="F1289">
        <v>4.5999999999999996</v>
      </c>
      <c r="G1289">
        <v>2.7</v>
      </c>
      <c r="H1289" t="s">
        <v>9</v>
      </c>
    </row>
    <row r="1290" spans="1:8" x14ac:dyDescent="0.25">
      <c r="A1290">
        <v>1289</v>
      </c>
      <c r="B1290">
        <v>10</v>
      </c>
      <c r="C1290">
        <v>1.1000000000000001</v>
      </c>
      <c r="D1290">
        <v>6.4</v>
      </c>
      <c r="E1290">
        <v>1</v>
      </c>
      <c r="F1290">
        <v>5.5</v>
      </c>
      <c r="G1290">
        <v>3.4</v>
      </c>
      <c r="H1290" t="s">
        <v>10</v>
      </c>
    </row>
    <row r="1291" spans="1:8" x14ac:dyDescent="0.25">
      <c r="A1291">
        <v>1290</v>
      </c>
      <c r="B1291">
        <v>9</v>
      </c>
      <c r="C1291">
        <v>3.6</v>
      </c>
      <c r="D1291">
        <v>9.9</v>
      </c>
      <c r="E1291">
        <v>0.3</v>
      </c>
      <c r="F1291">
        <v>1.2</v>
      </c>
      <c r="G1291">
        <v>3.19</v>
      </c>
      <c r="H1291" t="s">
        <v>10</v>
      </c>
    </row>
    <row r="1292" spans="1:8" x14ac:dyDescent="0.25">
      <c r="A1292">
        <v>1291</v>
      </c>
      <c r="B1292">
        <v>9.4</v>
      </c>
      <c r="C1292">
        <v>1.3</v>
      </c>
      <c r="D1292">
        <v>5.6</v>
      </c>
      <c r="E1292">
        <v>5.2</v>
      </c>
      <c r="F1292">
        <v>2.5</v>
      </c>
      <c r="G1292">
        <v>3.2</v>
      </c>
      <c r="H1292" t="s">
        <v>10</v>
      </c>
    </row>
    <row r="1293" spans="1:8" x14ac:dyDescent="0.25">
      <c r="A1293">
        <v>1292</v>
      </c>
      <c r="B1293">
        <v>7.1</v>
      </c>
      <c r="C1293">
        <v>1.1000000000000001</v>
      </c>
      <c r="D1293">
        <v>8.6999999999999993</v>
      </c>
      <c r="E1293">
        <v>2.7</v>
      </c>
      <c r="F1293">
        <v>4.4000000000000004</v>
      </c>
      <c r="G1293">
        <v>3.15</v>
      </c>
      <c r="H1293" t="s">
        <v>8</v>
      </c>
    </row>
    <row r="1294" spans="1:8" x14ac:dyDescent="0.25">
      <c r="A1294">
        <v>1293</v>
      </c>
      <c r="B1294">
        <v>9.9</v>
      </c>
      <c r="C1294">
        <v>0.2</v>
      </c>
      <c r="D1294">
        <v>6.8</v>
      </c>
      <c r="E1294">
        <v>2.9</v>
      </c>
      <c r="F1294">
        <v>4.2</v>
      </c>
      <c r="G1294">
        <v>3.09</v>
      </c>
      <c r="H1294" t="s">
        <v>10</v>
      </c>
    </row>
    <row r="1295" spans="1:8" x14ac:dyDescent="0.25">
      <c r="A1295">
        <v>1294</v>
      </c>
      <c r="B1295">
        <v>8.6</v>
      </c>
      <c r="C1295">
        <v>3.5</v>
      </c>
      <c r="D1295">
        <v>9.6999999999999993</v>
      </c>
      <c r="E1295">
        <v>1.8</v>
      </c>
      <c r="F1295">
        <v>0.4</v>
      </c>
      <c r="G1295">
        <v>3.3</v>
      </c>
      <c r="H1295" t="s">
        <v>10</v>
      </c>
    </row>
    <row r="1296" spans="1:8" x14ac:dyDescent="0.25">
      <c r="A1296">
        <v>1295</v>
      </c>
      <c r="B1296">
        <v>9.3000000000000007</v>
      </c>
      <c r="C1296">
        <v>2.2000000000000002</v>
      </c>
      <c r="D1296">
        <v>9.1</v>
      </c>
      <c r="E1296">
        <v>1</v>
      </c>
      <c r="F1296">
        <v>2.4</v>
      </c>
      <c r="G1296">
        <v>3.07</v>
      </c>
      <c r="H1296" t="s">
        <v>10</v>
      </c>
    </row>
    <row r="1297" spans="1:8" x14ac:dyDescent="0.25">
      <c r="A1297">
        <v>1296</v>
      </c>
      <c r="B1297">
        <v>7.3</v>
      </c>
      <c r="C1297">
        <v>1.1000000000000001</v>
      </c>
      <c r="D1297">
        <v>9.8000000000000007</v>
      </c>
      <c r="E1297">
        <v>1.8</v>
      </c>
      <c r="F1297">
        <v>4</v>
      </c>
      <c r="G1297">
        <v>2.91</v>
      </c>
      <c r="H1297" t="s">
        <v>8</v>
      </c>
    </row>
    <row r="1298" spans="1:8" x14ac:dyDescent="0.25">
      <c r="A1298">
        <v>1297</v>
      </c>
      <c r="B1298">
        <v>5.5</v>
      </c>
      <c r="C1298">
        <v>2.1</v>
      </c>
      <c r="D1298">
        <v>5.3</v>
      </c>
      <c r="E1298">
        <v>0.7</v>
      </c>
      <c r="F1298">
        <v>10.4</v>
      </c>
      <c r="G1298">
        <v>2.79</v>
      </c>
      <c r="H1298" t="s">
        <v>10</v>
      </c>
    </row>
    <row r="1299" spans="1:8" x14ac:dyDescent="0.25">
      <c r="A1299">
        <v>1298</v>
      </c>
      <c r="B1299">
        <v>7.2</v>
      </c>
      <c r="C1299">
        <v>3.2</v>
      </c>
      <c r="D1299">
        <v>8.6999999999999993</v>
      </c>
      <c r="E1299">
        <v>2.1</v>
      </c>
      <c r="F1299">
        <v>2.8</v>
      </c>
      <c r="G1299">
        <v>2.78</v>
      </c>
      <c r="H1299" t="s">
        <v>8</v>
      </c>
    </row>
    <row r="1300" spans="1:8" x14ac:dyDescent="0.25">
      <c r="A1300">
        <v>1299</v>
      </c>
      <c r="B1300">
        <v>6.7</v>
      </c>
      <c r="C1300">
        <v>1.3</v>
      </c>
      <c r="D1300">
        <v>8.9</v>
      </c>
      <c r="E1300">
        <v>0.3</v>
      </c>
      <c r="F1300">
        <v>6.8</v>
      </c>
      <c r="G1300">
        <v>2.79</v>
      </c>
      <c r="H1300" t="s">
        <v>8</v>
      </c>
    </row>
    <row r="1301" spans="1:8" x14ac:dyDescent="0.25">
      <c r="A1301">
        <v>1300</v>
      </c>
      <c r="B1301">
        <v>6.2</v>
      </c>
      <c r="C1301">
        <v>3.7</v>
      </c>
      <c r="D1301">
        <v>9.3000000000000007</v>
      </c>
      <c r="E1301">
        <v>3.4</v>
      </c>
      <c r="F1301">
        <v>1.4</v>
      </c>
      <c r="G1301">
        <v>2.92</v>
      </c>
      <c r="H1301" t="s">
        <v>8</v>
      </c>
    </row>
    <row r="1302" spans="1:8" x14ac:dyDescent="0.25">
      <c r="A1302">
        <v>1301</v>
      </c>
      <c r="B1302">
        <v>7.4</v>
      </c>
      <c r="C1302">
        <v>2.1</v>
      </c>
      <c r="D1302">
        <v>9.9</v>
      </c>
      <c r="E1302">
        <v>4.4000000000000004</v>
      </c>
      <c r="F1302">
        <v>0.2</v>
      </c>
      <c r="G1302">
        <v>3.23</v>
      </c>
      <c r="H1302" t="s">
        <v>8</v>
      </c>
    </row>
    <row r="1303" spans="1:8" x14ac:dyDescent="0.25">
      <c r="A1303">
        <v>1302</v>
      </c>
      <c r="B1303">
        <v>6</v>
      </c>
      <c r="C1303">
        <v>0.9</v>
      </c>
      <c r="D1303">
        <v>8.4</v>
      </c>
      <c r="E1303">
        <v>2.4</v>
      </c>
      <c r="F1303">
        <v>6.3</v>
      </c>
      <c r="G1303">
        <v>2.79</v>
      </c>
      <c r="H1303" t="s">
        <v>8</v>
      </c>
    </row>
    <row r="1304" spans="1:8" x14ac:dyDescent="0.25">
      <c r="A1304">
        <v>1303</v>
      </c>
      <c r="B1304">
        <v>9.6999999999999993</v>
      </c>
      <c r="C1304">
        <v>0.4</v>
      </c>
      <c r="D1304">
        <v>7.6</v>
      </c>
      <c r="E1304">
        <v>5.5</v>
      </c>
      <c r="F1304">
        <v>0.8</v>
      </c>
      <c r="G1304">
        <v>3.73</v>
      </c>
      <c r="H1304" t="s">
        <v>10</v>
      </c>
    </row>
    <row r="1305" spans="1:8" x14ac:dyDescent="0.25">
      <c r="A1305">
        <v>1304</v>
      </c>
      <c r="B1305">
        <v>5.8</v>
      </c>
      <c r="C1305">
        <v>3.9</v>
      </c>
      <c r="D1305">
        <v>9.6</v>
      </c>
      <c r="E1305">
        <v>0.8</v>
      </c>
      <c r="F1305">
        <v>3.9</v>
      </c>
      <c r="G1305">
        <v>2.57</v>
      </c>
      <c r="H1305" t="s">
        <v>9</v>
      </c>
    </row>
    <row r="1306" spans="1:8" x14ac:dyDescent="0.25">
      <c r="A1306">
        <v>1305</v>
      </c>
      <c r="B1306">
        <v>5.6</v>
      </c>
      <c r="C1306">
        <v>0.3</v>
      </c>
      <c r="D1306">
        <v>9.5</v>
      </c>
      <c r="E1306">
        <v>1.2</v>
      </c>
      <c r="F1306">
        <v>7.4</v>
      </c>
      <c r="G1306">
        <v>2.57</v>
      </c>
      <c r="H1306" t="s">
        <v>9</v>
      </c>
    </row>
    <row r="1307" spans="1:8" x14ac:dyDescent="0.25">
      <c r="A1307">
        <v>1306</v>
      </c>
      <c r="B1307">
        <v>8</v>
      </c>
      <c r="C1307">
        <v>0.3</v>
      </c>
      <c r="D1307">
        <v>6.1</v>
      </c>
      <c r="E1307">
        <v>5.6</v>
      </c>
      <c r="F1307">
        <v>4</v>
      </c>
      <c r="G1307">
        <v>2.76</v>
      </c>
      <c r="H1307" t="s">
        <v>8</v>
      </c>
    </row>
    <row r="1308" spans="1:8" x14ac:dyDescent="0.25">
      <c r="A1308">
        <v>1307</v>
      </c>
      <c r="B1308">
        <v>9.5</v>
      </c>
      <c r="C1308">
        <v>3.1</v>
      </c>
      <c r="D1308">
        <v>5.0999999999999996</v>
      </c>
      <c r="E1308">
        <v>2</v>
      </c>
      <c r="F1308">
        <v>4.3</v>
      </c>
      <c r="G1308">
        <v>3.14</v>
      </c>
      <c r="H1308" t="s">
        <v>10</v>
      </c>
    </row>
    <row r="1309" spans="1:8" x14ac:dyDescent="0.25">
      <c r="A1309">
        <v>1308</v>
      </c>
      <c r="B1309">
        <v>9.5</v>
      </c>
      <c r="C1309">
        <v>2.5</v>
      </c>
      <c r="D1309">
        <v>5.4</v>
      </c>
      <c r="E1309">
        <v>5.5</v>
      </c>
      <c r="F1309">
        <v>1.1000000000000001</v>
      </c>
      <c r="G1309">
        <v>3.59</v>
      </c>
      <c r="H1309" t="s">
        <v>10</v>
      </c>
    </row>
    <row r="1310" spans="1:8" x14ac:dyDescent="0.25">
      <c r="A1310">
        <v>1309</v>
      </c>
      <c r="B1310">
        <v>9.8000000000000007</v>
      </c>
      <c r="C1310">
        <v>0.3</v>
      </c>
      <c r="D1310">
        <v>7.7</v>
      </c>
      <c r="E1310">
        <v>1.8</v>
      </c>
      <c r="F1310">
        <v>4.4000000000000004</v>
      </c>
      <c r="G1310">
        <v>3.23</v>
      </c>
      <c r="H1310" t="s">
        <v>10</v>
      </c>
    </row>
    <row r="1311" spans="1:8" x14ac:dyDescent="0.25">
      <c r="A1311">
        <v>1310</v>
      </c>
      <c r="B1311">
        <v>7.9</v>
      </c>
      <c r="C1311">
        <v>3.8</v>
      </c>
      <c r="D1311">
        <v>7.5</v>
      </c>
      <c r="E1311">
        <v>0.4</v>
      </c>
      <c r="F1311">
        <v>4.4000000000000004</v>
      </c>
      <c r="G1311">
        <v>3.11</v>
      </c>
      <c r="H1311" t="s">
        <v>8</v>
      </c>
    </row>
    <row r="1312" spans="1:8" x14ac:dyDescent="0.25">
      <c r="A1312">
        <v>1311</v>
      </c>
      <c r="B1312">
        <v>8.1</v>
      </c>
      <c r="C1312">
        <v>1.4</v>
      </c>
      <c r="D1312">
        <v>9.3000000000000007</v>
      </c>
      <c r="E1312">
        <v>2.2999999999999998</v>
      </c>
      <c r="F1312">
        <v>2.9</v>
      </c>
      <c r="G1312">
        <v>3.11</v>
      </c>
      <c r="H1312" t="s">
        <v>10</v>
      </c>
    </row>
    <row r="1313" spans="1:8" x14ac:dyDescent="0.25">
      <c r="A1313">
        <v>1312</v>
      </c>
      <c r="B1313">
        <v>8.8000000000000007</v>
      </c>
      <c r="C1313">
        <v>1.1000000000000001</v>
      </c>
      <c r="D1313">
        <v>8.8000000000000007</v>
      </c>
      <c r="E1313">
        <v>1.1000000000000001</v>
      </c>
      <c r="F1313">
        <v>4.2</v>
      </c>
      <c r="G1313">
        <v>3.22</v>
      </c>
      <c r="H1313" t="s">
        <v>10</v>
      </c>
    </row>
    <row r="1314" spans="1:8" x14ac:dyDescent="0.25">
      <c r="A1314">
        <v>1313</v>
      </c>
      <c r="B1314">
        <v>6.6</v>
      </c>
      <c r="C1314">
        <v>1.9</v>
      </c>
      <c r="D1314">
        <v>9.6999999999999993</v>
      </c>
      <c r="E1314">
        <v>5.4</v>
      </c>
      <c r="F1314">
        <v>0.4</v>
      </c>
      <c r="G1314">
        <v>2.88</v>
      </c>
      <c r="H1314" t="s">
        <v>8</v>
      </c>
    </row>
    <row r="1315" spans="1:8" x14ac:dyDescent="0.25">
      <c r="A1315">
        <v>1314</v>
      </c>
      <c r="B1315">
        <v>5.7</v>
      </c>
      <c r="C1315">
        <v>2</v>
      </c>
      <c r="D1315">
        <v>7.3</v>
      </c>
      <c r="E1315">
        <v>5.4</v>
      </c>
      <c r="F1315">
        <v>3.6</v>
      </c>
      <c r="G1315">
        <v>2.62</v>
      </c>
      <c r="H1315" t="s">
        <v>9</v>
      </c>
    </row>
    <row r="1316" spans="1:8" x14ac:dyDescent="0.25">
      <c r="A1316">
        <v>1315</v>
      </c>
      <c r="B1316">
        <v>9.6999999999999993</v>
      </c>
      <c r="C1316">
        <v>1.5</v>
      </c>
      <c r="D1316">
        <v>7.5</v>
      </c>
      <c r="E1316">
        <v>4.8</v>
      </c>
      <c r="F1316">
        <v>0.5</v>
      </c>
      <c r="G1316">
        <v>3.3</v>
      </c>
      <c r="H1316" t="s">
        <v>10</v>
      </c>
    </row>
    <row r="1317" spans="1:8" x14ac:dyDescent="0.25">
      <c r="A1317">
        <v>1316</v>
      </c>
      <c r="B1317">
        <v>6.1</v>
      </c>
      <c r="C1317">
        <v>0.8</v>
      </c>
      <c r="D1317">
        <v>5.2</v>
      </c>
      <c r="E1317">
        <v>3.9</v>
      </c>
      <c r="F1317">
        <v>8</v>
      </c>
      <c r="G1317">
        <v>2.56</v>
      </c>
      <c r="H1317" t="s">
        <v>10</v>
      </c>
    </row>
    <row r="1318" spans="1:8" x14ac:dyDescent="0.25">
      <c r="A1318">
        <v>1317</v>
      </c>
      <c r="B1318">
        <v>6.3</v>
      </c>
      <c r="C1318">
        <v>0.2</v>
      </c>
      <c r="D1318">
        <v>6.2</v>
      </c>
      <c r="E1318">
        <v>4.8</v>
      </c>
      <c r="F1318">
        <v>6.5</v>
      </c>
      <c r="G1318">
        <v>2.93</v>
      </c>
      <c r="H1318" t="s">
        <v>8</v>
      </c>
    </row>
    <row r="1319" spans="1:8" x14ac:dyDescent="0.25">
      <c r="A1319">
        <v>1318</v>
      </c>
      <c r="B1319">
        <v>7.1</v>
      </c>
      <c r="C1319">
        <v>3.9</v>
      </c>
      <c r="D1319">
        <v>6</v>
      </c>
      <c r="E1319">
        <v>1.3</v>
      </c>
      <c r="F1319">
        <v>5.7</v>
      </c>
      <c r="G1319">
        <v>3.3</v>
      </c>
      <c r="H1319" t="s">
        <v>8</v>
      </c>
    </row>
    <row r="1320" spans="1:8" x14ac:dyDescent="0.25">
      <c r="A1320">
        <v>1319</v>
      </c>
      <c r="B1320">
        <v>6.5</v>
      </c>
      <c r="C1320">
        <v>0.7</v>
      </c>
      <c r="D1320">
        <v>6.9</v>
      </c>
      <c r="E1320">
        <v>5.5</v>
      </c>
      <c r="F1320">
        <v>4.4000000000000004</v>
      </c>
      <c r="G1320">
        <v>2.71</v>
      </c>
      <c r="H1320" t="s">
        <v>8</v>
      </c>
    </row>
    <row r="1321" spans="1:8" x14ac:dyDescent="0.25">
      <c r="A1321">
        <v>1320</v>
      </c>
      <c r="B1321">
        <v>9.6999999999999993</v>
      </c>
      <c r="C1321">
        <v>0.2</v>
      </c>
      <c r="D1321">
        <v>6.1</v>
      </c>
      <c r="E1321">
        <v>3.4</v>
      </c>
      <c r="F1321">
        <v>4.5999999999999996</v>
      </c>
      <c r="G1321">
        <v>3.81</v>
      </c>
      <c r="H1321" t="s">
        <v>10</v>
      </c>
    </row>
    <row r="1322" spans="1:8" x14ac:dyDescent="0.25">
      <c r="A1322">
        <v>1321</v>
      </c>
      <c r="B1322">
        <v>8.1</v>
      </c>
      <c r="C1322">
        <v>0.2</v>
      </c>
      <c r="D1322">
        <v>7</v>
      </c>
      <c r="E1322">
        <v>3.9</v>
      </c>
      <c r="F1322">
        <v>4.8</v>
      </c>
      <c r="G1322">
        <v>3.41</v>
      </c>
      <c r="H1322" t="s">
        <v>10</v>
      </c>
    </row>
    <row r="1323" spans="1:8" x14ac:dyDescent="0.25">
      <c r="A1323">
        <v>1322</v>
      </c>
      <c r="B1323">
        <v>6.6</v>
      </c>
      <c r="C1323">
        <v>0.4</v>
      </c>
      <c r="D1323">
        <v>7.1</v>
      </c>
      <c r="E1323">
        <v>0.8</v>
      </c>
      <c r="F1323">
        <v>9.1</v>
      </c>
      <c r="G1323">
        <v>3.27</v>
      </c>
      <c r="H1323" t="s">
        <v>8</v>
      </c>
    </row>
    <row r="1324" spans="1:8" x14ac:dyDescent="0.25">
      <c r="A1324">
        <v>1323</v>
      </c>
      <c r="B1324">
        <v>9.6999999999999993</v>
      </c>
      <c r="C1324">
        <v>1.9</v>
      </c>
      <c r="D1324">
        <v>6.6</v>
      </c>
      <c r="E1324">
        <v>4.4000000000000004</v>
      </c>
      <c r="F1324">
        <v>1.4</v>
      </c>
      <c r="G1324">
        <v>3.06</v>
      </c>
      <c r="H1324" t="s">
        <v>10</v>
      </c>
    </row>
    <row r="1325" spans="1:8" x14ac:dyDescent="0.25">
      <c r="A1325">
        <v>1324</v>
      </c>
      <c r="B1325">
        <v>9.1</v>
      </c>
      <c r="C1325">
        <v>3.5</v>
      </c>
      <c r="D1325">
        <v>8.4</v>
      </c>
      <c r="E1325">
        <v>0.1</v>
      </c>
      <c r="F1325">
        <v>2.9</v>
      </c>
      <c r="G1325">
        <v>3.36</v>
      </c>
      <c r="H1325" t="s">
        <v>10</v>
      </c>
    </row>
    <row r="1326" spans="1:8" x14ac:dyDescent="0.25">
      <c r="A1326">
        <v>1325</v>
      </c>
      <c r="B1326">
        <v>7.8</v>
      </c>
      <c r="C1326">
        <v>3.1</v>
      </c>
      <c r="D1326">
        <v>5.7</v>
      </c>
      <c r="E1326">
        <v>1.4</v>
      </c>
      <c r="F1326">
        <v>6</v>
      </c>
      <c r="G1326">
        <v>3.14</v>
      </c>
      <c r="H1326" t="s">
        <v>10</v>
      </c>
    </row>
    <row r="1327" spans="1:8" x14ac:dyDescent="0.25">
      <c r="A1327">
        <v>1326</v>
      </c>
      <c r="B1327">
        <v>7.2</v>
      </c>
      <c r="C1327">
        <v>0</v>
      </c>
      <c r="D1327">
        <v>9.1</v>
      </c>
      <c r="E1327">
        <v>2.2000000000000002</v>
      </c>
      <c r="F1327">
        <v>5.5</v>
      </c>
      <c r="G1327">
        <v>3.41</v>
      </c>
      <c r="H1327" t="s">
        <v>8</v>
      </c>
    </row>
    <row r="1328" spans="1:8" x14ac:dyDescent="0.25">
      <c r="A1328">
        <v>1327</v>
      </c>
      <c r="B1328">
        <v>7.7</v>
      </c>
      <c r="C1328">
        <v>2.7</v>
      </c>
      <c r="D1328">
        <v>8.5</v>
      </c>
      <c r="E1328">
        <v>4.9000000000000004</v>
      </c>
      <c r="F1328">
        <v>0.2</v>
      </c>
      <c r="G1328">
        <v>2.68</v>
      </c>
      <c r="H1328" t="s">
        <v>8</v>
      </c>
    </row>
    <row r="1329" spans="1:8" x14ac:dyDescent="0.25">
      <c r="A1329">
        <v>1328</v>
      </c>
      <c r="B1329">
        <v>9.8000000000000007</v>
      </c>
      <c r="C1329">
        <v>2.6</v>
      </c>
      <c r="D1329">
        <v>6.5</v>
      </c>
      <c r="E1329">
        <v>0.6</v>
      </c>
      <c r="F1329">
        <v>4.5</v>
      </c>
      <c r="G1329">
        <v>3.62</v>
      </c>
      <c r="H1329" t="s">
        <v>10</v>
      </c>
    </row>
    <row r="1330" spans="1:8" x14ac:dyDescent="0.25">
      <c r="A1330">
        <v>1329</v>
      </c>
      <c r="B1330">
        <v>9.1999999999999993</v>
      </c>
      <c r="C1330">
        <v>1.4</v>
      </c>
      <c r="D1330">
        <v>8.3000000000000007</v>
      </c>
      <c r="E1330">
        <v>2.4</v>
      </c>
      <c r="F1330">
        <v>2.7</v>
      </c>
      <c r="G1330">
        <v>3.47</v>
      </c>
      <c r="H1330" t="s">
        <v>10</v>
      </c>
    </row>
    <row r="1331" spans="1:8" x14ac:dyDescent="0.25">
      <c r="A1331">
        <v>1330</v>
      </c>
      <c r="B1331">
        <v>5.3</v>
      </c>
      <c r="C1331">
        <v>1.7</v>
      </c>
      <c r="D1331">
        <v>7.7</v>
      </c>
      <c r="E1331">
        <v>2.6</v>
      </c>
      <c r="F1331">
        <v>6.7</v>
      </c>
      <c r="G1331">
        <v>2.54</v>
      </c>
      <c r="H1331" t="s">
        <v>9</v>
      </c>
    </row>
    <row r="1332" spans="1:8" x14ac:dyDescent="0.25">
      <c r="A1332">
        <v>1331</v>
      </c>
      <c r="B1332">
        <v>8.6999999999999993</v>
      </c>
      <c r="C1332">
        <v>3.3</v>
      </c>
      <c r="D1332">
        <v>8.9</v>
      </c>
      <c r="E1332">
        <v>0.1</v>
      </c>
      <c r="F1332">
        <v>3</v>
      </c>
      <c r="G1332">
        <v>3.34</v>
      </c>
      <c r="H1332" t="s">
        <v>10</v>
      </c>
    </row>
    <row r="1333" spans="1:8" x14ac:dyDescent="0.25">
      <c r="A1333">
        <v>1332</v>
      </c>
      <c r="B1333">
        <v>9.6999999999999993</v>
      </c>
      <c r="C1333">
        <v>3.3</v>
      </c>
      <c r="D1333">
        <v>9.1999999999999993</v>
      </c>
      <c r="E1333">
        <v>0.5</v>
      </c>
      <c r="F1333">
        <v>1.3</v>
      </c>
      <c r="G1333">
        <v>3.18</v>
      </c>
      <c r="H1333" t="s">
        <v>10</v>
      </c>
    </row>
    <row r="1334" spans="1:8" x14ac:dyDescent="0.25">
      <c r="A1334">
        <v>1333</v>
      </c>
      <c r="B1334">
        <v>7.1</v>
      </c>
      <c r="C1334">
        <v>1.9</v>
      </c>
      <c r="D1334">
        <v>5.8</v>
      </c>
      <c r="E1334">
        <v>0.2</v>
      </c>
      <c r="F1334">
        <v>9</v>
      </c>
      <c r="G1334">
        <v>3.02</v>
      </c>
      <c r="H1334" t="s">
        <v>10</v>
      </c>
    </row>
    <row r="1335" spans="1:8" x14ac:dyDescent="0.25">
      <c r="A1335">
        <v>1334</v>
      </c>
      <c r="B1335">
        <v>9.6</v>
      </c>
      <c r="C1335">
        <v>2.2999999999999998</v>
      </c>
      <c r="D1335">
        <v>8.3000000000000007</v>
      </c>
      <c r="E1335">
        <v>3.5</v>
      </c>
      <c r="F1335">
        <v>0.3</v>
      </c>
      <c r="G1335">
        <v>3.41</v>
      </c>
      <c r="H1335" t="s">
        <v>10</v>
      </c>
    </row>
    <row r="1336" spans="1:8" x14ac:dyDescent="0.25">
      <c r="A1336">
        <v>1335</v>
      </c>
      <c r="B1336">
        <v>6.7</v>
      </c>
      <c r="C1336">
        <v>2.5</v>
      </c>
      <c r="D1336">
        <v>5.2</v>
      </c>
      <c r="E1336">
        <v>1.1000000000000001</v>
      </c>
      <c r="F1336">
        <v>8.5</v>
      </c>
      <c r="G1336">
        <v>3.11</v>
      </c>
      <c r="H1336" t="s">
        <v>10</v>
      </c>
    </row>
    <row r="1337" spans="1:8" x14ac:dyDescent="0.25">
      <c r="A1337">
        <v>1336</v>
      </c>
      <c r="B1337">
        <v>6.8</v>
      </c>
      <c r="C1337">
        <v>1.5</v>
      </c>
      <c r="D1337">
        <v>7.7</v>
      </c>
      <c r="E1337">
        <v>0</v>
      </c>
      <c r="F1337">
        <v>8</v>
      </c>
      <c r="G1337">
        <v>3.15</v>
      </c>
      <c r="H1337" t="s">
        <v>8</v>
      </c>
    </row>
    <row r="1338" spans="1:8" x14ac:dyDescent="0.25">
      <c r="A1338">
        <v>1337</v>
      </c>
      <c r="B1338">
        <v>6.2</v>
      </c>
      <c r="C1338">
        <v>0.8</v>
      </c>
      <c r="D1338">
        <v>6.3</v>
      </c>
      <c r="E1338">
        <v>4.8</v>
      </c>
      <c r="F1338">
        <v>5.9</v>
      </c>
      <c r="G1338">
        <v>2.76</v>
      </c>
      <c r="H1338" t="s">
        <v>8</v>
      </c>
    </row>
    <row r="1339" spans="1:8" x14ac:dyDescent="0.25">
      <c r="A1339">
        <v>1338</v>
      </c>
      <c r="B1339">
        <v>7.5</v>
      </c>
      <c r="C1339">
        <v>3.5</v>
      </c>
      <c r="D1339">
        <v>6.2</v>
      </c>
      <c r="E1339">
        <v>0.5</v>
      </c>
      <c r="F1339">
        <v>6.3</v>
      </c>
      <c r="G1339">
        <v>3</v>
      </c>
      <c r="H1339" t="s">
        <v>8</v>
      </c>
    </row>
    <row r="1340" spans="1:8" x14ac:dyDescent="0.25">
      <c r="A1340">
        <v>1339</v>
      </c>
      <c r="B1340">
        <v>6.8</v>
      </c>
      <c r="C1340">
        <v>3</v>
      </c>
      <c r="D1340">
        <v>7.8</v>
      </c>
      <c r="E1340">
        <v>4.9000000000000004</v>
      </c>
      <c r="F1340">
        <v>1.5</v>
      </c>
      <c r="G1340">
        <v>2.99</v>
      </c>
      <c r="H1340" t="s">
        <v>8</v>
      </c>
    </row>
    <row r="1341" spans="1:8" x14ac:dyDescent="0.25">
      <c r="A1341">
        <v>1340</v>
      </c>
      <c r="B1341">
        <v>5.2</v>
      </c>
      <c r="C1341">
        <v>3.9</v>
      </c>
      <c r="D1341">
        <v>6.9</v>
      </c>
      <c r="E1341">
        <v>0.9</v>
      </c>
      <c r="F1341">
        <v>7.1</v>
      </c>
      <c r="G1341">
        <v>3.28</v>
      </c>
      <c r="H1341" t="s">
        <v>9</v>
      </c>
    </row>
    <row r="1342" spans="1:8" x14ac:dyDescent="0.25">
      <c r="A1342">
        <v>1341</v>
      </c>
      <c r="B1342">
        <v>8.3000000000000007</v>
      </c>
      <c r="C1342">
        <v>1.1000000000000001</v>
      </c>
      <c r="D1342">
        <v>7.9</v>
      </c>
      <c r="E1342">
        <v>3.5</v>
      </c>
      <c r="F1342">
        <v>3.2</v>
      </c>
      <c r="G1342">
        <v>3.49</v>
      </c>
      <c r="H1342" t="s">
        <v>10</v>
      </c>
    </row>
    <row r="1343" spans="1:8" x14ac:dyDescent="0.25">
      <c r="A1343">
        <v>1342</v>
      </c>
      <c r="B1343">
        <v>6.3</v>
      </c>
      <c r="C1343">
        <v>1.8</v>
      </c>
      <c r="D1343">
        <v>7.7</v>
      </c>
      <c r="E1343">
        <v>4</v>
      </c>
      <c r="F1343">
        <v>4.2</v>
      </c>
      <c r="G1343">
        <v>2.91</v>
      </c>
      <c r="H1343" t="s">
        <v>8</v>
      </c>
    </row>
    <row r="1344" spans="1:8" x14ac:dyDescent="0.25">
      <c r="A1344">
        <v>1343</v>
      </c>
      <c r="B1344">
        <v>8.9</v>
      </c>
      <c r="C1344">
        <v>1.6</v>
      </c>
      <c r="D1344">
        <v>8.1999999999999993</v>
      </c>
      <c r="E1344">
        <v>0.8</v>
      </c>
      <c r="F1344">
        <v>4.5</v>
      </c>
      <c r="G1344">
        <v>3.3</v>
      </c>
      <c r="H1344" t="s">
        <v>10</v>
      </c>
    </row>
    <row r="1345" spans="1:8" x14ac:dyDescent="0.25">
      <c r="A1345">
        <v>1344</v>
      </c>
      <c r="B1345">
        <v>8.6</v>
      </c>
      <c r="C1345">
        <v>0.1</v>
      </c>
      <c r="D1345">
        <v>6</v>
      </c>
      <c r="E1345">
        <v>2.9</v>
      </c>
      <c r="F1345">
        <v>6.4</v>
      </c>
      <c r="G1345">
        <v>3.42</v>
      </c>
      <c r="H1345" t="s">
        <v>10</v>
      </c>
    </row>
    <row r="1346" spans="1:8" x14ac:dyDescent="0.25">
      <c r="A1346">
        <v>1345</v>
      </c>
      <c r="B1346">
        <v>9.4</v>
      </c>
      <c r="C1346">
        <v>2.1</v>
      </c>
      <c r="D1346">
        <v>9.6</v>
      </c>
      <c r="E1346">
        <v>1.4</v>
      </c>
      <c r="F1346">
        <v>1.5</v>
      </c>
      <c r="G1346">
        <v>3.2</v>
      </c>
      <c r="H1346" t="s">
        <v>10</v>
      </c>
    </row>
    <row r="1347" spans="1:8" x14ac:dyDescent="0.25">
      <c r="A1347">
        <v>1346</v>
      </c>
      <c r="B1347">
        <v>9</v>
      </c>
      <c r="C1347">
        <v>1</v>
      </c>
      <c r="D1347">
        <v>9.5</v>
      </c>
      <c r="E1347">
        <v>4.0999999999999996</v>
      </c>
      <c r="F1347">
        <v>0.4</v>
      </c>
      <c r="G1347">
        <v>3.34</v>
      </c>
      <c r="H1347" t="s">
        <v>10</v>
      </c>
    </row>
    <row r="1348" spans="1:8" x14ac:dyDescent="0.25">
      <c r="A1348">
        <v>1347</v>
      </c>
      <c r="B1348">
        <v>9.6999999999999993</v>
      </c>
      <c r="C1348">
        <v>2.1</v>
      </c>
      <c r="D1348">
        <v>8.4</v>
      </c>
      <c r="E1348">
        <v>3</v>
      </c>
      <c r="F1348">
        <v>0.8</v>
      </c>
      <c r="G1348">
        <v>3.51</v>
      </c>
      <c r="H1348" t="s">
        <v>10</v>
      </c>
    </row>
    <row r="1349" spans="1:8" x14ac:dyDescent="0.25">
      <c r="A1349">
        <v>1348</v>
      </c>
      <c r="B1349">
        <v>5.2</v>
      </c>
      <c r="C1349">
        <v>2</v>
      </c>
      <c r="D1349">
        <v>5.8</v>
      </c>
      <c r="E1349">
        <v>1.1000000000000001</v>
      </c>
      <c r="F1349">
        <v>9.9</v>
      </c>
      <c r="G1349">
        <v>2.58</v>
      </c>
      <c r="H1349" t="s">
        <v>10</v>
      </c>
    </row>
    <row r="1350" spans="1:8" x14ac:dyDescent="0.25">
      <c r="A1350">
        <v>1349</v>
      </c>
      <c r="B1350">
        <v>6.8</v>
      </c>
      <c r="C1350">
        <v>1.7</v>
      </c>
      <c r="D1350">
        <v>8.1</v>
      </c>
      <c r="E1350">
        <v>0.4</v>
      </c>
      <c r="F1350">
        <v>7</v>
      </c>
      <c r="G1350">
        <v>2.75</v>
      </c>
      <c r="H1350" t="s">
        <v>8</v>
      </c>
    </row>
    <row r="1351" spans="1:8" x14ac:dyDescent="0.25">
      <c r="A1351">
        <v>1350</v>
      </c>
      <c r="B1351">
        <v>7.9</v>
      </c>
      <c r="C1351">
        <v>2.5</v>
      </c>
      <c r="D1351">
        <v>7.8</v>
      </c>
      <c r="E1351">
        <v>4.3</v>
      </c>
      <c r="F1351">
        <v>1.5</v>
      </c>
      <c r="G1351">
        <v>3.19</v>
      </c>
      <c r="H1351" t="s">
        <v>8</v>
      </c>
    </row>
    <row r="1352" spans="1:8" x14ac:dyDescent="0.25">
      <c r="A1352">
        <v>1351</v>
      </c>
      <c r="B1352">
        <v>6.7</v>
      </c>
      <c r="C1352">
        <v>3.1</v>
      </c>
      <c r="D1352">
        <v>7.2</v>
      </c>
      <c r="E1352">
        <v>2.9</v>
      </c>
      <c r="F1352">
        <v>4.0999999999999996</v>
      </c>
      <c r="G1352">
        <v>3.24</v>
      </c>
      <c r="H1352" t="s">
        <v>8</v>
      </c>
    </row>
    <row r="1353" spans="1:8" x14ac:dyDescent="0.25">
      <c r="A1353">
        <v>1352</v>
      </c>
      <c r="B1353">
        <v>6.5</v>
      </c>
      <c r="C1353">
        <v>0.3</v>
      </c>
      <c r="D1353">
        <v>5.5</v>
      </c>
      <c r="E1353">
        <v>5.5</v>
      </c>
      <c r="F1353">
        <v>6.2</v>
      </c>
      <c r="G1353">
        <v>3.28</v>
      </c>
      <c r="H1353" t="s">
        <v>10</v>
      </c>
    </row>
    <row r="1354" spans="1:8" x14ac:dyDescent="0.25">
      <c r="A1354">
        <v>1353</v>
      </c>
      <c r="B1354">
        <v>8.4</v>
      </c>
      <c r="C1354">
        <v>0.5</v>
      </c>
      <c r="D1354">
        <v>6.8</v>
      </c>
      <c r="E1354">
        <v>3.6</v>
      </c>
      <c r="F1354">
        <v>4.7</v>
      </c>
      <c r="G1354">
        <v>3.34</v>
      </c>
      <c r="H1354" t="s">
        <v>10</v>
      </c>
    </row>
    <row r="1355" spans="1:8" x14ac:dyDescent="0.25">
      <c r="A1355">
        <v>1354</v>
      </c>
      <c r="B1355">
        <v>5</v>
      </c>
      <c r="C1355">
        <v>0.8</v>
      </c>
      <c r="D1355">
        <v>9.8000000000000007</v>
      </c>
      <c r="E1355">
        <v>3.7</v>
      </c>
      <c r="F1355">
        <v>4.7</v>
      </c>
      <c r="G1355">
        <v>2.69</v>
      </c>
      <c r="H1355" t="s">
        <v>9</v>
      </c>
    </row>
    <row r="1356" spans="1:8" x14ac:dyDescent="0.25">
      <c r="A1356">
        <v>1355</v>
      </c>
      <c r="B1356">
        <v>6.3</v>
      </c>
      <c r="C1356">
        <v>0.3</v>
      </c>
      <c r="D1356">
        <v>5.0999999999999996</v>
      </c>
      <c r="E1356">
        <v>1.5</v>
      </c>
      <c r="F1356">
        <v>10.8</v>
      </c>
      <c r="G1356">
        <v>2.9</v>
      </c>
      <c r="H1356" t="s">
        <v>10</v>
      </c>
    </row>
    <row r="1357" spans="1:8" x14ac:dyDescent="0.25">
      <c r="A1357">
        <v>1356</v>
      </c>
      <c r="B1357">
        <v>8.6</v>
      </c>
      <c r="C1357">
        <v>3.7</v>
      </c>
      <c r="D1357">
        <v>7</v>
      </c>
      <c r="E1357">
        <v>0.9</v>
      </c>
      <c r="F1357">
        <v>3.8</v>
      </c>
      <c r="G1357">
        <v>3.48</v>
      </c>
      <c r="H1357" t="s">
        <v>10</v>
      </c>
    </row>
    <row r="1358" spans="1:8" x14ac:dyDescent="0.25">
      <c r="A1358">
        <v>1357</v>
      </c>
      <c r="B1358">
        <v>7.6</v>
      </c>
      <c r="C1358">
        <v>3.6</v>
      </c>
      <c r="D1358">
        <v>9</v>
      </c>
      <c r="E1358">
        <v>0.3</v>
      </c>
      <c r="F1358">
        <v>3.5</v>
      </c>
      <c r="G1358">
        <v>3.27</v>
      </c>
      <c r="H1358" t="s">
        <v>8</v>
      </c>
    </row>
    <row r="1359" spans="1:8" x14ac:dyDescent="0.25">
      <c r="A1359">
        <v>1358</v>
      </c>
      <c r="B1359">
        <v>9.5</v>
      </c>
      <c r="C1359">
        <v>0.5</v>
      </c>
      <c r="D1359">
        <v>7.7</v>
      </c>
      <c r="E1359">
        <v>5.3</v>
      </c>
      <c r="F1359">
        <v>1</v>
      </c>
      <c r="G1359">
        <v>3.78</v>
      </c>
      <c r="H1359" t="s">
        <v>10</v>
      </c>
    </row>
    <row r="1360" spans="1:8" x14ac:dyDescent="0.25">
      <c r="A1360">
        <v>1359</v>
      </c>
      <c r="B1360">
        <v>7.1</v>
      </c>
      <c r="C1360">
        <v>1.9</v>
      </c>
      <c r="D1360">
        <v>5.4</v>
      </c>
      <c r="E1360">
        <v>1.7</v>
      </c>
      <c r="F1360">
        <v>7.9</v>
      </c>
      <c r="G1360">
        <v>3.14</v>
      </c>
      <c r="H1360" t="s">
        <v>10</v>
      </c>
    </row>
    <row r="1361" spans="1:8" x14ac:dyDescent="0.25">
      <c r="A1361">
        <v>1360</v>
      </c>
      <c r="B1361">
        <v>6.4</v>
      </c>
      <c r="C1361">
        <v>1.8</v>
      </c>
      <c r="D1361">
        <v>8.4</v>
      </c>
      <c r="E1361">
        <v>1</v>
      </c>
      <c r="F1361">
        <v>6.4</v>
      </c>
      <c r="G1361">
        <v>2.93</v>
      </c>
      <c r="H1361" t="s">
        <v>8</v>
      </c>
    </row>
    <row r="1362" spans="1:8" x14ac:dyDescent="0.25">
      <c r="A1362">
        <v>1361</v>
      </c>
      <c r="B1362">
        <v>7.4</v>
      </c>
      <c r="C1362">
        <v>3</v>
      </c>
      <c r="D1362">
        <v>9.3000000000000007</v>
      </c>
      <c r="E1362">
        <v>2.7</v>
      </c>
      <c r="F1362">
        <v>1.6</v>
      </c>
      <c r="G1362">
        <v>2.95</v>
      </c>
      <c r="H1362" t="s">
        <v>8</v>
      </c>
    </row>
    <row r="1363" spans="1:8" x14ac:dyDescent="0.25">
      <c r="A1363">
        <v>1362</v>
      </c>
      <c r="B1363">
        <v>9.6999999999999993</v>
      </c>
      <c r="C1363">
        <v>0.5</v>
      </c>
      <c r="D1363">
        <v>8.9</v>
      </c>
      <c r="E1363">
        <v>1.3</v>
      </c>
      <c r="F1363">
        <v>3.6</v>
      </c>
      <c r="G1363">
        <v>3.53</v>
      </c>
      <c r="H1363" t="s">
        <v>10</v>
      </c>
    </row>
    <row r="1364" spans="1:8" x14ac:dyDescent="0.25">
      <c r="A1364">
        <v>1363</v>
      </c>
      <c r="B1364">
        <v>9.6999999999999993</v>
      </c>
      <c r="C1364">
        <v>2.9</v>
      </c>
      <c r="D1364">
        <v>8.8000000000000007</v>
      </c>
      <c r="E1364">
        <v>0.6</v>
      </c>
      <c r="F1364">
        <v>2</v>
      </c>
      <c r="G1364">
        <v>3.87</v>
      </c>
      <c r="H1364" t="s">
        <v>10</v>
      </c>
    </row>
    <row r="1365" spans="1:8" x14ac:dyDescent="0.25">
      <c r="A1365">
        <v>1364</v>
      </c>
      <c r="B1365">
        <v>8.8000000000000007</v>
      </c>
      <c r="C1365">
        <v>0.4</v>
      </c>
      <c r="D1365">
        <v>9.8000000000000007</v>
      </c>
      <c r="E1365">
        <v>4.5</v>
      </c>
      <c r="F1365">
        <v>0.5</v>
      </c>
      <c r="G1365">
        <v>3.12</v>
      </c>
      <c r="H1365" t="s">
        <v>10</v>
      </c>
    </row>
    <row r="1366" spans="1:8" x14ac:dyDescent="0.25">
      <c r="A1366">
        <v>1365</v>
      </c>
      <c r="B1366">
        <v>6.4</v>
      </c>
      <c r="C1366">
        <v>3.3</v>
      </c>
      <c r="D1366">
        <v>7.6</v>
      </c>
      <c r="E1366">
        <v>2.8</v>
      </c>
      <c r="F1366">
        <v>3.9</v>
      </c>
      <c r="G1366">
        <v>3.11</v>
      </c>
      <c r="H1366" t="s">
        <v>8</v>
      </c>
    </row>
    <row r="1367" spans="1:8" x14ac:dyDescent="0.25">
      <c r="A1367">
        <v>1366</v>
      </c>
      <c r="B1367">
        <v>8.6</v>
      </c>
      <c r="C1367">
        <v>1.6</v>
      </c>
      <c r="D1367">
        <v>8.1</v>
      </c>
      <c r="E1367">
        <v>4</v>
      </c>
      <c r="F1367">
        <v>1.7</v>
      </c>
      <c r="G1367">
        <v>2.94</v>
      </c>
      <c r="H1367" t="s">
        <v>10</v>
      </c>
    </row>
    <row r="1368" spans="1:8" x14ac:dyDescent="0.25">
      <c r="A1368">
        <v>1367</v>
      </c>
      <c r="B1368">
        <v>8.6</v>
      </c>
      <c r="C1368">
        <v>0.2</v>
      </c>
      <c r="D1368">
        <v>9.3000000000000007</v>
      </c>
      <c r="E1368">
        <v>2.7</v>
      </c>
      <c r="F1368">
        <v>3.2</v>
      </c>
      <c r="G1368">
        <v>3.11</v>
      </c>
      <c r="H1368" t="s">
        <v>10</v>
      </c>
    </row>
    <row r="1369" spans="1:8" x14ac:dyDescent="0.25">
      <c r="A1369">
        <v>1368</v>
      </c>
      <c r="B1369">
        <v>7.4</v>
      </c>
      <c r="C1369">
        <v>3.5</v>
      </c>
      <c r="D1369">
        <v>6.9</v>
      </c>
      <c r="E1369">
        <v>4.5</v>
      </c>
      <c r="F1369">
        <v>1.7</v>
      </c>
      <c r="G1369">
        <v>2.95</v>
      </c>
      <c r="H1369" t="s">
        <v>8</v>
      </c>
    </row>
    <row r="1370" spans="1:8" x14ac:dyDescent="0.25">
      <c r="A1370">
        <v>1369</v>
      </c>
      <c r="B1370">
        <v>5.5</v>
      </c>
      <c r="C1370">
        <v>1.9</v>
      </c>
      <c r="D1370">
        <v>10</v>
      </c>
      <c r="E1370">
        <v>4.5999999999999996</v>
      </c>
      <c r="F1370">
        <v>2</v>
      </c>
      <c r="G1370">
        <v>2.83</v>
      </c>
      <c r="H1370" t="s">
        <v>9</v>
      </c>
    </row>
    <row r="1371" spans="1:8" x14ac:dyDescent="0.25">
      <c r="A1371">
        <v>1370</v>
      </c>
      <c r="B1371">
        <v>6.2</v>
      </c>
      <c r="C1371">
        <v>1.6</v>
      </c>
      <c r="D1371">
        <v>8.9</v>
      </c>
      <c r="E1371">
        <v>4.5999999999999996</v>
      </c>
      <c r="F1371">
        <v>2.7</v>
      </c>
      <c r="G1371">
        <v>2.63</v>
      </c>
      <c r="H1371" t="s">
        <v>8</v>
      </c>
    </row>
    <row r="1372" spans="1:8" x14ac:dyDescent="0.25">
      <c r="A1372">
        <v>1371</v>
      </c>
      <c r="B1372">
        <v>6.1</v>
      </c>
      <c r="C1372">
        <v>3.7</v>
      </c>
      <c r="D1372">
        <v>8</v>
      </c>
      <c r="E1372">
        <v>2.2999999999999998</v>
      </c>
      <c r="F1372">
        <v>3.9</v>
      </c>
      <c r="G1372">
        <v>3.41</v>
      </c>
      <c r="H1372" t="s">
        <v>8</v>
      </c>
    </row>
    <row r="1373" spans="1:8" x14ac:dyDescent="0.25">
      <c r="A1373">
        <v>1372</v>
      </c>
      <c r="B1373">
        <v>7.8</v>
      </c>
      <c r="C1373">
        <v>1.9</v>
      </c>
      <c r="D1373">
        <v>7.5</v>
      </c>
      <c r="E1373">
        <v>1.1000000000000001</v>
      </c>
      <c r="F1373">
        <v>5.7</v>
      </c>
      <c r="G1373">
        <v>3.18</v>
      </c>
      <c r="H1373" t="s">
        <v>8</v>
      </c>
    </row>
    <row r="1374" spans="1:8" x14ac:dyDescent="0.25">
      <c r="A1374">
        <v>1373</v>
      </c>
      <c r="B1374">
        <v>9.1</v>
      </c>
      <c r="C1374">
        <v>2.2000000000000002</v>
      </c>
      <c r="D1374">
        <v>5.7</v>
      </c>
      <c r="E1374">
        <v>4.5999999999999996</v>
      </c>
      <c r="F1374">
        <v>2.4</v>
      </c>
      <c r="G1374">
        <v>3.17</v>
      </c>
      <c r="H1374" t="s">
        <v>10</v>
      </c>
    </row>
    <row r="1375" spans="1:8" x14ac:dyDescent="0.25">
      <c r="A1375">
        <v>1374</v>
      </c>
      <c r="B1375">
        <v>7.6</v>
      </c>
      <c r="C1375">
        <v>0.5</v>
      </c>
      <c r="D1375">
        <v>9.6999999999999993</v>
      </c>
      <c r="E1375">
        <v>1.1000000000000001</v>
      </c>
      <c r="F1375">
        <v>5.0999999999999996</v>
      </c>
      <c r="G1375">
        <v>3.07</v>
      </c>
      <c r="H1375" t="s">
        <v>8</v>
      </c>
    </row>
    <row r="1376" spans="1:8" x14ac:dyDescent="0.25">
      <c r="A1376">
        <v>1375</v>
      </c>
      <c r="B1376">
        <v>6.3</v>
      </c>
      <c r="C1376">
        <v>1.6</v>
      </c>
      <c r="D1376">
        <v>6.9</v>
      </c>
      <c r="E1376">
        <v>4.8</v>
      </c>
      <c r="F1376">
        <v>4.4000000000000004</v>
      </c>
      <c r="G1376">
        <v>2.69</v>
      </c>
      <c r="H1376" t="s">
        <v>8</v>
      </c>
    </row>
    <row r="1377" spans="1:8" x14ac:dyDescent="0.25">
      <c r="A1377">
        <v>1376</v>
      </c>
      <c r="B1377">
        <v>6.3</v>
      </c>
      <c r="C1377">
        <v>2</v>
      </c>
      <c r="D1377">
        <v>5.7</v>
      </c>
      <c r="E1377">
        <v>3.7</v>
      </c>
      <c r="F1377">
        <v>6.3</v>
      </c>
      <c r="G1377">
        <v>2.91</v>
      </c>
      <c r="H1377" t="s">
        <v>10</v>
      </c>
    </row>
    <row r="1378" spans="1:8" x14ac:dyDescent="0.25">
      <c r="A1378">
        <v>1377</v>
      </c>
      <c r="B1378">
        <v>7.8</v>
      </c>
      <c r="C1378">
        <v>2.9</v>
      </c>
      <c r="D1378">
        <v>9.6999999999999993</v>
      </c>
      <c r="E1378">
        <v>3.3</v>
      </c>
      <c r="F1378">
        <v>0.3</v>
      </c>
      <c r="G1378">
        <v>3.09</v>
      </c>
      <c r="H1378" t="s">
        <v>8</v>
      </c>
    </row>
    <row r="1379" spans="1:8" x14ac:dyDescent="0.25">
      <c r="A1379">
        <v>1378</v>
      </c>
      <c r="B1379">
        <v>9.5</v>
      </c>
      <c r="C1379">
        <v>3.9</v>
      </c>
      <c r="D1379">
        <v>9.3000000000000007</v>
      </c>
      <c r="E1379">
        <v>0.1</v>
      </c>
      <c r="F1379">
        <v>1.2</v>
      </c>
      <c r="G1379">
        <v>3.28</v>
      </c>
      <c r="H1379" t="s">
        <v>10</v>
      </c>
    </row>
    <row r="1380" spans="1:8" x14ac:dyDescent="0.25">
      <c r="A1380">
        <v>1379</v>
      </c>
      <c r="B1380">
        <v>9.6999999999999993</v>
      </c>
      <c r="C1380">
        <v>1.7</v>
      </c>
      <c r="D1380">
        <v>5</v>
      </c>
      <c r="E1380">
        <v>2.7</v>
      </c>
      <c r="F1380">
        <v>4.9000000000000004</v>
      </c>
      <c r="G1380">
        <v>3.47</v>
      </c>
      <c r="H1380" t="s">
        <v>10</v>
      </c>
    </row>
    <row r="1381" spans="1:8" x14ac:dyDescent="0.25">
      <c r="A1381">
        <v>1380</v>
      </c>
      <c r="B1381">
        <v>6.7</v>
      </c>
      <c r="C1381">
        <v>1.9</v>
      </c>
      <c r="D1381">
        <v>8.1</v>
      </c>
      <c r="E1381">
        <v>5.2</v>
      </c>
      <c r="F1381">
        <v>2.1</v>
      </c>
      <c r="G1381">
        <v>2.88</v>
      </c>
      <c r="H1381" t="s">
        <v>8</v>
      </c>
    </row>
    <row r="1382" spans="1:8" x14ac:dyDescent="0.25">
      <c r="A1382">
        <v>1381</v>
      </c>
      <c r="B1382">
        <v>8.3000000000000007</v>
      </c>
      <c r="C1382">
        <v>1.7</v>
      </c>
      <c r="D1382">
        <v>9.1</v>
      </c>
      <c r="E1382">
        <v>4.4000000000000004</v>
      </c>
      <c r="F1382">
        <v>0.5</v>
      </c>
      <c r="G1382">
        <v>3.26</v>
      </c>
      <c r="H1382" t="s">
        <v>10</v>
      </c>
    </row>
    <row r="1383" spans="1:8" x14ac:dyDescent="0.25">
      <c r="A1383">
        <v>1382</v>
      </c>
      <c r="B1383">
        <v>6.4</v>
      </c>
      <c r="C1383">
        <v>0.2</v>
      </c>
      <c r="D1383">
        <v>8.3000000000000007</v>
      </c>
      <c r="E1383">
        <v>5.2</v>
      </c>
      <c r="F1383">
        <v>3.9</v>
      </c>
      <c r="G1383">
        <v>2.75</v>
      </c>
      <c r="H1383" t="s">
        <v>8</v>
      </c>
    </row>
    <row r="1384" spans="1:8" x14ac:dyDescent="0.25">
      <c r="A1384">
        <v>1383</v>
      </c>
      <c r="B1384">
        <v>5.8</v>
      </c>
      <c r="C1384">
        <v>3.2</v>
      </c>
      <c r="D1384">
        <v>9.3000000000000007</v>
      </c>
      <c r="E1384">
        <v>5.2</v>
      </c>
      <c r="F1384">
        <v>0.5</v>
      </c>
      <c r="G1384">
        <v>2.96</v>
      </c>
      <c r="H1384" t="s">
        <v>9</v>
      </c>
    </row>
    <row r="1385" spans="1:8" x14ac:dyDescent="0.25">
      <c r="A1385">
        <v>1384</v>
      </c>
      <c r="B1385">
        <v>6.6</v>
      </c>
      <c r="C1385">
        <v>2.2000000000000002</v>
      </c>
      <c r="D1385">
        <v>5.3</v>
      </c>
      <c r="E1385">
        <v>0.3</v>
      </c>
      <c r="F1385">
        <v>9.6</v>
      </c>
      <c r="G1385">
        <v>2.94</v>
      </c>
      <c r="H1385" t="s">
        <v>10</v>
      </c>
    </row>
    <row r="1386" spans="1:8" x14ac:dyDescent="0.25">
      <c r="A1386">
        <v>1385</v>
      </c>
      <c r="B1386">
        <v>8.6</v>
      </c>
      <c r="C1386">
        <v>1.8</v>
      </c>
      <c r="D1386">
        <v>6.3</v>
      </c>
      <c r="E1386">
        <v>1.1000000000000001</v>
      </c>
      <c r="F1386">
        <v>6.2</v>
      </c>
      <c r="G1386">
        <v>3.2</v>
      </c>
      <c r="H1386" t="s">
        <v>10</v>
      </c>
    </row>
    <row r="1387" spans="1:8" x14ac:dyDescent="0.25">
      <c r="A1387">
        <v>1386</v>
      </c>
      <c r="B1387">
        <v>7.4</v>
      </c>
      <c r="C1387">
        <v>1.4</v>
      </c>
      <c r="D1387">
        <v>6.6</v>
      </c>
      <c r="E1387">
        <v>5.8</v>
      </c>
      <c r="F1387">
        <v>2.8</v>
      </c>
      <c r="G1387">
        <v>2.87</v>
      </c>
      <c r="H1387" t="s">
        <v>8</v>
      </c>
    </row>
    <row r="1388" spans="1:8" x14ac:dyDescent="0.25">
      <c r="A1388">
        <v>1387</v>
      </c>
      <c r="B1388">
        <v>8.1999999999999993</v>
      </c>
      <c r="C1388">
        <v>0.1</v>
      </c>
      <c r="D1388">
        <v>7.2</v>
      </c>
      <c r="E1388">
        <v>5.3</v>
      </c>
      <c r="F1388">
        <v>3.2</v>
      </c>
      <c r="G1388">
        <v>3.12</v>
      </c>
      <c r="H1388" t="s">
        <v>10</v>
      </c>
    </row>
    <row r="1389" spans="1:8" x14ac:dyDescent="0.25">
      <c r="A1389">
        <v>1388</v>
      </c>
      <c r="B1389">
        <v>8.8000000000000007</v>
      </c>
      <c r="C1389">
        <v>2.4</v>
      </c>
      <c r="D1389">
        <v>7.9</v>
      </c>
      <c r="E1389">
        <v>0.3</v>
      </c>
      <c r="F1389">
        <v>4.5999999999999996</v>
      </c>
      <c r="G1389">
        <v>3.26</v>
      </c>
      <c r="H1389" t="s">
        <v>10</v>
      </c>
    </row>
    <row r="1390" spans="1:8" x14ac:dyDescent="0.25">
      <c r="A1390">
        <v>1389</v>
      </c>
      <c r="B1390">
        <v>5.7</v>
      </c>
      <c r="C1390">
        <v>2.5</v>
      </c>
      <c r="D1390">
        <v>6</v>
      </c>
      <c r="E1390">
        <v>3</v>
      </c>
      <c r="F1390">
        <v>6.8</v>
      </c>
      <c r="G1390">
        <v>2.5</v>
      </c>
      <c r="H1390" t="s">
        <v>9</v>
      </c>
    </row>
    <row r="1391" spans="1:8" x14ac:dyDescent="0.25">
      <c r="A1391">
        <v>1390</v>
      </c>
      <c r="B1391">
        <v>9.6999999999999993</v>
      </c>
      <c r="C1391">
        <v>3.4</v>
      </c>
      <c r="D1391">
        <v>8.6</v>
      </c>
      <c r="E1391">
        <v>0.2</v>
      </c>
      <c r="F1391">
        <v>2.1</v>
      </c>
      <c r="G1391">
        <v>3.53</v>
      </c>
      <c r="H1391" t="s">
        <v>10</v>
      </c>
    </row>
    <row r="1392" spans="1:8" x14ac:dyDescent="0.25">
      <c r="A1392">
        <v>1391</v>
      </c>
      <c r="B1392">
        <v>5.5</v>
      </c>
      <c r="C1392">
        <v>2</v>
      </c>
      <c r="D1392">
        <v>5.8</v>
      </c>
      <c r="E1392">
        <v>5.9</v>
      </c>
      <c r="F1392">
        <v>4.8</v>
      </c>
      <c r="G1392">
        <v>2.82</v>
      </c>
      <c r="H1392" t="s">
        <v>10</v>
      </c>
    </row>
    <row r="1393" spans="1:8" x14ac:dyDescent="0.25">
      <c r="A1393">
        <v>1392</v>
      </c>
      <c r="B1393">
        <v>6.8</v>
      </c>
      <c r="C1393">
        <v>2.6</v>
      </c>
      <c r="D1393">
        <v>5.6</v>
      </c>
      <c r="E1393">
        <v>2.6</v>
      </c>
      <c r="F1393">
        <v>6.4</v>
      </c>
      <c r="G1393">
        <v>2.77</v>
      </c>
      <c r="H1393" t="s">
        <v>10</v>
      </c>
    </row>
    <row r="1394" spans="1:8" x14ac:dyDescent="0.25">
      <c r="A1394">
        <v>1393</v>
      </c>
      <c r="B1394">
        <v>6.4</v>
      </c>
      <c r="C1394">
        <v>3.6</v>
      </c>
      <c r="D1394">
        <v>5.2</v>
      </c>
      <c r="E1394">
        <v>5.5</v>
      </c>
      <c r="F1394">
        <v>3.3</v>
      </c>
      <c r="G1394">
        <v>2.86</v>
      </c>
      <c r="H1394" t="s">
        <v>10</v>
      </c>
    </row>
    <row r="1395" spans="1:8" x14ac:dyDescent="0.25">
      <c r="A1395">
        <v>1394</v>
      </c>
      <c r="B1395">
        <v>8.9</v>
      </c>
      <c r="C1395">
        <v>0.1</v>
      </c>
      <c r="D1395">
        <v>9.8000000000000007</v>
      </c>
      <c r="E1395">
        <v>2.7</v>
      </c>
      <c r="F1395">
        <v>2.5</v>
      </c>
      <c r="G1395">
        <v>3.51</v>
      </c>
      <c r="H1395" t="s">
        <v>10</v>
      </c>
    </row>
    <row r="1396" spans="1:8" x14ac:dyDescent="0.25">
      <c r="A1396">
        <v>1395</v>
      </c>
      <c r="B1396">
        <v>6.5</v>
      </c>
      <c r="C1396">
        <v>1.5</v>
      </c>
      <c r="D1396">
        <v>5.3</v>
      </c>
      <c r="E1396">
        <v>5.9</v>
      </c>
      <c r="F1396">
        <v>4.8</v>
      </c>
      <c r="G1396">
        <v>3</v>
      </c>
      <c r="H1396" t="s">
        <v>10</v>
      </c>
    </row>
    <row r="1397" spans="1:8" x14ac:dyDescent="0.25">
      <c r="A1397">
        <v>1396</v>
      </c>
      <c r="B1397">
        <v>7.2</v>
      </c>
      <c r="C1397">
        <v>3.8</v>
      </c>
      <c r="D1397">
        <v>6.2</v>
      </c>
      <c r="E1397">
        <v>3.2</v>
      </c>
      <c r="F1397">
        <v>3.6</v>
      </c>
      <c r="G1397">
        <v>3.02</v>
      </c>
      <c r="H1397" t="s">
        <v>8</v>
      </c>
    </row>
    <row r="1398" spans="1:8" x14ac:dyDescent="0.25">
      <c r="A1398">
        <v>1397</v>
      </c>
      <c r="B1398">
        <v>7.4</v>
      </c>
      <c r="C1398">
        <v>2.8</v>
      </c>
      <c r="D1398">
        <v>5.3</v>
      </c>
      <c r="E1398">
        <v>1.2</v>
      </c>
      <c r="F1398">
        <v>7.3</v>
      </c>
      <c r="G1398">
        <v>3.25</v>
      </c>
      <c r="H1398" t="s">
        <v>10</v>
      </c>
    </row>
    <row r="1399" spans="1:8" x14ac:dyDescent="0.25">
      <c r="A1399">
        <v>1398</v>
      </c>
      <c r="B1399">
        <v>5.9</v>
      </c>
      <c r="C1399">
        <v>2.2999999999999998</v>
      </c>
      <c r="D1399">
        <v>6.1</v>
      </c>
      <c r="E1399">
        <v>5.2</v>
      </c>
      <c r="F1399">
        <v>4.5</v>
      </c>
      <c r="G1399">
        <v>2.72</v>
      </c>
      <c r="H1399" t="s">
        <v>9</v>
      </c>
    </row>
    <row r="1400" spans="1:8" x14ac:dyDescent="0.25">
      <c r="A1400">
        <v>1399</v>
      </c>
      <c r="B1400">
        <v>9.6999999999999993</v>
      </c>
      <c r="C1400">
        <v>2.1</v>
      </c>
      <c r="D1400">
        <v>6.8</v>
      </c>
      <c r="E1400">
        <v>1.3</v>
      </c>
      <c r="F1400">
        <v>4.0999999999999996</v>
      </c>
      <c r="G1400">
        <v>3.55</v>
      </c>
      <c r="H1400" t="s">
        <v>10</v>
      </c>
    </row>
    <row r="1401" spans="1:8" x14ac:dyDescent="0.25">
      <c r="A1401">
        <v>1400</v>
      </c>
      <c r="B1401">
        <v>9.6999999999999993</v>
      </c>
      <c r="C1401">
        <v>1.6</v>
      </c>
      <c r="D1401">
        <v>8.5</v>
      </c>
      <c r="E1401">
        <v>2.1</v>
      </c>
      <c r="F1401">
        <v>2.1</v>
      </c>
      <c r="G1401">
        <v>3.87</v>
      </c>
      <c r="H1401" t="s">
        <v>10</v>
      </c>
    </row>
    <row r="1402" spans="1:8" x14ac:dyDescent="0.25">
      <c r="A1402">
        <v>1401</v>
      </c>
      <c r="B1402">
        <v>7.6</v>
      </c>
      <c r="C1402">
        <v>1.1000000000000001</v>
      </c>
      <c r="D1402">
        <v>7.3</v>
      </c>
      <c r="E1402">
        <v>2.8</v>
      </c>
      <c r="F1402">
        <v>5.2</v>
      </c>
      <c r="G1402">
        <v>3.2</v>
      </c>
      <c r="H1402" t="s">
        <v>8</v>
      </c>
    </row>
    <row r="1403" spans="1:8" x14ac:dyDescent="0.25">
      <c r="A1403">
        <v>1402</v>
      </c>
      <c r="B1403">
        <v>6.6</v>
      </c>
      <c r="C1403">
        <v>0.2</v>
      </c>
      <c r="D1403">
        <v>7.5</v>
      </c>
      <c r="E1403">
        <v>3.3</v>
      </c>
      <c r="F1403">
        <v>6.4</v>
      </c>
      <c r="G1403">
        <v>3.02</v>
      </c>
      <c r="H1403" t="s">
        <v>8</v>
      </c>
    </row>
    <row r="1404" spans="1:8" x14ac:dyDescent="0.25">
      <c r="A1404">
        <v>1403</v>
      </c>
      <c r="B1404">
        <v>5.8</v>
      </c>
      <c r="C1404">
        <v>3</v>
      </c>
      <c r="D1404">
        <v>9.9</v>
      </c>
      <c r="E1404">
        <v>5</v>
      </c>
      <c r="F1404">
        <v>0.3</v>
      </c>
      <c r="G1404">
        <v>2.93</v>
      </c>
      <c r="H1404" t="s">
        <v>9</v>
      </c>
    </row>
    <row r="1405" spans="1:8" x14ac:dyDescent="0.25">
      <c r="A1405">
        <v>1404</v>
      </c>
      <c r="B1405">
        <v>8.5</v>
      </c>
      <c r="C1405">
        <v>1.8</v>
      </c>
      <c r="D1405">
        <v>7.7</v>
      </c>
      <c r="E1405">
        <v>5.0999999999999996</v>
      </c>
      <c r="F1405">
        <v>0.9</v>
      </c>
      <c r="G1405">
        <v>3.23</v>
      </c>
      <c r="H1405" t="s">
        <v>10</v>
      </c>
    </row>
    <row r="1406" spans="1:8" x14ac:dyDescent="0.25">
      <c r="A1406">
        <v>1405</v>
      </c>
      <c r="B1406">
        <v>7.4</v>
      </c>
      <c r="C1406">
        <v>1.5</v>
      </c>
      <c r="D1406">
        <v>7.5</v>
      </c>
      <c r="E1406">
        <v>3.5</v>
      </c>
      <c r="F1406">
        <v>4.0999999999999996</v>
      </c>
      <c r="G1406">
        <v>3.33</v>
      </c>
      <c r="H1406" t="s">
        <v>8</v>
      </c>
    </row>
    <row r="1407" spans="1:8" x14ac:dyDescent="0.25">
      <c r="A1407">
        <v>1406</v>
      </c>
      <c r="B1407">
        <v>5.5</v>
      </c>
      <c r="C1407">
        <v>2.4</v>
      </c>
      <c r="D1407">
        <v>5.6</v>
      </c>
      <c r="E1407">
        <v>0.5</v>
      </c>
      <c r="F1407">
        <v>10</v>
      </c>
      <c r="G1407">
        <v>3.11</v>
      </c>
      <c r="H1407" t="s">
        <v>10</v>
      </c>
    </row>
    <row r="1408" spans="1:8" x14ac:dyDescent="0.25">
      <c r="A1408">
        <v>1407</v>
      </c>
      <c r="B1408">
        <v>7.6</v>
      </c>
      <c r="C1408">
        <v>1.6</v>
      </c>
      <c r="D1408">
        <v>7.9</v>
      </c>
      <c r="E1408">
        <v>0.5</v>
      </c>
      <c r="F1408">
        <v>6.4</v>
      </c>
      <c r="G1408">
        <v>2.89</v>
      </c>
      <c r="H1408" t="s">
        <v>8</v>
      </c>
    </row>
    <row r="1409" spans="1:8" x14ac:dyDescent="0.25">
      <c r="A1409">
        <v>1408</v>
      </c>
      <c r="B1409">
        <v>9.9</v>
      </c>
      <c r="C1409">
        <v>2.2000000000000002</v>
      </c>
      <c r="D1409">
        <v>8.4</v>
      </c>
      <c r="E1409">
        <v>1.1000000000000001</v>
      </c>
      <c r="F1409">
        <v>2.4</v>
      </c>
      <c r="G1409">
        <v>3.43</v>
      </c>
      <c r="H1409" t="s">
        <v>10</v>
      </c>
    </row>
    <row r="1410" spans="1:8" x14ac:dyDescent="0.25">
      <c r="A1410">
        <v>1409</v>
      </c>
      <c r="B1410">
        <v>5.5</v>
      </c>
      <c r="C1410">
        <v>3.9</v>
      </c>
      <c r="D1410">
        <v>6.4</v>
      </c>
      <c r="E1410">
        <v>2.5</v>
      </c>
      <c r="F1410">
        <v>5.7</v>
      </c>
      <c r="G1410">
        <v>2.8</v>
      </c>
      <c r="H1410" t="s">
        <v>9</v>
      </c>
    </row>
    <row r="1411" spans="1:8" x14ac:dyDescent="0.25">
      <c r="A1411">
        <v>1410</v>
      </c>
      <c r="B1411">
        <v>9.1</v>
      </c>
      <c r="C1411">
        <v>2.1</v>
      </c>
      <c r="D1411">
        <v>6.4</v>
      </c>
      <c r="E1411">
        <v>0.4</v>
      </c>
      <c r="F1411">
        <v>6</v>
      </c>
      <c r="G1411">
        <v>3.37</v>
      </c>
      <c r="H1411" t="s">
        <v>10</v>
      </c>
    </row>
    <row r="1412" spans="1:8" x14ac:dyDescent="0.25">
      <c r="A1412">
        <v>1411</v>
      </c>
      <c r="B1412">
        <v>5.8</v>
      </c>
      <c r="C1412">
        <v>3.6</v>
      </c>
      <c r="D1412">
        <v>8.4</v>
      </c>
      <c r="E1412">
        <v>1.5</v>
      </c>
      <c r="F1412">
        <v>4.7</v>
      </c>
      <c r="G1412">
        <v>2.91</v>
      </c>
      <c r="H1412" t="s">
        <v>9</v>
      </c>
    </row>
    <row r="1413" spans="1:8" x14ac:dyDescent="0.25">
      <c r="A1413">
        <v>1412</v>
      </c>
      <c r="B1413">
        <v>7.9</v>
      </c>
      <c r="C1413">
        <v>1.6</v>
      </c>
      <c r="D1413">
        <v>6.8</v>
      </c>
      <c r="E1413">
        <v>1.3</v>
      </c>
      <c r="F1413">
        <v>6.4</v>
      </c>
      <c r="G1413">
        <v>3.1</v>
      </c>
      <c r="H1413" t="s">
        <v>8</v>
      </c>
    </row>
    <row r="1414" spans="1:8" x14ac:dyDescent="0.25">
      <c r="A1414">
        <v>1413</v>
      </c>
      <c r="B1414">
        <v>8.3000000000000007</v>
      </c>
      <c r="C1414">
        <v>3.9</v>
      </c>
      <c r="D1414">
        <v>5.9</v>
      </c>
      <c r="E1414">
        <v>3.5</v>
      </c>
      <c r="F1414">
        <v>2.4</v>
      </c>
      <c r="G1414">
        <v>2.95</v>
      </c>
      <c r="H1414" t="s">
        <v>10</v>
      </c>
    </row>
    <row r="1415" spans="1:8" x14ac:dyDescent="0.25">
      <c r="A1415">
        <v>1414</v>
      </c>
      <c r="B1415">
        <v>6.3</v>
      </c>
      <c r="C1415">
        <v>3.3</v>
      </c>
      <c r="D1415">
        <v>7.4</v>
      </c>
      <c r="E1415">
        <v>3.3</v>
      </c>
      <c r="F1415">
        <v>3.7</v>
      </c>
      <c r="G1415">
        <v>2.52</v>
      </c>
      <c r="H1415" t="s">
        <v>8</v>
      </c>
    </row>
    <row r="1416" spans="1:8" x14ac:dyDescent="0.25">
      <c r="A1416">
        <v>1415</v>
      </c>
      <c r="B1416">
        <v>6.5</v>
      </c>
      <c r="C1416">
        <v>0.7</v>
      </c>
      <c r="D1416">
        <v>5.4</v>
      </c>
      <c r="E1416">
        <v>4.3</v>
      </c>
      <c r="F1416">
        <v>7.1</v>
      </c>
      <c r="G1416">
        <v>3.1</v>
      </c>
      <c r="H1416" t="s">
        <v>10</v>
      </c>
    </row>
    <row r="1417" spans="1:8" x14ac:dyDescent="0.25">
      <c r="A1417">
        <v>1416</v>
      </c>
      <c r="B1417">
        <v>7</v>
      </c>
      <c r="C1417">
        <v>1.7</v>
      </c>
      <c r="D1417">
        <v>7.3</v>
      </c>
      <c r="E1417">
        <v>2.2000000000000002</v>
      </c>
      <c r="F1417">
        <v>5.8</v>
      </c>
      <c r="G1417">
        <v>2.85</v>
      </c>
      <c r="H1417" t="s">
        <v>8</v>
      </c>
    </row>
    <row r="1418" spans="1:8" x14ac:dyDescent="0.25">
      <c r="A1418">
        <v>1417</v>
      </c>
      <c r="B1418">
        <v>5.5</v>
      </c>
      <c r="C1418">
        <v>1.2</v>
      </c>
      <c r="D1418">
        <v>8.3000000000000007</v>
      </c>
      <c r="E1418">
        <v>4</v>
      </c>
      <c r="F1418">
        <v>5</v>
      </c>
      <c r="G1418">
        <v>2.76</v>
      </c>
      <c r="H1418" t="s">
        <v>9</v>
      </c>
    </row>
    <row r="1419" spans="1:8" x14ac:dyDescent="0.25">
      <c r="A1419">
        <v>1418</v>
      </c>
      <c r="B1419">
        <v>6</v>
      </c>
      <c r="C1419">
        <v>0.8</v>
      </c>
      <c r="D1419">
        <v>5.0999999999999996</v>
      </c>
      <c r="E1419">
        <v>5.4</v>
      </c>
      <c r="F1419">
        <v>6.7</v>
      </c>
      <c r="G1419">
        <v>2.54</v>
      </c>
      <c r="H1419" t="s">
        <v>10</v>
      </c>
    </row>
    <row r="1420" spans="1:8" x14ac:dyDescent="0.25">
      <c r="A1420">
        <v>1419</v>
      </c>
      <c r="B1420">
        <v>6.1</v>
      </c>
      <c r="C1420">
        <v>0.9</v>
      </c>
      <c r="D1420">
        <v>6.4</v>
      </c>
      <c r="E1420">
        <v>0.8</v>
      </c>
      <c r="F1420">
        <v>9.8000000000000007</v>
      </c>
      <c r="G1420">
        <v>2.79</v>
      </c>
      <c r="H1420" t="s">
        <v>8</v>
      </c>
    </row>
    <row r="1421" spans="1:8" x14ac:dyDescent="0.25">
      <c r="A1421">
        <v>1420</v>
      </c>
      <c r="B1421">
        <v>5.7</v>
      </c>
      <c r="C1421">
        <v>2.6</v>
      </c>
      <c r="D1421">
        <v>6.7</v>
      </c>
      <c r="E1421">
        <v>4.2</v>
      </c>
      <c r="F1421">
        <v>4.8</v>
      </c>
      <c r="G1421">
        <v>2.9</v>
      </c>
      <c r="H1421" t="s">
        <v>9</v>
      </c>
    </row>
    <row r="1422" spans="1:8" x14ac:dyDescent="0.25">
      <c r="A1422">
        <v>1421</v>
      </c>
      <c r="B1422">
        <v>7.8</v>
      </c>
      <c r="C1422">
        <v>1</v>
      </c>
      <c r="D1422">
        <v>8.3000000000000007</v>
      </c>
      <c r="E1422">
        <v>0.7</v>
      </c>
      <c r="F1422">
        <v>6.2</v>
      </c>
      <c r="G1422">
        <v>2.69</v>
      </c>
      <c r="H1422" t="s">
        <v>8</v>
      </c>
    </row>
    <row r="1423" spans="1:8" x14ac:dyDescent="0.25">
      <c r="A1423">
        <v>1422</v>
      </c>
      <c r="B1423">
        <v>6.3</v>
      </c>
      <c r="C1423">
        <v>2.4</v>
      </c>
      <c r="D1423">
        <v>9.4</v>
      </c>
      <c r="E1423">
        <v>5.9</v>
      </c>
      <c r="F1423">
        <v>0</v>
      </c>
      <c r="G1423">
        <v>3.22</v>
      </c>
      <c r="H1423" t="s">
        <v>8</v>
      </c>
    </row>
    <row r="1424" spans="1:8" x14ac:dyDescent="0.25">
      <c r="A1424">
        <v>1423</v>
      </c>
      <c r="B1424">
        <v>8</v>
      </c>
      <c r="C1424">
        <v>1.6</v>
      </c>
      <c r="D1424">
        <v>6.1</v>
      </c>
      <c r="E1424">
        <v>1.5</v>
      </c>
      <c r="F1424">
        <v>6.8</v>
      </c>
      <c r="G1424">
        <v>2.75</v>
      </c>
      <c r="H1424" t="s">
        <v>8</v>
      </c>
    </row>
    <row r="1425" spans="1:8" x14ac:dyDescent="0.25">
      <c r="A1425">
        <v>1424</v>
      </c>
      <c r="B1425">
        <v>9.6</v>
      </c>
      <c r="C1425">
        <v>1.5</v>
      </c>
      <c r="D1425">
        <v>6.9</v>
      </c>
      <c r="E1425">
        <v>2.2999999999999998</v>
      </c>
      <c r="F1425">
        <v>3.7</v>
      </c>
      <c r="G1425">
        <v>3.37</v>
      </c>
      <c r="H1425" t="s">
        <v>10</v>
      </c>
    </row>
    <row r="1426" spans="1:8" x14ac:dyDescent="0.25">
      <c r="A1426">
        <v>1425</v>
      </c>
      <c r="B1426">
        <v>9.1999999999999993</v>
      </c>
      <c r="C1426">
        <v>2.6</v>
      </c>
      <c r="D1426">
        <v>8.1</v>
      </c>
      <c r="E1426">
        <v>1.4</v>
      </c>
      <c r="F1426">
        <v>2.7</v>
      </c>
      <c r="G1426">
        <v>3.39</v>
      </c>
      <c r="H1426" t="s">
        <v>10</v>
      </c>
    </row>
    <row r="1427" spans="1:8" x14ac:dyDescent="0.25">
      <c r="A1427">
        <v>1426</v>
      </c>
      <c r="B1427">
        <v>7</v>
      </c>
      <c r="C1427">
        <v>2</v>
      </c>
      <c r="D1427">
        <v>8.3000000000000007</v>
      </c>
      <c r="E1427">
        <v>0.1</v>
      </c>
      <c r="F1427">
        <v>6.6</v>
      </c>
      <c r="G1427">
        <v>3.27</v>
      </c>
      <c r="H1427" t="s">
        <v>8</v>
      </c>
    </row>
    <row r="1428" spans="1:8" x14ac:dyDescent="0.25">
      <c r="A1428">
        <v>1427</v>
      </c>
      <c r="B1428">
        <v>9.4</v>
      </c>
      <c r="C1428">
        <v>1.8</v>
      </c>
      <c r="D1428">
        <v>6.7</v>
      </c>
      <c r="E1428">
        <v>0.8</v>
      </c>
      <c r="F1428">
        <v>5.3</v>
      </c>
      <c r="G1428">
        <v>3.37</v>
      </c>
      <c r="H1428" t="s">
        <v>10</v>
      </c>
    </row>
    <row r="1429" spans="1:8" x14ac:dyDescent="0.25">
      <c r="A1429">
        <v>1428</v>
      </c>
      <c r="B1429">
        <v>7</v>
      </c>
      <c r="C1429">
        <v>2.7</v>
      </c>
      <c r="D1429">
        <v>7.1</v>
      </c>
      <c r="E1429">
        <v>5.8</v>
      </c>
      <c r="F1429">
        <v>1.4</v>
      </c>
      <c r="G1429">
        <v>2.4700000000000002</v>
      </c>
      <c r="H1429" t="s">
        <v>8</v>
      </c>
    </row>
    <row r="1430" spans="1:8" x14ac:dyDescent="0.25">
      <c r="A1430">
        <v>1429</v>
      </c>
      <c r="B1430">
        <v>8</v>
      </c>
      <c r="C1430">
        <v>3.2</v>
      </c>
      <c r="D1430">
        <v>5.5</v>
      </c>
      <c r="E1430">
        <v>2.4</v>
      </c>
      <c r="F1430">
        <v>4.9000000000000004</v>
      </c>
      <c r="G1430">
        <v>3.36</v>
      </c>
      <c r="H1430" t="s">
        <v>10</v>
      </c>
    </row>
    <row r="1431" spans="1:8" x14ac:dyDescent="0.25">
      <c r="A1431">
        <v>1430</v>
      </c>
      <c r="B1431">
        <v>9.3000000000000007</v>
      </c>
      <c r="C1431">
        <v>0.3</v>
      </c>
      <c r="D1431">
        <v>5.4</v>
      </c>
      <c r="E1431">
        <v>5.0999999999999996</v>
      </c>
      <c r="F1431">
        <v>3.9</v>
      </c>
      <c r="G1431">
        <v>3.02</v>
      </c>
      <c r="H1431" t="s">
        <v>10</v>
      </c>
    </row>
    <row r="1432" spans="1:8" x14ac:dyDescent="0.25">
      <c r="A1432">
        <v>1431</v>
      </c>
      <c r="B1432">
        <v>6.1</v>
      </c>
      <c r="C1432">
        <v>2.7</v>
      </c>
      <c r="D1432">
        <v>7.7</v>
      </c>
      <c r="E1432">
        <v>5</v>
      </c>
      <c r="F1432">
        <v>2.5</v>
      </c>
      <c r="G1432">
        <v>3.04</v>
      </c>
      <c r="H1432" t="s">
        <v>8</v>
      </c>
    </row>
    <row r="1433" spans="1:8" x14ac:dyDescent="0.25">
      <c r="A1433">
        <v>1432</v>
      </c>
      <c r="B1433">
        <v>7.1</v>
      </c>
      <c r="C1433">
        <v>1.3</v>
      </c>
      <c r="D1433">
        <v>8</v>
      </c>
      <c r="E1433">
        <v>5.6</v>
      </c>
      <c r="F1433">
        <v>2</v>
      </c>
      <c r="G1433">
        <v>3.08</v>
      </c>
      <c r="H1433" t="s">
        <v>8</v>
      </c>
    </row>
    <row r="1434" spans="1:8" x14ac:dyDescent="0.25">
      <c r="A1434">
        <v>1433</v>
      </c>
      <c r="B1434">
        <v>9.1999999999999993</v>
      </c>
      <c r="C1434">
        <v>4</v>
      </c>
      <c r="D1434">
        <v>5.0999999999999996</v>
      </c>
      <c r="E1434">
        <v>0.6</v>
      </c>
      <c r="F1434">
        <v>5.0999999999999996</v>
      </c>
      <c r="G1434">
        <v>3.62</v>
      </c>
      <c r="H1434" t="s">
        <v>10</v>
      </c>
    </row>
    <row r="1435" spans="1:8" x14ac:dyDescent="0.25">
      <c r="A1435">
        <v>1434</v>
      </c>
      <c r="B1435">
        <v>6.4</v>
      </c>
      <c r="C1435">
        <v>1</v>
      </c>
      <c r="D1435">
        <v>8.9</v>
      </c>
      <c r="E1435">
        <v>0.3</v>
      </c>
      <c r="F1435">
        <v>7.4</v>
      </c>
      <c r="G1435">
        <v>3.04</v>
      </c>
      <c r="H1435" t="s">
        <v>8</v>
      </c>
    </row>
    <row r="1436" spans="1:8" x14ac:dyDescent="0.25">
      <c r="A1436">
        <v>1435</v>
      </c>
      <c r="B1436">
        <v>6.8</v>
      </c>
      <c r="C1436">
        <v>2</v>
      </c>
      <c r="D1436">
        <v>7.8</v>
      </c>
      <c r="E1436">
        <v>4.4000000000000004</v>
      </c>
      <c r="F1436">
        <v>3</v>
      </c>
      <c r="G1436">
        <v>3.27</v>
      </c>
      <c r="H1436" t="s">
        <v>8</v>
      </c>
    </row>
    <row r="1437" spans="1:8" x14ac:dyDescent="0.25">
      <c r="A1437">
        <v>1436</v>
      </c>
      <c r="B1437">
        <v>7.9</v>
      </c>
      <c r="C1437">
        <v>2.2000000000000002</v>
      </c>
      <c r="D1437">
        <v>8.1999999999999993</v>
      </c>
      <c r="E1437">
        <v>1.5</v>
      </c>
      <c r="F1437">
        <v>4.2</v>
      </c>
      <c r="G1437">
        <v>2.87</v>
      </c>
      <c r="H1437" t="s">
        <v>8</v>
      </c>
    </row>
    <row r="1438" spans="1:8" x14ac:dyDescent="0.25">
      <c r="A1438">
        <v>1437</v>
      </c>
      <c r="B1438">
        <v>5.4</v>
      </c>
      <c r="C1438">
        <v>0.5</v>
      </c>
      <c r="D1438">
        <v>6.1</v>
      </c>
      <c r="E1438">
        <v>3</v>
      </c>
      <c r="F1438">
        <v>9</v>
      </c>
      <c r="G1438">
        <v>2.91</v>
      </c>
      <c r="H1438" t="s">
        <v>9</v>
      </c>
    </row>
    <row r="1439" spans="1:8" x14ac:dyDescent="0.25">
      <c r="A1439">
        <v>1438</v>
      </c>
      <c r="B1439">
        <v>8.9</v>
      </c>
      <c r="C1439">
        <v>1.4</v>
      </c>
      <c r="D1439">
        <v>7</v>
      </c>
      <c r="E1439">
        <v>2.4</v>
      </c>
      <c r="F1439">
        <v>4.3</v>
      </c>
      <c r="G1439">
        <v>3.5</v>
      </c>
      <c r="H1439" t="s">
        <v>10</v>
      </c>
    </row>
    <row r="1440" spans="1:8" x14ac:dyDescent="0.25">
      <c r="A1440">
        <v>1439</v>
      </c>
      <c r="B1440">
        <v>6</v>
      </c>
      <c r="C1440">
        <v>0.2</v>
      </c>
      <c r="D1440">
        <v>8</v>
      </c>
      <c r="E1440">
        <v>5.9</v>
      </c>
      <c r="F1440">
        <v>3.9</v>
      </c>
      <c r="G1440">
        <v>2.76</v>
      </c>
      <c r="H1440" t="s">
        <v>8</v>
      </c>
    </row>
    <row r="1441" spans="1:8" x14ac:dyDescent="0.25">
      <c r="A1441">
        <v>1440</v>
      </c>
      <c r="B1441">
        <v>9.1</v>
      </c>
      <c r="C1441">
        <v>2.8</v>
      </c>
      <c r="D1441">
        <v>9.6999999999999993</v>
      </c>
      <c r="E1441">
        <v>1</v>
      </c>
      <c r="F1441">
        <v>1.4</v>
      </c>
      <c r="G1441">
        <v>3.53</v>
      </c>
      <c r="H1441" t="s">
        <v>10</v>
      </c>
    </row>
    <row r="1442" spans="1:8" x14ac:dyDescent="0.25">
      <c r="A1442">
        <v>1441</v>
      </c>
      <c r="B1442">
        <v>8.3000000000000007</v>
      </c>
      <c r="C1442">
        <v>1.9</v>
      </c>
      <c r="D1442">
        <v>8.1999999999999993</v>
      </c>
      <c r="E1442">
        <v>2.5</v>
      </c>
      <c r="F1442">
        <v>3.1</v>
      </c>
      <c r="G1442">
        <v>3.25</v>
      </c>
      <c r="H1442" t="s">
        <v>10</v>
      </c>
    </row>
    <row r="1443" spans="1:8" x14ac:dyDescent="0.25">
      <c r="A1443">
        <v>1442</v>
      </c>
      <c r="B1443">
        <v>7.6</v>
      </c>
      <c r="C1443">
        <v>3.2</v>
      </c>
      <c r="D1443">
        <v>8.6999999999999993</v>
      </c>
      <c r="E1443">
        <v>3</v>
      </c>
      <c r="F1443">
        <v>1.5</v>
      </c>
      <c r="G1443">
        <v>2.86</v>
      </c>
      <c r="H1443" t="s">
        <v>8</v>
      </c>
    </row>
    <row r="1444" spans="1:8" x14ac:dyDescent="0.25">
      <c r="A1444">
        <v>1443</v>
      </c>
      <c r="B1444">
        <v>5.6</v>
      </c>
      <c r="C1444">
        <v>2.9</v>
      </c>
      <c r="D1444">
        <v>7.5</v>
      </c>
      <c r="E1444">
        <v>5.4</v>
      </c>
      <c r="F1444">
        <v>2.6</v>
      </c>
      <c r="G1444">
        <v>2.98</v>
      </c>
      <c r="H1444" t="s">
        <v>9</v>
      </c>
    </row>
    <row r="1445" spans="1:8" x14ac:dyDescent="0.25">
      <c r="A1445">
        <v>1444</v>
      </c>
      <c r="B1445">
        <v>5.7</v>
      </c>
      <c r="C1445">
        <v>3</v>
      </c>
      <c r="D1445">
        <v>5</v>
      </c>
      <c r="E1445">
        <v>1</v>
      </c>
      <c r="F1445">
        <v>9.3000000000000007</v>
      </c>
      <c r="G1445">
        <v>2.42</v>
      </c>
      <c r="H1445" t="s">
        <v>10</v>
      </c>
    </row>
    <row r="1446" spans="1:8" x14ac:dyDescent="0.25">
      <c r="A1446">
        <v>1445</v>
      </c>
      <c r="B1446">
        <v>7.9</v>
      </c>
      <c r="C1446">
        <v>2.9</v>
      </c>
      <c r="D1446">
        <v>9.6</v>
      </c>
      <c r="E1446">
        <v>2.5</v>
      </c>
      <c r="F1446">
        <v>1.1000000000000001</v>
      </c>
      <c r="G1446">
        <v>2.99</v>
      </c>
      <c r="H1446" t="s">
        <v>8</v>
      </c>
    </row>
    <row r="1447" spans="1:8" x14ac:dyDescent="0.25">
      <c r="A1447">
        <v>1446</v>
      </c>
      <c r="B1447">
        <v>5</v>
      </c>
      <c r="C1447">
        <v>0.5</v>
      </c>
      <c r="D1447">
        <v>7.7</v>
      </c>
      <c r="E1447">
        <v>4.0999999999999996</v>
      </c>
      <c r="F1447">
        <v>6.7</v>
      </c>
      <c r="G1447">
        <v>3.07</v>
      </c>
      <c r="H1447" t="s">
        <v>9</v>
      </c>
    </row>
    <row r="1448" spans="1:8" x14ac:dyDescent="0.25">
      <c r="A1448">
        <v>1447</v>
      </c>
      <c r="B1448">
        <v>7.1</v>
      </c>
      <c r="C1448">
        <v>2.9</v>
      </c>
      <c r="D1448">
        <v>7.6</v>
      </c>
      <c r="E1448">
        <v>0.4</v>
      </c>
      <c r="F1448">
        <v>6</v>
      </c>
      <c r="G1448">
        <v>3.15</v>
      </c>
      <c r="H1448" t="s">
        <v>8</v>
      </c>
    </row>
    <row r="1449" spans="1:8" x14ac:dyDescent="0.25">
      <c r="A1449">
        <v>1448</v>
      </c>
      <c r="B1449">
        <v>8.6</v>
      </c>
      <c r="C1449">
        <v>3.6</v>
      </c>
      <c r="D1449">
        <v>5.6</v>
      </c>
      <c r="E1449">
        <v>5.9</v>
      </c>
      <c r="F1449">
        <v>0.3</v>
      </c>
      <c r="G1449">
        <v>3.21</v>
      </c>
      <c r="H1449" t="s">
        <v>10</v>
      </c>
    </row>
    <row r="1450" spans="1:8" x14ac:dyDescent="0.25">
      <c r="A1450">
        <v>1449</v>
      </c>
      <c r="B1450">
        <v>6</v>
      </c>
      <c r="C1450">
        <v>0</v>
      </c>
      <c r="D1450">
        <v>10</v>
      </c>
      <c r="E1450">
        <v>1.7</v>
      </c>
      <c r="F1450">
        <v>6.3</v>
      </c>
      <c r="G1450">
        <v>2.7</v>
      </c>
      <c r="H1450" t="s">
        <v>8</v>
      </c>
    </row>
    <row r="1451" spans="1:8" x14ac:dyDescent="0.25">
      <c r="A1451">
        <v>1450</v>
      </c>
      <c r="B1451">
        <v>7.9</v>
      </c>
      <c r="C1451">
        <v>3.6</v>
      </c>
      <c r="D1451">
        <v>6.6</v>
      </c>
      <c r="E1451">
        <v>4</v>
      </c>
      <c r="F1451">
        <v>1.9</v>
      </c>
      <c r="G1451">
        <v>3.29</v>
      </c>
      <c r="H1451" t="s">
        <v>8</v>
      </c>
    </row>
    <row r="1452" spans="1:8" x14ac:dyDescent="0.25">
      <c r="A1452">
        <v>1451</v>
      </c>
      <c r="B1452">
        <v>5.9</v>
      </c>
      <c r="C1452">
        <v>2.5</v>
      </c>
      <c r="D1452">
        <v>6.7</v>
      </c>
      <c r="E1452">
        <v>1.3</v>
      </c>
      <c r="F1452">
        <v>7.6</v>
      </c>
      <c r="G1452">
        <v>2.7</v>
      </c>
      <c r="H1452" t="s">
        <v>9</v>
      </c>
    </row>
    <row r="1453" spans="1:8" x14ac:dyDescent="0.25">
      <c r="A1453">
        <v>1452</v>
      </c>
      <c r="B1453">
        <v>9.5</v>
      </c>
      <c r="C1453">
        <v>1.6</v>
      </c>
      <c r="D1453">
        <v>6.2</v>
      </c>
      <c r="E1453">
        <v>2.7</v>
      </c>
      <c r="F1453">
        <v>4</v>
      </c>
      <c r="G1453">
        <v>3.32</v>
      </c>
      <c r="H1453" t="s">
        <v>10</v>
      </c>
    </row>
    <row r="1454" spans="1:8" x14ac:dyDescent="0.25">
      <c r="A1454">
        <v>1453</v>
      </c>
      <c r="B1454">
        <v>6.6</v>
      </c>
      <c r="C1454">
        <v>3</v>
      </c>
      <c r="D1454">
        <v>9.9</v>
      </c>
      <c r="E1454">
        <v>2</v>
      </c>
      <c r="F1454">
        <v>2.5</v>
      </c>
      <c r="G1454">
        <v>3.03</v>
      </c>
      <c r="H1454" t="s">
        <v>8</v>
      </c>
    </row>
    <row r="1455" spans="1:8" x14ac:dyDescent="0.25">
      <c r="A1455">
        <v>1454</v>
      </c>
      <c r="B1455">
        <v>5.8</v>
      </c>
      <c r="C1455">
        <v>2.8</v>
      </c>
      <c r="D1455">
        <v>7.6</v>
      </c>
      <c r="E1455">
        <v>3.9</v>
      </c>
      <c r="F1455">
        <v>3.9</v>
      </c>
      <c r="G1455">
        <v>3.09</v>
      </c>
      <c r="H1455" t="s">
        <v>9</v>
      </c>
    </row>
    <row r="1456" spans="1:8" x14ac:dyDescent="0.25">
      <c r="A1456">
        <v>1455</v>
      </c>
      <c r="B1456">
        <v>9.4</v>
      </c>
      <c r="C1456">
        <v>1.8</v>
      </c>
      <c r="D1456">
        <v>9.5</v>
      </c>
      <c r="E1456">
        <v>2.5</v>
      </c>
      <c r="F1456">
        <v>0.8</v>
      </c>
      <c r="G1456">
        <v>3.91</v>
      </c>
      <c r="H1456" t="s">
        <v>10</v>
      </c>
    </row>
    <row r="1457" spans="1:8" x14ac:dyDescent="0.25">
      <c r="A1457">
        <v>1456</v>
      </c>
      <c r="B1457">
        <v>6.6</v>
      </c>
      <c r="C1457">
        <v>3.9</v>
      </c>
      <c r="D1457">
        <v>8.3000000000000007</v>
      </c>
      <c r="E1457">
        <v>0.2</v>
      </c>
      <c r="F1457">
        <v>5</v>
      </c>
      <c r="G1457">
        <v>2.93</v>
      </c>
      <c r="H1457" t="s">
        <v>8</v>
      </c>
    </row>
    <row r="1458" spans="1:8" x14ac:dyDescent="0.25">
      <c r="A1458">
        <v>1457</v>
      </c>
      <c r="B1458">
        <v>6.6</v>
      </c>
      <c r="C1458">
        <v>2.5</v>
      </c>
      <c r="D1458">
        <v>5.3</v>
      </c>
      <c r="E1458">
        <v>0.1</v>
      </c>
      <c r="F1458">
        <v>9.5</v>
      </c>
      <c r="G1458">
        <v>2.6</v>
      </c>
      <c r="H1458" t="s">
        <v>10</v>
      </c>
    </row>
    <row r="1459" spans="1:8" x14ac:dyDescent="0.25">
      <c r="A1459">
        <v>1458</v>
      </c>
      <c r="B1459">
        <v>7.2</v>
      </c>
      <c r="C1459">
        <v>1.1000000000000001</v>
      </c>
      <c r="D1459">
        <v>5.8</v>
      </c>
      <c r="E1459">
        <v>4.0999999999999996</v>
      </c>
      <c r="F1459">
        <v>5.8</v>
      </c>
      <c r="G1459">
        <v>2.96</v>
      </c>
      <c r="H1459" t="s">
        <v>10</v>
      </c>
    </row>
    <row r="1460" spans="1:8" x14ac:dyDescent="0.25">
      <c r="A1460">
        <v>1459</v>
      </c>
      <c r="B1460">
        <v>7.6</v>
      </c>
      <c r="C1460">
        <v>0.8</v>
      </c>
      <c r="D1460">
        <v>6.6</v>
      </c>
      <c r="E1460">
        <v>3.6</v>
      </c>
      <c r="F1460">
        <v>5.4</v>
      </c>
      <c r="G1460">
        <v>3.3</v>
      </c>
      <c r="H1460" t="s">
        <v>8</v>
      </c>
    </row>
    <row r="1461" spans="1:8" x14ac:dyDescent="0.25">
      <c r="A1461">
        <v>1460</v>
      </c>
      <c r="B1461">
        <v>8.6</v>
      </c>
      <c r="C1461">
        <v>2.7</v>
      </c>
      <c r="D1461">
        <v>7.4</v>
      </c>
      <c r="E1461">
        <v>3.4</v>
      </c>
      <c r="F1461">
        <v>1.9</v>
      </c>
      <c r="G1461">
        <v>3.45</v>
      </c>
      <c r="H1461" t="s">
        <v>10</v>
      </c>
    </row>
    <row r="1462" spans="1:8" x14ac:dyDescent="0.25">
      <c r="A1462">
        <v>1461</v>
      </c>
      <c r="B1462">
        <v>5.2</v>
      </c>
      <c r="C1462">
        <v>2.5</v>
      </c>
      <c r="D1462">
        <v>8.9</v>
      </c>
      <c r="E1462">
        <v>3</v>
      </c>
      <c r="F1462">
        <v>4.4000000000000004</v>
      </c>
      <c r="G1462">
        <v>2.5099999999999998</v>
      </c>
      <c r="H1462" t="s">
        <v>9</v>
      </c>
    </row>
    <row r="1463" spans="1:8" x14ac:dyDescent="0.25">
      <c r="A1463">
        <v>1462</v>
      </c>
      <c r="B1463">
        <v>8.1999999999999993</v>
      </c>
      <c r="C1463">
        <v>2.8</v>
      </c>
      <c r="D1463">
        <v>9.4</v>
      </c>
      <c r="E1463">
        <v>1.2</v>
      </c>
      <c r="F1463">
        <v>2.4</v>
      </c>
      <c r="G1463">
        <v>3.06</v>
      </c>
      <c r="H1463" t="s">
        <v>10</v>
      </c>
    </row>
    <row r="1464" spans="1:8" x14ac:dyDescent="0.25">
      <c r="A1464">
        <v>1463</v>
      </c>
      <c r="B1464">
        <v>8.8000000000000007</v>
      </c>
      <c r="C1464">
        <v>2.2000000000000002</v>
      </c>
      <c r="D1464">
        <v>9.4</v>
      </c>
      <c r="E1464">
        <v>1.9</v>
      </c>
      <c r="F1464">
        <v>1.7</v>
      </c>
      <c r="G1464">
        <v>3.85</v>
      </c>
      <c r="H1464" t="s">
        <v>10</v>
      </c>
    </row>
    <row r="1465" spans="1:8" x14ac:dyDescent="0.25">
      <c r="A1465">
        <v>1464</v>
      </c>
      <c r="B1465">
        <v>8.6999999999999993</v>
      </c>
      <c r="C1465">
        <v>3.9</v>
      </c>
      <c r="D1465">
        <v>5.4</v>
      </c>
      <c r="E1465">
        <v>0.3</v>
      </c>
      <c r="F1465">
        <v>5.7</v>
      </c>
      <c r="G1465">
        <v>3.42</v>
      </c>
      <c r="H1465" t="s">
        <v>10</v>
      </c>
    </row>
    <row r="1466" spans="1:8" x14ac:dyDescent="0.25">
      <c r="A1466">
        <v>1465</v>
      </c>
      <c r="B1466">
        <v>9.6999999999999993</v>
      </c>
      <c r="C1466">
        <v>2.1</v>
      </c>
      <c r="D1466">
        <v>8.1</v>
      </c>
      <c r="E1466">
        <v>2</v>
      </c>
      <c r="F1466">
        <v>2.1</v>
      </c>
      <c r="G1466">
        <v>3.49</v>
      </c>
      <c r="H1466" t="s">
        <v>10</v>
      </c>
    </row>
    <row r="1467" spans="1:8" x14ac:dyDescent="0.25">
      <c r="A1467">
        <v>1466</v>
      </c>
      <c r="B1467">
        <v>8.6999999999999993</v>
      </c>
      <c r="C1467">
        <v>1.2</v>
      </c>
      <c r="D1467">
        <v>6.5</v>
      </c>
      <c r="E1467">
        <v>5</v>
      </c>
      <c r="F1467">
        <v>2.6</v>
      </c>
      <c r="G1467">
        <v>3.25</v>
      </c>
      <c r="H1467" t="s">
        <v>10</v>
      </c>
    </row>
    <row r="1468" spans="1:8" x14ac:dyDescent="0.25">
      <c r="A1468">
        <v>1467</v>
      </c>
      <c r="B1468">
        <v>5.4</v>
      </c>
      <c r="C1468">
        <v>3.5</v>
      </c>
      <c r="D1468">
        <v>6.3</v>
      </c>
      <c r="E1468">
        <v>3.6</v>
      </c>
      <c r="F1468">
        <v>5.2</v>
      </c>
      <c r="G1468">
        <v>2.85</v>
      </c>
      <c r="H1468" t="s">
        <v>9</v>
      </c>
    </row>
    <row r="1469" spans="1:8" x14ac:dyDescent="0.25">
      <c r="A1469">
        <v>1468</v>
      </c>
      <c r="B1469">
        <v>7.1</v>
      </c>
      <c r="C1469">
        <v>2.8</v>
      </c>
      <c r="D1469">
        <v>6.7</v>
      </c>
      <c r="E1469">
        <v>1.7</v>
      </c>
      <c r="F1469">
        <v>5.7</v>
      </c>
      <c r="G1469">
        <v>3.16</v>
      </c>
      <c r="H1469" t="s">
        <v>8</v>
      </c>
    </row>
    <row r="1470" spans="1:8" x14ac:dyDescent="0.25">
      <c r="A1470">
        <v>1469</v>
      </c>
      <c r="B1470">
        <v>10</v>
      </c>
      <c r="C1470">
        <v>3</v>
      </c>
      <c r="D1470">
        <v>8.1999999999999993</v>
      </c>
      <c r="E1470">
        <v>1</v>
      </c>
      <c r="F1470">
        <v>1.8</v>
      </c>
      <c r="G1470">
        <v>3.81</v>
      </c>
      <c r="H1470" t="s">
        <v>10</v>
      </c>
    </row>
    <row r="1471" spans="1:8" x14ac:dyDescent="0.25">
      <c r="A1471">
        <v>1470</v>
      </c>
      <c r="B1471">
        <v>7.7</v>
      </c>
      <c r="C1471">
        <v>3.4</v>
      </c>
      <c r="D1471">
        <v>5.2</v>
      </c>
      <c r="E1471">
        <v>2.2000000000000002</v>
      </c>
      <c r="F1471">
        <v>5.5</v>
      </c>
      <c r="G1471">
        <v>3.22</v>
      </c>
      <c r="H1471" t="s">
        <v>10</v>
      </c>
    </row>
    <row r="1472" spans="1:8" x14ac:dyDescent="0.25">
      <c r="A1472">
        <v>1471</v>
      </c>
      <c r="B1472">
        <v>6.2</v>
      </c>
      <c r="C1472">
        <v>1.8</v>
      </c>
      <c r="D1472">
        <v>5.4</v>
      </c>
      <c r="E1472">
        <v>5.7</v>
      </c>
      <c r="F1472">
        <v>4.9000000000000004</v>
      </c>
      <c r="G1472">
        <v>2.98</v>
      </c>
      <c r="H1472" t="s">
        <v>10</v>
      </c>
    </row>
    <row r="1473" spans="1:8" x14ac:dyDescent="0.25">
      <c r="A1473">
        <v>1472</v>
      </c>
      <c r="B1473">
        <v>7.8</v>
      </c>
      <c r="C1473">
        <v>3.7</v>
      </c>
      <c r="D1473">
        <v>5</v>
      </c>
      <c r="E1473">
        <v>4.5</v>
      </c>
      <c r="F1473">
        <v>3</v>
      </c>
      <c r="G1473">
        <v>3.16</v>
      </c>
      <c r="H1473" t="s">
        <v>10</v>
      </c>
    </row>
    <row r="1474" spans="1:8" x14ac:dyDescent="0.25">
      <c r="A1474">
        <v>1473</v>
      </c>
      <c r="B1474">
        <v>9.5</v>
      </c>
      <c r="C1474">
        <v>0.6</v>
      </c>
      <c r="D1474">
        <v>5.5</v>
      </c>
      <c r="E1474">
        <v>2.5</v>
      </c>
      <c r="F1474">
        <v>5.9</v>
      </c>
      <c r="G1474">
        <v>3.44</v>
      </c>
      <c r="H1474" t="s">
        <v>10</v>
      </c>
    </row>
    <row r="1475" spans="1:8" x14ac:dyDescent="0.25">
      <c r="A1475">
        <v>1474</v>
      </c>
      <c r="B1475">
        <v>7.6</v>
      </c>
      <c r="C1475">
        <v>0.6</v>
      </c>
      <c r="D1475">
        <v>5</v>
      </c>
      <c r="E1475">
        <v>4.9000000000000004</v>
      </c>
      <c r="F1475">
        <v>5.9</v>
      </c>
      <c r="G1475">
        <v>3.29</v>
      </c>
      <c r="H1475" t="s">
        <v>10</v>
      </c>
    </row>
    <row r="1476" spans="1:8" x14ac:dyDescent="0.25">
      <c r="A1476">
        <v>1475</v>
      </c>
      <c r="B1476">
        <v>5.4</v>
      </c>
      <c r="C1476">
        <v>2.5</v>
      </c>
      <c r="D1476">
        <v>9.6</v>
      </c>
      <c r="E1476">
        <v>1.3</v>
      </c>
      <c r="F1476">
        <v>5.2</v>
      </c>
      <c r="G1476">
        <v>2.69</v>
      </c>
      <c r="H1476" t="s">
        <v>9</v>
      </c>
    </row>
    <row r="1477" spans="1:8" x14ac:dyDescent="0.25">
      <c r="A1477">
        <v>1476</v>
      </c>
      <c r="B1477">
        <v>8</v>
      </c>
      <c r="C1477">
        <v>0.7</v>
      </c>
      <c r="D1477">
        <v>8.6999999999999993</v>
      </c>
      <c r="E1477">
        <v>1.8</v>
      </c>
      <c r="F1477">
        <v>4.8</v>
      </c>
      <c r="G1477">
        <v>3.25</v>
      </c>
      <c r="H1477" t="s">
        <v>8</v>
      </c>
    </row>
    <row r="1478" spans="1:8" x14ac:dyDescent="0.25">
      <c r="A1478">
        <v>1477</v>
      </c>
      <c r="B1478">
        <v>7.3</v>
      </c>
      <c r="C1478">
        <v>2.4</v>
      </c>
      <c r="D1478">
        <v>5.9</v>
      </c>
      <c r="E1478">
        <v>4.4000000000000004</v>
      </c>
      <c r="F1478">
        <v>4</v>
      </c>
      <c r="G1478">
        <v>3.3</v>
      </c>
      <c r="H1478" t="s">
        <v>10</v>
      </c>
    </row>
    <row r="1479" spans="1:8" x14ac:dyDescent="0.25">
      <c r="A1479">
        <v>1478</v>
      </c>
      <c r="B1479">
        <v>5.8</v>
      </c>
      <c r="C1479">
        <v>2.8</v>
      </c>
      <c r="D1479">
        <v>5.6</v>
      </c>
      <c r="E1479">
        <v>2.6</v>
      </c>
      <c r="F1479">
        <v>7.2</v>
      </c>
      <c r="G1479">
        <v>2.62</v>
      </c>
      <c r="H1479" t="s">
        <v>10</v>
      </c>
    </row>
    <row r="1480" spans="1:8" x14ac:dyDescent="0.25">
      <c r="A1480">
        <v>1479</v>
      </c>
      <c r="B1480">
        <v>6.2</v>
      </c>
      <c r="C1480">
        <v>3</v>
      </c>
      <c r="D1480">
        <v>6.3</v>
      </c>
      <c r="E1480">
        <v>5.3</v>
      </c>
      <c r="F1480">
        <v>3.2</v>
      </c>
      <c r="G1480">
        <v>2.91</v>
      </c>
      <c r="H1480" t="s">
        <v>8</v>
      </c>
    </row>
    <row r="1481" spans="1:8" x14ac:dyDescent="0.25">
      <c r="A1481">
        <v>1480</v>
      </c>
      <c r="B1481">
        <v>8.1</v>
      </c>
      <c r="C1481">
        <v>0.4</v>
      </c>
      <c r="D1481">
        <v>7</v>
      </c>
      <c r="E1481">
        <v>4.3</v>
      </c>
      <c r="F1481">
        <v>4.2</v>
      </c>
      <c r="G1481">
        <v>3.24</v>
      </c>
      <c r="H1481" t="s">
        <v>10</v>
      </c>
    </row>
    <row r="1482" spans="1:8" x14ac:dyDescent="0.25">
      <c r="A1482">
        <v>1481</v>
      </c>
      <c r="B1482">
        <v>8.3000000000000007</v>
      </c>
      <c r="C1482">
        <v>2.5</v>
      </c>
      <c r="D1482">
        <v>6.4</v>
      </c>
      <c r="E1482">
        <v>2.2999999999999998</v>
      </c>
      <c r="F1482">
        <v>4.5</v>
      </c>
      <c r="G1482">
        <v>3.31</v>
      </c>
      <c r="H1482" t="s">
        <v>10</v>
      </c>
    </row>
    <row r="1483" spans="1:8" x14ac:dyDescent="0.25">
      <c r="A1483">
        <v>1482</v>
      </c>
      <c r="B1483">
        <v>7.5</v>
      </c>
      <c r="C1483">
        <v>2.8</v>
      </c>
      <c r="D1483">
        <v>6.2</v>
      </c>
      <c r="E1483">
        <v>1.9</v>
      </c>
      <c r="F1483">
        <v>5.6</v>
      </c>
      <c r="G1483">
        <v>3.02</v>
      </c>
      <c r="H1483" t="s">
        <v>8</v>
      </c>
    </row>
    <row r="1484" spans="1:8" x14ac:dyDescent="0.25">
      <c r="A1484">
        <v>1483</v>
      </c>
      <c r="B1484">
        <v>6.7</v>
      </c>
      <c r="C1484">
        <v>0.1</v>
      </c>
      <c r="D1484">
        <v>6.7</v>
      </c>
      <c r="E1484">
        <v>4.8</v>
      </c>
      <c r="F1484">
        <v>5.7</v>
      </c>
      <c r="G1484">
        <v>3.01</v>
      </c>
      <c r="H1484" t="s">
        <v>8</v>
      </c>
    </row>
    <row r="1485" spans="1:8" x14ac:dyDescent="0.25">
      <c r="A1485">
        <v>1484</v>
      </c>
      <c r="B1485">
        <v>7.3</v>
      </c>
      <c r="C1485">
        <v>0.1</v>
      </c>
      <c r="D1485">
        <v>9.4</v>
      </c>
      <c r="E1485">
        <v>0.1</v>
      </c>
      <c r="F1485">
        <v>7.1</v>
      </c>
      <c r="G1485">
        <v>3.29</v>
      </c>
      <c r="H1485" t="s">
        <v>8</v>
      </c>
    </row>
    <row r="1486" spans="1:8" x14ac:dyDescent="0.25">
      <c r="A1486">
        <v>1485</v>
      </c>
      <c r="B1486">
        <v>9.6999999999999993</v>
      </c>
      <c r="C1486">
        <v>2</v>
      </c>
      <c r="D1486">
        <v>6.7</v>
      </c>
      <c r="E1486">
        <v>5.2</v>
      </c>
      <c r="F1486">
        <v>0.4</v>
      </c>
      <c r="G1486">
        <v>3.47</v>
      </c>
      <c r="H1486" t="s">
        <v>10</v>
      </c>
    </row>
    <row r="1487" spans="1:8" x14ac:dyDescent="0.25">
      <c r="A1487">
        <v>1486</v>
      </c>
      <c r="B1487">
        <v>7.7</v>
      </c>
      <c r="C1487">
        <v>0.9</v>
      </c>
      <c r="D1487">
        <v>7.1</v>
      </c>
      <c r="E1487">
        <v>3.9</v>
      </c>
      <c r="F1487">
        <v>4.4000000000000004</v>
      </c>
      <c r="G1487">
        <v>3.08</v>
      </c>
      <c r="H1487" t="s">
        <v>8</v>
      </c>
    </row>
    <row r="1488" spans="1:8" x14ac:dyDescent="0.25">
      <c r="A1488">
        <v>1487</v>
      </c>
      <c r="B1488">
        <v>8.6</v>
      </c>
      <c r="C1488">
        <v>0</v>
      </c>
      <c r="D1488">
        <v>9.6999999999999993</v>
      </c>
      <c r="E1488">
        <v>0.9</v>
      </c>
      <c r="F1488">
        <v>4.8</v>
      </c>
      <c r="G1488">
        <v>3.14</v>
      </c>
      <c r="H1488" t="s">
        <v>10</v>
      </c>
    </row>
    <row r="1489" spans="1:8" x14ac:dyDescent="0.25">
      <c r="A1489">
        <v>1488</v>
      </c>
      <c r="B1489">
        <v>5.2</v>
      </c>
      <c r="C1489">
        <v>0.5</v>
      </c>
      <c r="D1489">
        <v>9.9</v>
      </c>
      <c r="E1489">
        <v>1.9</v>
      </c>
      <c r="F1489">
        <v>6.5</v>
      </c>
      <c r="G1489">
        <v>2.61</v>
      </c>
      <c r="H1489" t="s">
        <v>9</v>
      </c>
    </row>
    <row r="1490" spans="1:8" x14ac:dyDescent="0.25">
      <c r="A1490">
        <v>1489</v>
      </c>
      <c r="B1490">
        <v>5.6</v>
      </c>
      <c r="C1490">
        <v>0.4</v>
      </c>
      <c r="D1490">
        <v>8.6</v>
      </c>
      <c r="E1490">
        <v>5.0999999999999996</v>
      </c>
      <c r="F1490">
        <v>4.3</v>
      </c>
      <c r="G1490">
        <v>2.81</v>
      </c>
      <c r="H1490" t="s">
        <v>9</v>
      </c>
    </row>
    <row r="1491" spans="1:8" x14ac:dyDescent="0.25">
      <c r="A1491">
        <v>1490</v>
      </c>
      <c r="B1491">
        <v>6.1</v>
      </c>
      <c r="C1491">
        <v>2.1</v>
      </c>
      <c r="D1491">
        <v>6.3</v>
      </c>
      <c r="E1491">
        <v>5.6</v>
      </c>
      <c r="F1491">
        <v>3.9</v>
      </c>
      <c r="G1491">
        <v>2.73</v>
      </c>
      <c r="H1491" t="s">
        <v>8</v>
      </c>
    </row>
    <row r="1492" spans="1:8" x14ac:dyDescent="0.25">
      <c r="A1492">
        <v>1491</v>
      </c>
      <c r="B1492">
        <v>9.5</v>
      </c>
      <c r="C1492">
        <v>2.2999999999999998</v>
      </c>
      <c r="D1492">
        <v>6.8</v>
      </c>
      <c r="E1492">
        <v>2.1</v>
      </c>
      <c r="F1492">
        <v>3.3</v>
      </c>
      <c r="G1492">
        <v>3.74</v>
      </c>
      <c r="H1492" t="s">
        <v>10</v>
      </c>
    </row>
    <row r="1493" spans="1:8" x14ac:dyDescent="0.25">
      <c r="A1493">
        <v>1492</v>
      </c>
      <c r="B1493">
        <v>7.3</v>
      </c>
      <c r="C1493">
        <v>3.4</v>
      </c>
      <c r="D1493">
        <v>9.6999999999999993</v>
      </c>
      <c r="E1493">
        <v>1.2</v>
      </c>
      <c r="F1493">
        <v>2.4</v>
      </c>
      <c r="G1493">
        <v>2.97</v>
      </c>
      <c r="H1493" t="s">
        <v>8</v>
      </c>
    </row>
    <row r="1494" spans="1:8" x14ac:dyDescent="0.25">
      <c r="A1494">
        <v>1493</v>
      </c>
      <c r="B1494">
        <v>7.8</v>
      </c>
      <c r="C1494">
        <v>0.4</v>
      </c>
      <c r="D1494">
        <v>6</v>
      </c>
      <c r="E1494">
        <v>2.5</v>
      </c>
      <c r="F1494">
        <v>7.3</v>
      </c>
      <c r="G1494">
        <v>3.24</v>
      </c>
      <c r="H1494" t="s">
        <v>8</v>
      </c>
    </row>
    <row r="1495" spans="1:8" x14ac:dyDescent="0.25">
      <c r="A1495">
        <v>1494</v>
      </c>
      <c r="B1495">
        <v>5.8</v>
      </c>
      <c r="C1495">
        <v>1.8</v>
      </c>
      <c r="D1495">
        <v>8</v>
      </c>
      <c r="E1495">
        <v>4.2</v>
      </c>
      <c r="F1495">
        <v>4.2</v>
      </c>
      <c r="G1495">
        <v>2.82</v>
      </c>
      <c r="H1495" t="s">
        <v>9</v>
      </c>
    </row>
    <row r="1496" spans="1:8" x14ac:dyDescent="0.25">
      <c r="A1496">
        <v>1495</v>
      </c>
      <c r="B1496">
        <v>6.9</v>
      </c>
      <c r="C1496">
        <v>3.5</v>
      </c>
      <c r="D1496">
        <v>7.8</v>
      </c>
      <c r="E1496">
        <v>2.5</v>
      </c>
      <c r="F1496">
        <v>3.3</v>
      </c>
      <c r="G1496">
        <v>3.02</v>
      </c>
      <c r="H1496" t="s">
        <v>8</v>
      </c>
    </row>
    <row r="1497" spans="1:8" x14ac:dyDescent="0.25">
      <c r="A1497">
        <v>1496</v>
      </c>
      <c r="B1497">
        <v>9.1</v>
      </c>
      <c r="C1497">
        <v>2.5</v>
      </c>
      <c r="D1497">
        <v>9.1999999999999993</v>
      </c>
      <c r="E1497">
        <v>1.6</v>
      </c>
      <c r="F1497">
        <v>1.6</v>
      </c>
      <c r="G1497">
        <v>3.22</v>
      </c>
      <c r="H1497" t="s">
        <v>10</v>
      </c>
    </row>
    <row r="1498" spans="1:8" x14ac:dyDescent="0.25">
      <c r="A1498">
        <v>1497</v>
      </c>
      <c r="B1498">
        <v>5.6</v>
      </c>
      <c r="C1498">
        <v>0.1</v>
      </c>
      <c r="D1498">
        <v>6.5</v>
      </c>
      <c r="E1498">
        <v>4.2</v>
      </c>
      <c r="F1498">
        <v>7.6</v>
      </c>
      <c r="G1498">
        <v>2.71</v>
      </c>
      <c r="H1498" t="s">
        <v>9</v>
      </c>
    </row>
    <row r="1499" spans="1:8" x14ac:dyDescent="0.25">
      <c r="A1499">
        <v>1498</v>
      </c>
      <c r="B1499">
        <v>7.5</v>
      </c>
      <c r="C1499">
        <v>1.7</v>
      </c>
      <c r="D1499">
        <v>7.1</v>
      </c>
      <c r="E1499">
        <v>1.4</v>
      </c>
      <c r="F1499">
        <v>6.3</v>
      </c>
      <c r="G1499">
        <v>3.32</v>
      </c>
      <c r="H1499" t="s">
        <v>8</v>
      </c>
    </row>
    <row r="1500" spans="1:8" x14ac:dyDescent="0.25">
      <c r="A1500">
        <v>1499</v>
      </c>
      <c r="B1500">
        <v>5.7</v>
      </c>
      <c r="C1500">
        <v>0.8</v>
      </c>
      <c r="D1500">
        <v>5.3</v>
      </c>
      <c r="E1500">
        <v>1.2</v>
      </c>
      <c r="F1500">
        <v>11</v>
      </c>
      <c r="G1500">
        <v>2.74</v>
      </c>
      <c r="H1500" t="s">
        <v>10</v>
      </c>
    </row>
    <row r="1501" spans="1:8" x14ac:dyDescent="0.25">
      <c r="A1501">
        <v>1500</v>
      </c>
      <c r="B1501">
        <v>6.8</v>
      </c>
      <c r="C1501">
        <v>0</v>
      </c>
      <c r="D1501">
        <v>9.1999999999999993</v>
      </c>
      <c r="E1501">
        <v>0.2</v>
      </c>
      <c r="F1501">
        <v>7.8</v>
      </c>
      <c r="G1501">
        <v>2.8</v>
      </c>
      <c r="H1501" t="s">
        <v>8</v>
      </c>
    </row>
    <row r="1502" spans="1:8" x14ac:dyDescent="0.25">
      <c r="A1502">
        <v>1501</v>
      </c>
      <c r="B1502">
        <v>9.6999999999999993</v>
      </c>
      <c r="C1502">
        <v>3.6</v>
      </c>
      <c r="D1502">
        <v>7.7</v>
      </c>
      <c r="E1502">
        <v>1.6</v>
      </c>
      <c r="F1502">
        <v>1.4</v>
      </c>
      <c r="G1502">
        <v>3.22</v>
      </c>
      <c r="H1502" t="s">
        <v>10</v>
      </c>
    </row>
    <row r="1503" spans="1:8" x14ac:dyDescent="0.25">
      <c r="A1503">
        <v>1502</v>
      </c>
      <c r="B1503">
        <v>8.1999999999999993</v>
      </c>
      <c r="C1503">
        <v>0.2</v>
      </c>
      <c r="D1503">
        <v>5.3</v>
      </c>
      <c r="E1503">
        <v>2.7</v>
      </c>
      <c r="F1503">
        <v>7.6</v>
      </c>
      <c r="G1503">
        <v>3.55</v>
      </c>
      <c r="H1503" t="s">
        <v>10</v>
      </c>
    </row>
    <row r="1504" spans="1:8" x14ac:dyDescent="0.25">
      <c r="A1504">
        <v>1503</v>
      </c>
      <c r="B1504">
        <v>7.7</v>
      </c>
      <c r="C1504">
        <v>3.6</v>
      </c>
      <c r="D1504">
        <v>5.5</v>
      </c>
      <c r="E1504">
        <v>4.9000000000000004</v>
      </c>
      <c r="F1504">
        <v>2.2999999999999998</v>
      </c>
      <c r="G1504">
        <v>3.06</v>
      </c>
      <c r="H1504" t="s">
        <v>10</v>
      </c>
    </row>
    <row r="1505" spans="1:8" x14ac:dyDescent="0.25">
      <c r="A1505">
        <v>1504</v>
      </c>
      <c r="B1505">
        <v>6.6</v>
      </c>
      <c r="C1505">
        <v>1.6</v>
      </c>
      <c r="D1505">
        <v>5.8</v>
      </c>
      <c r="E1505">
        <v>3</v>
      </c>
      <c r="F1505">
        <v>7</v>
      </c>
      <c r="G1505">
        <v>2.73</v>
      </c>
      <c r="H1505" t="s">
        <v>10</v>
      </c>
    </row>
    <row r="1506" spans="1:8" x14ac:dyDescent="0.25">
      <c r="A1506">
        <v>1505</v>
      </c>
      <c r="B1506">
        <v>9</v>
      </c>
      <c r="C1506">
        <v>1.8</v>
      </c>
      <c r="D1506">
        <v>7.5</v>
      </c>
      <c r="E1506">
        <v>4.8</v>
      </c>
      <c r="F1506">
        <v>0.9</v>
      </c>
      <c r="G1506">
        <v>3.33</v>
      </c>
      <c r="H1506" t="s">
        <v>10</v>
      </c>
    </row>
    <row r="1507" spans="1:8" x14ac:dyDescent="0.25">
      <c r="A1507">
        <v>1506</v>
      </c>
      <c r="B1507">
        <v>6.3</v>
      </c>
      <c r="C1507">
        <v>3.5</v>
      </c>
      <c r="D1507">
        <v>7.9</v>
      </c>
      <c r="E1507">
        <v>1.3</v>
      </c>
      <c r="F1507">
        <v>5</v>
      </c>
      <c r="G1507">
        <v>3.32</v>
      </c>
      <c r="H1507" t="s">
        <v>8</v>
      </c>
    </row>
    <row r="1508" spans="1:8" x14ac:dyDescent="0.25">
      <c r="A1508">
        <v>1507</v>
      </c>
      <c r="B1508">
        <v>6.3</v>
      </c>
      <c r="C1508">
        <v>3.2</v>
      </c>
      <c r="D1508">
        <v>5.2</v>
      </c>
      <c r="E1508">
        <v>6</v>
      </c>
      <c r="F1508">
        <v>3.3</v>
      </c>
      <c r="G1508">
        <v>3</v>
      </c>
      <c r="H1508" t="s">
        <v>10</v>
      </c>
    </row>
    <row r="1509" spans="1:8" x14ac:dyDescent="0.25">
      <c r="A1509">
        <v>1508</v>
      </c>
      <c r="B1509">
        <v>7</v>
      </c>
      <c r="C1509">
        <v>2</v>
      </c>
      <c r="D1509">
        <v>9.4</v>
      </c>
      <c r="E1509">
        <v>2.2999999999999998</v>
      </c>
      <c r="F1509">
        <v>3.3</v>
      </c>
      <c r="G1509">
        <v>2.98</v>
      </c>
      <c r="H1509" t="s">
        <v>8</v>
      </c>
    </row>
    <row r="1510" spans="1:8" x14ac:dyDescent="0.25">
      <c r="A1510">
        <v>1509</v>
      </c>
      <c r="B1510">
        <v>7.7</v>
      </c>
      <c r="C1510">
        <v>0.2</v>
      </c>
      <c r="D1510">
        <v>5</v>
      </c>
      <c r="E1510">
        <v>1.5</v>
      </c>
      <c r="F1510">
        <v>9.6</v>
      </c>
      <c r="G1510">
        <v>3</v>
      </c>
      <c r="H1510" t="s">
        <v>10</v>
      </c>
    </row>
    <row r="1511" spans="1:8" x14ac:dyDescent="0.25">
      <c r="A1511">
        <v>1510</v>
      </c>
      <c r="B1511">
        <v>5.6</v>
      </c>
      <c r="C1511">
        <v>1.6</v>
      </c>
      <c r="D1511">
        <v>8.1999999999999993</v>
      </c>
      <c r="E1511">
        <v>4.3</v>
      </c>
      <c r="F1511">
        <v>4.3</v>
      </c>
      <c r="G1511">
        <v>2.91</v>
      </c>
      <c r="H1511" t="s">
        <v>9</v>
      </c>
    </row>
    <row r="1512" spans="1:8" x14ac:dyDescent="0.25">
      <c r="A1512">
        <v>1511</v>
      </c>
      <c r="B1512">
        <v>5.9</v>
      </c>
      <c r="C1512">
        <v>0.3</v>
      </c>
      <c r="D1512">
        <v>9.6999999999999993</v>
      </c>
      <c r="E1512">
        <v>1.6</v>
      </c>
      <c r="F1512">
        <v>6.5</v>
      </c>
      <c r="G1512">
        <v>2.76</v>
      </c>
      <c r="H1512" t="s">
        <v>9</v>
      </c>
    </row>
    <row r="1513" spans="1:8" x14ac:dyDescent="0.25">
      <c r="A1513">
        <v>1512</v>
      </c>
      <c r="B1513">
        <v>9.1</v>
      </c>
      <c r="C1513">
        <v>3.1</v>
      </c>
      <c r="D1513">
        <v>8</v>
      </c>
      <c r="E1513">
        <v>1.3</v>
      </c>
      <c r="F1513">
        <v>2.5</v>
      </c>
      <c r="G1513">
        <v>3.46</v>
      </c>
      <c r="H1513" t="s">
        <v>10</v>
      </c>
    </row>
    <row r="1514" spans="1:8" x14ac:dyDescent="0.25">
      <c r="A1514">
        <v>1513</v>
      </c>
      <c r="B1514">
        <v>6.3</v>
      </c>
      <c r="C1514">
        <v>0.5</v>
      </c>
      <c r="D1514">
        <v>7.5</v>
      </c>
      <c r="E1514">
        <v>3.5</v>
      </c>
      <c r="F1514">
        <v>6.2</v>
      </c>
      <c r="G1514">
        <v>2.87</v>
      </c>
      <c r="H1514" t="s">
        <v>8</v>
      </c>
    </row>
    <row r="1515" spans="1:8" x14ac:dyDescent="0.25">
      <c r="A1515">
        <v>1514</v>
      </c>
      <c r="B1515">
        <v>6.8</v>
      </c>
      <c r="C1515">
        <v>2.6</v>
      </c>
      <c r="D1515">
        <v>9.5</v>
      </c>
      <c r="E1515">
        <v>0.8</v>
      </c>
      <c r="F1515">
        <v>4.3</v>
      </c>
      <c r="G1515">
        <v>2.58</v>
      </c>
      <c r="H1515" t="s">
        <v>8</v>
      </c>
    </row>
    <row r="1516" spans="1:8" x14ac:dyDescent="0.25">
      <c r="A1516">
        <v>1515</v>
      </c>
      <c r="B1516">
        <v>6.9</v>
      </c>
      <c r="C1516">
        <v>0.6</v>
      </c>
      <c r="D1516">
        <v>8.1</v>
      </c>
      <c r="E1516">
        <v>4.4000000000000004</v>
      </c>
      <c r="F1516">
        <v>4</v>
      </c>
      <c r="G1516">
        <v>3</v>
      </c>
      <c r="H1516" t="s">
        <v>8</v>
      </c>
    </row>
    <row r="1517" spans="1:8" x14ac:dyDescent="0.25">
      <c r="A1517">
        <v>1516</v>
      </c>
      <c r="B1517">
        <v>9.8000000000000007</v>
      </c>
      <c r="C1517">
        <v>0.3</v>
      </c>
      <c r="D1517">
        <v>8</v>
      </c>
      <c r="E1517">
        <v>0.3</v>
      </c>
      <c r="F1517">
        <v>5.6</v>
      </c>
      <c r="G1517">
        <v>3.53</v>
      </c>
      <c r="H1517" t="s">
        <v>10</v>
      </c>
    </row>
    <row r="1518" spans="1:8" x14ac:dyDescent="0.25">
      <c r="A1518">
        <v>1517</v>
      </c>
      <c r="B1518">
        <v>9.5</v>
      </c>
      <c r="C1518">
        <v>2.1</v>
      </c>
      <c r="D1518">
        <v>8.3000000000000007</v>
      </c>
      <c r="E1518">
        <v>3.4</v>
      </c>
      <c r="F1518">
        <v>0.7</v>
      </c>
      <c r="G1518">
        <v>3.35</v>
      </c>
      <c r="H1518" t="s">
        <v>10</v>
      </c>
    </row>
    <row r="1519" spans="1:8" x14ac:dyDescent="0.25">
      <c r="A1519">
        <v>1518</v>
      </c>
      <c r="B1519">
        <v>5.6</v>
      </c>
      <c r="C1519">
        <v>1.9</v>
      </c>
      <c r="D1519">
        <v>8</v>
      </c>
      <c r="E1519">
        <v>0.2</v>
      </c>
      <c r="F1519">
        <v>8.3000000000000007</v>
      </c>
      <c r="G1519">
        <v>2.99</v>
      </c>
      <c r="H1519" t="s">
        <v>9</v>
      </c>
    </row>
    <row r="1520" spans="1:8" x14ac:dyDescent="0.25">
      <c r="A1520">
        <v>1519</v>
      </c>
      <c r="B1520">
        <v>6.4</v>
      </c>
      <c r="C1520">
        <v>0.1</v>
      </c>
      <c r="D1520">
        <v>7.1</v>
      </c>
      <c r="E1520">
        <v>5.4</v>
      </c>
      <c r="F1520">
        <v>5</v>
      </c>
      <c r="G1520">
        <v>2.72</v>
      </c>
      <c r="H1520" t="s">
        <v>8</v>
      </c>
    </row>
    <row r="1521" spans="1:8" x14ac:dyDescent="0.25">
      <c r="A1521">
        <v>1520</v>
      </c>
      <c r="B1521">
        <v>9.6</v>
      </c>
      <c r="C1521">
        <v>3</v>
      </c>
      <c r="D1521">
        <v>8.6999999999999993</v>
      </c>
      <c r="E1521">
        <v>1.9</v>
      </c>
      <c r="F1521">
        <v>0.8</v>
      </c>
      <c r="G1521">
        <v>3.45</v>
      </c>
      <c r="H1521" t="s">
        <v>10</v>
      </c>
    </row>
    <row r="1522" spans="1:8" x14ac:dyDescent="0.25">
      <c r="A1522">
        <v>1521</v>
      </c>
      <c r="B1522">
        <v>6</v>
      </c>
      <c r="C1522">
        <v>0.8</v>
      </c>
      <c r="D1522">
        <v>8.4</v>
      </c>
      <c r="E1522">
        <v>1.3</v>
      </c>
      <c r="F1522">
        <v>7.5</v>
      </c>
      <c r="G1522">
        <v>3.19</v>
      </c>
      <c r="H1522" t="s">
        <v>8</v>
      </c>
    </row>
    <row r="1523" spans="1:8" x14ac:dyDescent="0.25">
      <c r="A1523">
        <v>1522</v>
      </c>
      <c r="B1523">
        <v>8.9</v>
      </c>
      <c r="C1523">
        <v>1.8</v>
      </c>
      <c r="D1523">
        <v>9</v>
      </c>
      <c r="E1523">
        <v>3.6</v>
      </c>
      <c r="F1523">
        <v>0.7</v>
      </c>
      <c r="G1523">
        <v>3.27</v>
      </c>
      <c r="H1523" t="s">
        <v>10</v>
      </c>
    </row>
    <row r="1524" spans="1:8" x14ac:dyDescent="0.25">
      <c r="A1524">
        <v>1523</v>
      </c>
      <c r="B1524">
        <v>8.3000000000000007</v>
      </c>
      <c r="C1524">
        <v>0.9</v>
      </c>
      <c r="D1524">
        <v>6.4</v>
      </c>
      <c r="E1524">
        <v>1.9</v>
      </c>
      <c r="F1524">
        <v>6.5</v>
      </c>
      <c r="G1524">
        <v>3.18</v>
      </c>
      <c r="H1524" t="s">
        <v>10</v>
      </c>
    </row>
    <row r="1525" spans="1:8" x14ac:dyDescent="0.25">
      <c r="A1525">
        <v>1524</v>
      </c>
      <c r="B1525">
        <v>6</v>
      </c>
      <c r="C1525">
        <v>1.8</v>
      </c>
      <c r="D1525">
        <v>9.5</v>
      </c>
      <c r="E1525">
        <v>0.6</v>
      </c>
      <c r="F1525">
        <v>6.1</v>
      </c>
      <c r="G1525">
        <v>2.78</v>
      </c>
      <c r="H1525" t="s">
        <v>8</v>
      </c>
    </row>
    <row r="1526" spans="1:8" x14ac:dyDescent="0.25">
      <c r="A1526">
        <v>1525</v>
      </c>
      <c r="B1526">
        <v>8.6</v>
      </c>
      <c r="C1526">
        <v>2.7</v>
      </c>
      <c r="D1526">
        <v>5.5</v>
      </c>
      <c r="E1526">
        <v>5.5</v>
      </c>
      <c r="F1526">
        <v>1.7</v>
      </c>
      <c r="G1526">
        <v>2.9</v>
      </c>
      <c r="H1526" t="s">
        <v>10</v>
      </c>
    </row>
    <row r="1527" spans="1:8" x14ac:dyDescent="0.25">
      <c r="A1527">
        <v>1526</v>
      </c>
      <c r="B1527">
        <v>8.8000000000000007</v>
      </c>
      <c r="C1527">
        <v>1</v>
      </c>
      <c r="D1527">
        <v>8.5</v>
      </c>
      <c r="E1527">
        <v>0.2</v>
      </c>
      <c r="F1527">
        <v>5.5</v>
      </c>
      <c r="G1527">
        <v>3.52</v>
      </c>
      <c r="H1527" t="s">
        <v>10</v>
      </c>
    </row>
    <row r="1528" spans="1:8" x14ac:dyDescent="0.25">
      <c r="A1528">
        <v>1527</v>
      </c>
      <c r="B1528">
        <v>9.1999999999999993</v>
      </c>
      <c r="C1528">
        <v>1.8</v>
      </c>
      <c r="D1528">
        <v>8.1999999999999993</v>
      </c>
      <c r="E1528">
        <v>1.1000000000000001</v>
      </c>
      <c r="F1528">
        <v>3.7</v>
      </c>
      <c r="G1528">
        <v>3.6</v>
      </c>
      <c r="H1528" t="s">
        <v>10</v>
      </c>
    </row>
    <row r="1529" spans="1:8" x14ac:dyDescent="0.25">
      <c r="A1529">
        <v>1528</v>
      </c>
      <c r="B1529">
        <v>7.4</v>
      </c>
      <c r="C1529">
        <v>2.5</v>
      </c>
      <c r="D1529">
        <v>7.3</v>
      </c>
      <c r="E1529">
        <v>5.4</v>
      </c>
      <c r="F1529">
        <v>1.4</v>
      </c>
      <c r="G1529">
        <v>3.25</v>
      </c>
      <c r="H1529" t="s">
        <v>8</v>
      </c>
    </row>
    <row r="1530" spans="1:8" x14ac:dyDescent="0.25">
      <c r="A1530">
        <v>1529</v>
      </c>
      <c r="B1530">
        <v>7.5</v>
      </c>
      <c r="C1530">
        <v>3.4</v>
      </c>
      <c r="D1530">
        <v>9</v>
      </c>
      <c r="E1530">
        <v>1.7</v>
      </c>
      <c r="F1530">
        <v>2.4</v>
      </c>
      <c r="G1530">
        <v>3.03</v>
      </c>
      <c r="H1530" t="s">
        <v>8</v>
      </c>
    </row>
    <row r="1531" spans="1:8" x14ac:dyDescent="0.25">
      <c r="A1531">
        <v>1530</v>
      </c>
      <c r="B1531">
        <v>9.1</v>
      </c>
      <c r="C1531">
        <v>0.9</v>
      </c>
      <c r="D1531">
        <v>7.6</v>
      </c>
      <c r="E1531">
        <v>4.8</v>
      </c>
      <c r="F1531">
        <v>1.6</v>
      </c>
      <c r="G1531">
        <v>3.08</v>
      </c>
      <c r="H1531" t="s">
        <v>10</v>
      </c>
    </row>
    <row r="1532" spans="1:8" x14ac:dyDescent="0.25">
      <c r="A1532">
        <v>1531</v>
      </c>
      <c r="B1532">
        <v>6.8</v>
      </c>
      <c r="C1532">
        <v>2.6</v>
      </c>
      <c r="D1532">
        <v>6.2</v>
      </c>
      <c r="E1532">
        <v>0.7</v>
      </c>
      <c r="F1532">
        <v>7.7</v>
      </c>
      <c r="G1532">
        <v>3</v>
      </c>
      <c r="H1532" t="s">
        <v>8</v>
      </c>
    </row>
    <row r="1533" spans="1:8" x14ac:dyDescent="0.25">
      <c r="A1533">
        <v>1532</v>
      </c>
      <c r="B1533">
        <v>6.4</v>
      </c>
      <c r="C1533">
        <v>3.4</v>
      </c>
      <c r="D1533">
        <v>6.7</v>
      </c>
      <c r="E1533">
        <v>5.8</v>
      </c>
      <c r="F1533">
        <v>1.7</v>
      </c>
      <c r="G1533">
        <v>2.98</v>
      </c>
      <c r="H1533" t="s">
        <v>8</v>
      </c>
    </row>
    <row r="1534" spans="1:8" x14ac:dyDescent="0.25">
      <c r="A1534">
        <v>1533</v>
      </c>
      <c r="B1534">
        <v>9.9</v>
      </c>
      <c r="C1534">
        <v>1.1000000000000001</v>
      </c>
      <c r="D1534">
        <v>5.2</v>
      </c>
      <c r="E1534">
        <v>4.2</v>
      </c>
      <c r="F1534">
        <v>3.6</v>
      </c>
      <c r="G1534">
        <v>3.3</v>
      </c>
      <c r="H1534" t="s">
        <v>10</v>
      </c>
    </row>
    <row r="1535" spans="1:8" x14ac:dyDescent="0.25">
      <c r="A1535">
        <v>1534</v>
      </c>
      <c r="B1535">
        <v>8.5</v>
      </c>
      <c r="C1535">
        <v>0.1</v>
      </c>
      <c r="D1535">
        <v>9.4</v>
      </c>
      <c r="E1535">
        <v>0.8</v>
      </c>
      <c r="F1535">
        <v>5.2</v>
      </c>
      <c r="G1535">
        <v>3.25</v>
      </c>
      <c r="H1535" t="s">
        <v>10</v>
      </c>
    </row>
    <row r="1536" spans="1:8" x14ac:dyDescent="0.25">
      <c r="A1536">
        <v>1535</v>
      </c>
      <c r="B1536">
        <v>5.6</v>
      </c>
      <c r="C1536">
        <v>0.7</v>
      </c>
      <c r="D1536">
        <v>9.8000000000000007</v>
      </c>
      <c r="E1536">
        <v>4.2</v>
      </c>
      <c r="F1536">
        <v>3.7</v>
      </c>
      <c r="G1536">
        <v>2.75</v>
      </c>
      <c r="H1536" t="s">
        <v>9</v>
      </c>
    </row>
    <row r="1537" spans="1:8" x14ac:dyDescent="0.25">
      <c r="A1537">
        <v>1536</v>
      </c>
      <c r="B1537">
        <v>6.7</v>
      </c>
      <c r="C1537">
        <v>0.9</v>
      </c>
      <c r="D1537">
        <v>7.4</v>
      </c>
      <c r="E1537">
        <v>3.3</v>
      </c>
      <c r="F1537">
        <v>5.7</v>
      </c>
      <c r="G1537">
        <v>3.26</v>
      </c>
      <c r="H1537" t="s">
        <v>8</v>
      </c>
    </row>
    <row r="1538" spans="1:8" x14ac:dyDescent="0.25">
      <c r="A1538">
        <v>1537</v>
      </c>
      <c r="B1538">
        <v>8.1999999999999993</v>
      </c>
      <c r="C1538">
        <v>1</v>
      </c>
      <c r="D1538">
        <v>9.6999999999999993</v>
      </c>
      <c r="E1538">
        <v>0.9</v>
      </c>
      <c r="F1538">
        <v>4.2</v>
      </c>
      <c r="G1538">
        <v>2.81</v>
      </c>
      <c r="H1538" t="s">
        <v>10</v>
      </c>
    </row>
    <row r="1539" spans="1:8" x14ac:dyDescent="0.25">
      <c r="A1539">
        <v>1538</v>
      </c>
      <c r="B1539">
        <v>7.2</v>
      </c>
      <c r="C1539">
        <v>2.2999999999999998</v>
      </c>
      <c r="D1539">
        <v>7.2</v>
      </c>
      <c r="E1539">
        <v>2.5</v>
      </c>
      <c r="F1539">
        <v>4.8</v>
      </c>
      <c r="G1539">
        <v>3.03</v>
      </c>
      <c r="H1539" t="s">
        <v>8</v>
      </c>
    </row>
    <row r="1540" spans="1:8" x14ac:dyDescent="0.25">
      <c r="A1540">
        <v>1539</v>
      </c>
      <c r="B1540">
        <v>8.6999999999999993</v>
      </c>
      <c r="C1540">
        <v>2.7</v>
      </c>
      <c r="D1540">
        <v>9.1999999999999993</v>
      </c>
      <c r="E1540">
        <v>0.8</v>
      </c>
      <c r="F1540">
        <v>2.6</v>
      </c>
      <c r="G1540">
        <v>3.58</v>
      </c>
      <c r="H1540" t="s">
        <v>10</v>
      </c>
    </row>
    <row r="1541" spans="1:8" x14ac:dyDescent="0.25">
      <c r="A1541">
        <v>1540</v>
      </c>
      <c r="B1541">
        <v>6.8</v>
      </c>
      <c r="C1541">
        <v>1.9</v>
      </c>
      <c r="D1541">
        <v>6.6</v>
      </c>
      <c r="E1541">
        <v>0.9</v>
      </c>
      <c r="F1541">
        <v>7.8</v>
      </c>
      <c r="G1541">
        <v>3.38</v>
      </c>
      <c r="H1541" t="s">
        <v>8</v>
      </c>
    </row>
    <row r="1542" spans="1:8" x14ac:dyDescent="0.25">
      <c r="A1542">
        <v>1541</v>
      </c>
      <c r="B1542">
        <v>6.1</v>
      </c>
      <c r="C1542">
        <v>0.4</v>
      </c>
      <c r="D1542">
        <v>8.4</v>
      </c>
      <c r="E1542">
        <v>4</v>
      </c>
      <c r="F1542">
        <v>5.0999999999999996</v>
      </c>
      <c r="G1542">
        <v>2.88</v>
      </c>
      <c r="H1542" t="s">
        <v>8</v>
      </c>
    </row>
    <row r="1543" spans="1:8" x14ac:dyDescent="0.25">
      <c r="A1543">
        <v>1542</v>
      </c>
      <c r="B1543">
        <v>7.9</v>
      </c>
      <c r="C1543">
        <v>3.9</v>
      </c>
      <c r="D1543">
        <v>7.7</v>
      </c>
      <c r="E1543">
        <v>4.0999999999999996</v>
      </c>
      <c r="F1543">
        <v>0.4</v>
      </c>
      <c r="G1543">
        <v>3.4</v>
      </c>
      <c r="H1543" t="s">
        <v>8</v>
      </c>
    </row>
    <row r="1544" spans="1:8" x14ac:dyDescent="0.25">
      <c r="A1544">
        <v>1543</v>
      </c>
      <c r="B1544">
        <v>5.4</v>
      </c>
      <c r="C1544">
        <v>0.8</v>
      </c>
      <c r="D1544">
        <v>7.2</v>
      </c>
      <c r="E1544">
        <v>3.5</v>
      </c>
      <c r="F1544">
        <v>7.1</v>
      </c>
      <c r="G1544">
        <v>2.71</v>
      </c>
      <c r="H1544" t="s">
        <v>9</v>
      </c>
    </row>
    <row r="1545" spans="1:8" x14ac:dyDescent="0.25">
      <c r="A1545">
        <v>1544</v>
      </c>
      <c r="B1545">
        <v>9</v>
      </c>
      <c r="C1545">
        <v>2.4</v>
      </c>
      <c r="D1545">
        <v>6</v>
      </c>
      <c r="E1545">
        <v>3</v>
      </c>
      <c r="F1545">
        <v>3.6</v>
      </c>
      <c r="G1545">
        <v>3.32</v>
      </c>
      <c r="H1545" t="s">
        <v>10</v>
      </c>
    </row>
    <row r="1546" spans="1:8" x14ac:dyDescent="0.25">
      <c r="A1546">
        <v>1545</v>
      </c>
      <c r="B1546">
        <v>8.6999999999999993</v>
      </c>
      <c r="C1546">
        <v>3.1</v>
      </c>
      <c r="D1546">
        <v>7.5</v>
      </c>
      <c r="E1546">
        <v>1.4</v>
      </c>
      <c r="F1546">
        <v>3.3</v>
      </c>
      <c r="G1546">
        <v>2.99</v>
      </c>
      <c r="H1546" t="s">
        <v>10</v>
      </c>
    </row>
    <row r="1547" spans="1:8" x14ac:dyDescent="0.25">
      <c r="A1547">
        <v>1546</v>
      </c>
      <c r="B1547">
        <v>8.6999999999999993</v>
      </c>
      <c r="C1547">
        <v>1</v>
      </c>
      <c r="D1547">
        <v>5.9</v>
      </c>
      <c r="E1547">
        <v>3.2</v>
      </c>
      <c r="F1547">
        <v>5.2</v>
      </c>
      <c r="G1547">
        <v>3.17</v>
      </c>
      <c r="H1547" t="s">
        <v>10</v>
      </c>
    </row>
    <row r="1548" spans="1:8" x14ac:dyDescent="0.25">
      <c r="A1548">
        <v>1547</v>
      </c>
      <c r="B1548">
        <v>6.4</v>
      </c>
      <c r="C1548">
        <v>2.5</v>
      </c>
      <c r="D1548">
        <v>5.6</v>
      </c>
      <c r="E1548">
        <v>3.9</v>
      </c>
      <c r="F1548">
        <v>5.6</v>
      </c>
      <c r="G1548">
        <v>2.89</v>
      </c>
      <c r="H1548" t="s">
        <v>10</v>
      </c>
    </row>
    <row r="1549" spans="1:8" x14ac:dyDescent="0.25">
      <c r="A1549">
        <v>1548</v>
      </c>
      <c r="B1549">
        <v>8.9</v>
      </c>
      <c r="C1549">
        <v>2.4</v>
      </c>
      <c r="D1549">
        <v>9.9</v>
      </c>
      <c r="E1549">
        <v>1</v>
      </c>
      <c r="F1549">
        <v>1.8</v>
      </c>
      <c r="G1549">
        <v>3.44</v>
      </c>
      <c r="H1549" t="s">
        <v>10</v>
      </c>
    </row>
    <row r="1550" spans="1:8" x14ac:dyDescent="0.25">
      <c r="A1550">
        <v>1549</v>
      </c>
      <c r="B1550">
        <v>8.4</v>
      </c>
      <c r="C1550">
        <v>0.3</v>
      </c>
      <c r="D1550">
        <v>7</v>
      </c>
      <c r="E1550">
        <v>5.8</v>
      </c>
      <c r="F1550">
        <v>2.5</v>
      </c>
      <c r="G1550">
        <v>2.9</v>
      </c>
      <c r="H1550" t="s">
        <v>10</v>
      </c>
    </row>
    <row r="1551" spans="1:8" x14ac:dyDescent="0.25">
      <c r="A1551">
        <v>1550</v>
      </c>
      <c r="B1551">
        <v>5.6</v>
      </c>
      <c r="C1551">
        <v>2.8</v>
      </c>
      <c r="D1551">
        <v>8.1999999999999993</v>
      </c>
      <c r="E1551">
        <v>2.2000000000000002</v>
      </c>
      <c r="F1551">
        <v>5.2</v>
      </c>
      <c r="G1551">
        <v>2.91</v>
      </c>
      <c r="H1551" t="s">
        <v>9</v>
      </c>
    </row>
    <row r="1552" spans="1:8" x14ac:dyDescent="0.25">
      <c r="A1552">
        <v>1551</v>
      </c>
      <c r="B1552">
        <v>9.8000000000000007</v>
      </c>
      <c r="C1552">
        <v>0.1</v>
      </c>
      <c r="D1552">
        <v>6.5</v>
      </c>
      <c r="E1552">
        <v>5.5</v>
      </c>
      <c r="F1552">
        <v>2.1</v>
      </c>
      <c r="G1552">
        <v>3.24</v>
      </c>
      <c r="H1552" t="s">
        <v>10</v>
      </c>
    </row>
    <row r="1553" spans="1:8" x14ac:dyDescent="0.25">
      <c r="A1553">
        <v>1552</v>
      </c>
      <c r="B1553">
        <v>7.7</v>
      </c>
      <c r="C1553">
        <v>3.3</v>
      </c>
      <c r="D1553">
        <v>5.5</v>
      </c>
      <c r="E1553">
        <v>5.7</v>
      </c>
      <c r="F1553">
        <v>1.8</v>
      </c>
      <c r="G1553">
        <v>2.99</v>
      </c>
      <c r="H1553" t="s">
        <v>10</v>
      </c>
    </row>
    <row r="1554" spans="1:8" x14ac:dyDescent="0.25">
      <c r="A1554">
        <v>1553</v>
      </c>
      <c r="B1554">
        <v>9</v>
      </c>
      <c r="C1554">
        <v>0.7</v>
      </c>
      <c r="D1554">
        <v>8.6</v>
      </c>
      <c r="E1554">
        <v>2.2000000000000002</v>
      </c>
      <c r="F1554">
        <v>3.5</v>
      </c>
      <c r="G1554">
        <v>3.62</v>
      </c>
      <c r="H1554" t="s">
        <v>10</v>
      </c>
    </row>
    <row r="1555" spans="1:8" x14ac:dyDescent="0.25">
      <c r="A1555">
        <v>1554</v>
      </c>
      <c r="B1555">
        <v>9.8000000000000007</v>
      </c>
      <c r="C1555">
        <v>0.5</v>
      </c>
      <c r="D1555">
        <v>7.1</v>
      </c>
      <c r="E1555">
        <v>2.9</v>
      </c>
      <c r="F1555">
        <v>3.7</v>
      </c>
      <c r="G1555">
        <v>3.38</v>
      </c>
      <c r="H1555" t="s">
        <v>10</v>
      </c>
    </row>
    <row r="1556" spans="1:8" x14ac:dyDescent="0.25">
      <c r="A1556">
        <v>1555</v>
      </c>
      <c r="B1556">
        <v>6.9</v>
      </c>
      <c r="C1556">
        <v>1.5</v>
      </c>
      <c r="D1556">
        <v>5.3</v>
      </c>
      <c r="E1556">
        <v>4.0999999999999996</v>
      </c>
      <c r="F1556">
        <v>6.2</v>
      </c>
      <c r="G1556">
        <v>2.77</v>
      </c>
      <c r="H1556" t="s">
        <v>10</v>
      </c>
    </row>
    <row r="1557" spans="1:8" x14ac:dyDescent="0.25">
      <c r="A1557">
        <v>1556</v>
      </c>
      <c r="B1557">
        <v>9.1</v>
      </c>
      <c r="C1557">
        <v>3.2</v>
      </c>
      <c r="D1557">
        <v>7.4</v>
      </c>
      <c r="E1557">
        <v>1.3</v>
      </c>
      <c r="F1557">
        <v>3</v>
      </c>
      <c r="G1557">
        <v>3.31</v>
      </c>
      <c r="H1557" t="s">
        <v>10</v>
      </c>
    </row>
    <row r="1558" spans="1:8" x14ac:dyDescent="0.25">
      <c r="A1558">
        <v>1557</v>
      </c>
      <c r="B1558">
        <v>8.1999999999999993</v>
      </c>
      <c r="C1558">
        <v>1.2</v>
      </c>
      <c r="D1558">
        <v>6.2</v>
      </c>
      <c r="E1558">
        <v>4.4000000000000004</v>
      </c>
      <c r="F1558">
        <v>4</v>
      </c>
      <c r="G1558">
        <v>3.08</v>
      </c>
      <c r="H1558" t="s">
        <v>10</v>
      </c>
    </row>
    <row r="1559" spans="1:8" x14ac:dyDescent="0.25">
      <c r="A1559">
        <v>1558</v>
      </c>
      <c r="B1559">
        <v>6.2</v>
      </c>
      <c r="C1559">
        <v>3.7</v>
      </c>
      <c r="D1559">
        <v>7.6</v>
      </c>
      <c r="E1559">
        <v>2.2000000000000002</v>
      </c>
      <c r="F1559">
        <v>4.3</v>
      </c>
      <c r="G1559">
        <v>2.84</v>
      </c>
      <c r="H1559" t="s">
        <v>8</v>
      </c>
    </row>
    <row r="1560" spans="1:8" x14ac:dyDescent="0.25">
      <c r="A1560">
        <v>1559</v>
      </c>
      <c r="B1560">
        <v>9.4</v>
      </c>
      <c r="C1560">
        <v>1.6</v>
      </c>
      <c r="D1560">
        <v>6.7</v>
      </c>
      <c r="E1560">
        <v>1.2</v>
      </c>
      <c r="F1560">
        <v>5.0999999999999996</v>
      </c>
      <c r="G1560">
        <v>3.11</v>
      </c>
      <c r="H1560" t="s">
        <v>10</v>
      </c>
    </row>
    <row r="1561" spans="1:8" x14ac:dyDescent="0.25">
      <c r="A1561">
        <v>1560</v>
      </c>
      <c r="B1561">
        <v>8.4</v>
      </c>
      <c r="C1561">
        <v>1.2</v>
      </c>
      <c r="D1561">
        <v>7.9</v>
      </c>
      <c r="E1561">
        <v>0.4</v>
      </c>
      <c r="F1561">
        <v>6.1</v>
      </c>
      <c r="G1561">
        <v>3.06</v>
      </c>
      <c r="H1561" t="s">
        <v>10</v>
      </c>
    </row>
    <row r="1562" spans="1:8" x14ac:dyDescent="0.25">
      <c r="A1562">
        <v>1561</v>
      </c>
      <c r="B1562">
        <v>6</v>
      </c>
      <c r="C1562">
        <v>1.6</v>
      </c>
      <c r="D1562">
        <v>9.6999999999999993</v>
      </c>
      <c r="E1562">
        <v>2.2999999999999998</v>
      </c>
      <c r="F1562">
        <v>4.4000000000000004</v>
      </c>
      <c r="G1562">
        <v>2.66</v>
      </c>
      <c r="H1562" t="s">
        <v>8</v>
      </c>
    </row>
    <row r="1563" spans="1:8" x14ac:dyDescent="0.25">
      <c r="A1563">
        <v>1562</v>
      </c>
      <c r="B1563">
        <v>5.6</v>
      </c>
      <c r="C1563">
        <v>0.2</v>
      </c>
      <c r="D1563">
        <v>6.5</v>
      </c>
      <c r="E1563">
        <v>0.9</v>
      </c>
      <c r="F1563">
        <v>10.8</v>
      </c>
      <c r="G1563">
        <v>3</v>
      </c>
      <c r="H1563" t="s">
        <v>9</v>
      </c>
    </row>
    <row r="1564" spans="1:8" x14ac:dyDescent="0.25">
      <c r="A1564">
        <v>1563</v>
      </c>
      <c r="B1564">
        <v>5.9</v>
      </c>
      <c r="C1564">
        <v>3</v>
      </c>
      <c r="D1564">
        <v>5.0999999999999996</v>
      </c>
      <c r="E1564">
        <v>3.3</v>
      </c>
      <c r="F1564">
        <v>6.7</v>
      </c>
      <c r="G1564">
        <v>2.91</v>
      </c>
      <c r="H1564" t="s">
        <v>10</v>
      </c>
    </row>
    <row r="1565" spans="1:8" x14ac:dyDescent="0.25">
      <c r="A1565">
        <v>1564</v>
      </c>
      <c r="B1565">
        <v>7.8</v>
      </c>
      <c r="C1565">
        <v>1.3</v>
      </c>
      <c r="D1565">
        <v>6.5</v>
      </c>
      <c r="E1565">
        <v>4.4000000000000004</v>
      </c>
      <c r="F1565">
        <v>4</v>
      </c>
      <c r="G1565">
        <v>2.69</v>
      </c>
      <c r="H1565" t="s">
        <v>8</v>
      </c>
    </row>
    <row r="1566" spans="1:8" x14ac:dyDescent="0.25">
      <c r="A1566">
        <v>1565</v>
      </c>
      <c r="B1566">
        <v>9.4</v>
      </c>
      <c r="C1566">
        <v>0.8</v>
      </c>
      <c r="D1566">
        <v>5.5</v>
      </c>
      <c r="E1566">
        <v>5.4</v>
      </c>
      <c r="F1566">
        <v>2.9</v>
      </c>
      <c r="G1566">
        <v>3.55</v>
      </c>
      <c r="H1566" t="s">
        <v>10</v>
      </c>
    </row>
    <row r="1567" spans="1:8" x14ac:dyDescent="0.25">
      <c r="A1567">
        <v>1566</v>
      </c>
      <c r="B1567">
        <v>6.8</v>
      </c>
      <c r="C1567">
        <v>0.5</v>
      </c>
      <c r="D1567">
        <v>7.9</v>
      </c>
      <c r="E1567">
        <v>3.2</v>
      </c>
      <c r="F1567">
        <v>5.6</v>
      </c>
      <c r="G1567">
        <v>2.61</v>
      </c>
      <c r="H1567" t="s">
        <v>8</v>
      </c>
    </row>
    <row r="1568" spans="1:8" x14ac:dyDescent="0.25">
      <c r="A1568">
        <v>1567</v>
      </c>
      <c r="B1568">
        <v>6</v>
      </c>
      <c r="C1568">
        <v>1.8</v>
      </c>
      <c r="D1568">
        <v>9</v>
      </c>
      <c r="E1568">
        <v>3.5</v>
      </c>
      <c r="F1568">
        <v>3.7</v>
      </c>
      <c r="G1568">
        <v>2.92</v>
      </c>
      <c r="H1568" t="s">
        <v>8</v>
      </c>
    </row>
    <row r="1569" spans="1:8" x14ac:dyDescent="0.25">
      <c r="A1569">
        <v>1568</v>
      </c>
      <c r="B1569">
        <v>8.5</v>
      </c>
      <c r="C1569">
        <v>3.2</v>
      </c>
      <c r="D1569">
        <v>8.1</v>
      </c>
      <c r="E1569">
        <v>0.6</v>
      </c>
      <c r="F1569">
        <v>3.6</v>
      </c>
      <c r="G1569">
        <v>3.09</v>
      </c>
      <c r="H1569" t="s">
        <v>10</v>
      </c>
    </row>
    <row r="1570" spans="1:8" x14ac:dyDescent="0.25">
      <c r="A1570">
        <v>1569</v>
      </c>
      <c r="B1570">
        <v>8.6</v>
      </c>
      <c r="C1570">
        <v>2.7</v>
      </c>
      <c r="D1570">
        <v>5.0999999999999996</v>
      </c>
      <c r="E1570">
        <v>2.5</v>
      </c>
      <c r="F1570">
        <v>5.0999999999999996</v>
      </c>
      <c r="G1570">
        <v>3.54</v>
      </c>
      <c r="H1570" t="s">
        <v>10</v>
      </c>
    </row>
    <row r="1571" spans="1:8" x14ac:dyDescent="0.25">
      <c r="A1571">
        <v>1570</v>
      </c>
      <c r="B1571">
        <v>6.1</v>
      </c>
      <c r="C1571">
        <v>2.4</v>
      </c>
      <c r="D1571">
        <v>9.6</v>
      </c>
      <c r="E1571">
        <v>4.7</v>
      </c>
      <c r="F1571">
        <v>1.2</v>
      </c>
      <c r="G1571">
        <v>2.67</v>
      </c>
      <c r="H1571" t="s">
        <v>8</v>
      </c>
    </row>
    <row r="1572" spans="1:8" x14ac:dyDescent="0.25">
      <c r="A1572">
        <v>1571</v>
      </c>
      <c r="B1572">
        <v>9.6</v>
      </c>
      <c r="C1572">
        <v>3.9</v>
      </c>
      <c r="D1572">
        <v>5.0999999999999996</v>
      </c>
      <c r="E1572">
        <v>3.4</v>
      </c>
      <c r="F1572">
        <v>2</v>
      </c>
      <c r="G1572">
        <v>3.65</v>
      </c>
      <c r="H1572" t="s">
        <v>10</v>
      </c>
    </row>
    <row r="1573" spans="1:8" x14ac:dyDescent="0.25">
      <c r="A1573">
        <v>1572</v>
      </c>
      <c r="B1573">
        <v>6.3</v>
      </c>
      <c r="C1573">
        <v>3.9</v>
      </c>
      <c r="D1573">
        <v>8.1</v>
      </c>
      <c r="E1573">
        <v>4.5</v>
      </c>
      <c r="F1573">
        <v>1.2</v>
      </c>
      <c r="G1573">
        <v>2.89</v>
      </c>
      <c r="H1573" t="s">
        <v>8</v>
      </c>
    </row>
    <row r="1574" spans="1:8" x14ac:dyDescent="0.25">
      <c r="A1574">
        <v>1573</v>
      </c>
      <c r="B1574">
        <v>5.4</v>
      </c>
      <c r="C1574">
        <v>0.7</v>
      </c>
      <c r="D1574">
        <v>8.8000000000000007</v>
      </c>
      <c r="E1574">
        <v>0.1</v>
      </c>
      <c r="F1574">
        <v>9</v>
      </c>
      <c r="G1574">
        <v>2.57</v>
      </c>
      <c r="H1574" t="s">
        <v>9</v>
      </c>
    </row>
    <row r="1575" spans="1:8" x14ac:dyDescent="0.25">
      <c r="A1575">
        <v>1574</v>
      </c>
      <c r="B1575">
        <v>8.1</v>
      </c>
      <c r="C1575">
        <v>2.8</v>
      </c>
      <c r="D1575">
        <v>6.7</v>
      </c>
      <c r="E1575">
        <v>0.6</v>
      </c>
      <c r="F1575">
        <v>5.8</v>
      </c>
      <c r="G1575">
        <v>3.5</v>
      </c>
      <c r="H1575" t="s">
        <v>10</v>
      </c>
    </row>
    <row r="1576" spans="1:8" x14ac:dyDescent="0.25">
      <c r="A1576">
        <v>1575</v>
      </c>
      <c r="B1576">
        <v>5.3</v>
      </c>
      <c r="C1576">
        <v>2.4</v>
      </c>
      <c r="D1576">
        <v>7.6</v>
      </c>
      <c r="E1576">
        <v>4.5</v>
      </c>
      <c r="F1576">
        <v>4.2</v>
      </c>
      <c r="G1576">
        <v>2.25</v>
      </c>
      <c r="H1576" t="s">
        <v>9</v>
      </c>
    </row>
    <row r="1577" spans="1:8" x14ac:dyDescent="0.25">
      <c r="A1577">
        <v>1576</v>
      </c>
      <c r="B1577">
        <v>7</v>
      </c>
      <c r="C1577">
        <v>0.1</v>
      </c>
      <c r="D1577">
        <v>6.7</v>
      </c>
      <c r="E1577">
        <v>5.9</v>
      </c>
      <c r="F1577">
        <v>4.3</v>
      </c>
      <c r="G1577">
        <v>3.12</v>
      </c>
      <c r="H1577" t="s">
        <v>8</v>
      </c>
    </row>
    <row r="1578" spans="1:8" x14ac:dyDescent="0.25">
      <c r="A1578">
        <v>1577</v>
      </c>
      <c r="B1578">
        <v>9.4</v>
      </c>
      <c r="C1578">
        <v>1.3</v>
      </c>
      <c r="D1578">
        <v>7.9</v>
      </c>
      <c r="E1578">
        <v>4.5999999999999996</v>
      </c>
      <c r="F1578">
        <v>0.8</v>
      </c>
      <c r="G1578">
        <v>3.34</v>
      </c>
      <c r="H1578" t="s">
        <v>10</v>
      </c>
    </row>
    <row r="1579" spans="1:8" x14ac:dyDescent="0.25">
      <c r="A1579">
        <v>1578</v>
      </c>
      <c r="B1579">
        <v>5.4</v>
      </c>
      <c r="C1579">
        <v>2</v>
      </c>
      <c r="D1579">
        <v>9.8000000000000007</v>
      </c>
      <c r="E1579">
        <v>4.2</v>
      </c>
      <c r="F1579">
        <v>2.6</v>
      </c>
      <c r="G1579">
        <v>2.8</v>
      </c>
      <c r="H1579" t="s">
        <v>9</v>
      </c>
    </row>
    <row r="1580" spans="1:8" x14ac:dyDescent="0.25">
      <c r="A1580">
        <v>1579</v>
      </c>
      <c r="B1580">
        <v>5.4</v>
      </c>
      <c r="C1580">
        <v>0.8</v>
      </c>
      <c r="D1580">
        <v>8.9</v>
      </c>
      <c r="E1580">
        <v>5</v>
      </c>
      <c r="F1580">
        <v>3.9</v>
      </c>
      <c r="G1580">
        <v>3.12</v>
      </c>
      <c r="H1580" t="s">
        <v>9</v>
      </c>
    </row>
    <row r="1581" spans="1:8" x14ac:dyDescent="0.25">
      <c r="A1581">
        <v>1580</v>
      </c>
      <c r="B1581">
        <v>5.0999999999999996</v>
      </c>
      <c r="C1581">
        <v>3.3</v>
      </c>
      <c r="D1581">
        <v>8.9</v>
      </c>
      <c r="E1581">
        <v>1.6</v>
      </c>
      <c r="F1581">
        <v>5.0999999999999996</v>
      </c>
      <c r="G1581">
        <v>3.02</v>
      </c>
      <c r="H1581" t="s">
        <v>9</v>
      </c>
    </row>
    <row r="1582" spans="1:8" x14ac:dyDescent="0.25">
      <c r="A1582">
        <v>1581</v>
      </c>
      <c r="B1582">
        <v>8.5</v>
      </c>
      <c r="C1582">
        <v>0.9</v>
      </c>
      <c r="D1582">
        <v>5.2</v>
      </c>
      <c r="E1582">
        <v>1.2</v>
      </c>
      <c r="F1582">
        <v>8.1999999999999993</v>
      </c>
      <c r="G1582">
        <v>3.17</v>
      </c>
      <c r="H1582" t="s">
        <v>10</v>
      </c>
    </row>
    <row r="1583" spans="1:8" x14ac:dyDescent="0.25">
      <c r="A1583">
        <v>1582</v>
      </c>
      <c r="B1583">
        <v>7.1</v>
      </c>
      <c r="C1583">
        <v>2</v>
      </c>
      <c r="D1583">
        <v>7.4</v>
      </c>
      <c r="E1583">
        <v>1.6</v>
      </c>
      <c r="F1583">
        <v>5.9</v>
      </c>
      <c r="G1583">
        <v>2.86</v>
      </c>
      <c r="H1583" t="s">
        <v>8</v>
      </c>
    </row>
    <row r="1584" spans="1:8" x14ac:dyDescent="0.25">
      <c r="A1584">
        <v>1583</v>
      </c>
      <c r="B1584">
        <v>5.0999999999999996</v>
      </c>
      <c r="C1584">
        <v>2.4</v>
      </c>
      <c r="D1584">
        <v>7</v>
      </c>
      <c r="E1584">
        <v>1.8</v>
      </c>
      <c r="F1584">
        <v>7.7</v>
      </c>
      <c r="G1584">
        <v>2.84</v>
      </c>
      <c r="H1584" t="s">
        <v>9</v>
      </c>
    </row>
    <row r="1585" spans="1:8" x14ac:dyDescent="0.25">
      <c r="A1585">
        <v>1584</v>
      </c>
      <c r="B1585">
        <v>9.3000000000000007</v>
      </c>
      <c r="C1585">
        <v>2</v>
      </c>
      <c r="D1585">
        <v>5.7</v>
      </c>
      <c r="E1585">
        <v>4.2</v>
      </c>
      <c r="F1585">
        <v>2.8</v>
      </c>
      <c r="G1585">
        <v>3.51</v>
      </c>
      <c r="H1585" t="s">
        <v>10</v>
      </c>
    </row>
    <row r="1586" spans="1:8" x14ac:dyDescent="0.25">
      <c r="A1586">
        <v>1585</v>
      </c>
      <c r="B1586">
        <v>6</v>
      </c>
      <c r="C1586">
        <v>1.8</v>
      </c>
      <c r="D1586">
        <v>5.3</v>
      </c>
      <c r="E1586">
        <v>5</v>
      </c>
      <c r="F1586">
        <v>5.9</v>
      </c>
      <c r="G1586">
        <v>2.88</v>
      </c>
      <c r="H1586" t="s">
        <v>10</v>
      </c>
    </row>
    <row r="1587" spans="1:8" x14ac:dyDescent="0.25">
      <c r="A1587">
        <v>1586</v>
      </c>
      <c r="B1587">
        <v>8.6999999999999993</v>
      </c>
      <c r="C1587">
        <v>2.5</v>
      </c>
      <c r="D1587">
        <v>9</v>
      </c>
      <c r="E1587">
        <v>1.6</v>
      </c>
      <c r="F1587">
        <v>2.2000000000000002</v>
      </c>
      <c r="G1587">
        <v>3.53</v>
      </c>
      <c r="H1587" t="s">
        <v>10</v>
      </c>
    </row>
    <row r="1588" spans="1:8" x14ac:dyDescent="0.25">
      <c r="A1588">
        <v>1587</v>
      </c>
      <c r="B1588">
        <v>8.9</v>
      </c>
      <c r="C1588">
        <v>1.8</v>
      </c>
      <c r="D1588">
        <v>9.6999999999999993</v>
      </c>
      <c r="E1588">
        <v>1.8</v>
      </c>
      <c r="F1588">
        <v>1.8</v>
      </c>
      <c r="G1588">
        <v>3.63</v>
      </c>
      <c r="H1588" t="s">
        <v>10</v>
      </c>
    </row>
    <row r="1589" spans="1:8" x14ac:dyDescent="0.25">
      <c r="A1589">
        <v>1588</v>
      </c>
      <c r="B1589">
        <v>9.1</v>
      </c>
      <c r="C1589">
        <v>2.2000000000000002</v>
      </c>
      <c r="D1589">
        <v>5.9</v>
      </c>
      <c r="E1589">
        <v>2.8</v>
      </c>
      <c r="F1589">
        <v>4</v>
      </c>
      <c r="G1589">
        <v>3.33</v>
      </c>
      <c r="H1589" t="s">
        <v>10</v>
      </c>
    </row>
    <row r="1590" spans="1:8" x14ac:dyDescent="0.25">
      <c r="A1590">
        <v>1589</v>
      </c>
      <c r="B1590">
        <v>9.8000000000000007</v>
      </c>
      <c r="C1590">
        <v>3</v>
      </c>
      <c r="D1590">
        <v>9.1</v>
      </c>
      <c r="E1590">
        <v>0.1</v>
      </c>
      <c r="F1590">
        <v>2</v>
      </c>
      <c r="G1590">
        <v>3.9</v>
      </c>
      <c r="H1590" t="s">
        <v>10</v>
      </c>
    </row>
    <row r="1591" spans="1:8" x14ac:dyDescent="0.25">
      <c r="A1591">
        <v>1590</v>
      </c>
      <c r="B1591">
        <v>9.1999999999999993</v>
      </c>
      <c r="C1591">
        <v>0.2</v>
      </c>
      <c r="D1591">
        <v>9.3000000000000007</v>
      </c>
      <c r="E1591">
        <v>2.9</v>
      </c>
      <c r="F1591">
        <v>2.4</v>
      </c>
      <c r="G1591">
        <v>3.29</v>
      </c>
      <c r="H1591" t="s">
        <v>10</v>
      </c>
    </row>
    <row r="1592" spans="1:8" x14ac:dyDescent="0.25">
      <c r="A1592">
        <v>1591</v>
      </c>
      <c r="B1592">
        <v>6</v>
      </c>
      <c r="C1592">
        <v>1.3</v>
      </c>
      <c r="D1592">
        <v>6.4</v>
      </c>
      <c r="E1592">
        <v>3.2</v>
      </c>
      <c r="F1592">
        <v>7.1</v>
      </c>
      <c r="G1592">
        <v>2.84</v>
      </c>
      <c r="H1592" t="s">
        <v>8</v>
      </c>
    </row>
    <row r="1593" spans="1:8" x14ac:dyDescent="0.25">
      <c r="A1593">
        <v>1592</v>
      </c>
      <c r="B1593">
        <v>6.2</v>
      </c>
      <c r="C1593">
        <v>1.8</v>
      </c>
      <c r="D1593">
        <v>7.6</v>
      </c>
      <c r="E1593">
        <v>4.5999999999999996</v>
      </c>
      <c r="F1593">
        <v>3.8</v>
      </c>
      <c r="G1593">
        <v>2.98</v>
      </c>
      <c r="H1593" t="s">
        <v>8</v>
      </c>
    </row>
    <row r="1594" spans="1:8" x14ac:dyDescent="0.25">
      <c r="A1594">
        <v>1593</v>
      </c>
      <c r="B1594">
        <v>7.2</v>
      </c>
      <c r="C1594">
        <v>3.2</v>
      </c>
      <c r="D1594">
        <v>8.1</v>
      </c>
      <c r="E1594">
        <v>0.6</v>
      </c>
      <c r="F1594">
        <v>4.9000000000000004</v>
      </c>
      <c r="G1594">
        <v>3.04</v>
      </c>
      <c r="H1594" t="s">
        <v>8</v>
      </c>
    </row>
    <row r="1595" spans="1:8" x14ac:dyDescent="0.25">
      <c r="A1595">
        <v>1594</v>
      </c>
      <c r="B1595">
        <v>7</v>
      </c>
      <c r="C1595">
        <v>3</v>
      </c>
      <c r="D1595">
        <v>7.9</v>
      </c>
      <c r="E1595">
        <v>2.2999999999999998</v>
      </c>
      <c r="F1595">
        <v>3.8</v>
      </c>
      <c r="G1595">
        <v>2.81</v>
      </c>
      <c r="H1595" t="s">
        <v>8</v>
      </c>
    </row>
    <row r="1596" spans="1:8" x14ac:dyDescent="0.25">
      <c r="A1596">
        <v>1595</v>
      </c>
      <c r="B1596">
        <v>5.9</v>
      </c>
      <c r="C1596">
        <v>0.9</v>
      </c>
      <c r="D1596">
        <v>7.9</v>
      </c>
      <c r="E1596">
        <v>2.5</v>
      </c>
      <c r="F1596">
        <v>6.8</v>
      </c>
      <c r="G1596">
        <v>2.63</v>
      </c>
      <c r="H1596" t="s">
        <v>9</v>
      </c>
    </row>
    <row r="1597" spans="1:8" x14ac:dyDescent="0.25">
      <c r="A1597">
        <v>1596</v>
      </c>
      <c r="B1597">
        <v>8.3000000000000007</v>
      </c>
      <c r="C1597">
        <v>3.4</v>
      </c>
      <c r="D1597">
        <v>6.3</v>
      </c>
      <c r="E1597">
        <v>2.9</v>
      </c>
      <c r="F1597">
        <v>3.1</v>
      </c>
      <c r="G1597">
        <v>3.26</v>
      </c>
      <c r="H1597" t="s">
        <v>10</v>
      </c>
    </row>
    <row r="1598" spans="1:8" x14ac:dyDescent="0.25">
      <c r="A1598">
        <v>1597</v>
      </c>
      <c r="B1598">
        <v>9.9</v>
      </c>
      <c r="C1598">
        <v>1.3</v>
      </c>
      <c r="D1598">
        <v>8</v>
      </c>
      <c r="E1598">
        <v>0.4</v>
      </c>
      <c r="F1598">
        <v>4.4000000000000004</v>
      </c>
      <c r="G1598">
        <v>3.33</v>
      </c>
      <c r="H1598" t="s">
        <v>10</v>
      </c>
    </row>
    <row r="1599" spans="1:8" x14ac:dyDescent="0.25">
      <c r="A1599">
        <v>1598</v>
      </c>
      <c r="B1599">
        <v>9.8000000000000007</v>
      </c>
      <c r="C1599">
        <v>2.9</v>
      </c>
      <c r="D1599">
        <v>8.9</v>
      </c>
      <c r="E1599">
        <v>1.7</v>
      </c>
      <c r="F1599">
        <v>0.7</v>
      </c>
      <c r="G1599">
        <v>3.51</v>
      </c>
      <c r="H1599" t="s">
        <v>10</v>
      </c>
    </row>
    <row r="1600" spans="1:8" x14ac:dyDescent="0.25">
      <c r="A1600">
        <v>1599</v>
      </c>
      <c r="B1600">
        <v>7.9</v>
      </c>
      <c r="C1600">
        <v>1.8</v>
      </c>
      <c r="D1600">
        <v>9.3000000000000007</v>
      </c>
      <c r="E1600">
        <v>4.8</v>
      </c>
      <c r="F1600">
        <v>0.2</v>
      </c>
      <c r="G1600">
        <v>3.34</v>
      </c>
      <c r="H1600" t="s">
        <v>8</v>
      </c>
    </row>
    <row r="1601" spans="1:8" x14ac:dyDescent="0.25">
      <c r="A1601">
        <v>1600</v>
      </c>
      <c r="B1601">
        <v>7.9</v>
      </c>
      <c r="C1601">
        <v>2.2000000000000002</v>
      </c>
      <c r="D1601">
        <v>7.3</v>
      </c>
      <c r="E1601">
        <v>1.3</v>
      </c>
      <c r="F1601">
        <v>5.3</v>
      </c>
      <c r="G1601">
        <v>3.18</v>
      </c>
      <c r="H1601" t="s">
        <v>8</v>
      </c>
    </row>
    <row r="1602" spans="1:8" x14ac:dyDescent="0.25">
      <c r="A1602">
        <v>1601</v>
      </c>
      <c r="B1602">
        <v>5</v>
      </c>
      <c r="C1602">
        <v>1</v>
      </c>
      <c r="D1602">
        <v>7.5</v>
      </c>
      <c r="E1602">
        <v>2.2999999999999998</v>
      </c>
      <c r="F1602">
        <v>8.1999999999999993</v>
      </c>
      <c r="G1602">
        <v>2.82</v>
      </c>
      <c r="H1602" t="s">
        <v>9</v>
      </c>
    </row>
    <row r="1603" spans="1:8" x14ac:dyDescent="0.25">
      <c r="A1603">
        <v>1602</v>
      </c>
      <c r="B1603">
        <v>6.8</v>
      </c>
      <c r="C1603">
        <v>1.8</v>
      </c>
      <c r="D1603">
        <v>5.7</v>
      </c>
      <c r="E1603">
        <v>0.3</v>
      </c>
      <c r="F1603">
        <v>9.4</v>
      </c>
      <c r="G1603">
        <v>3.01</v>
      </c>
      <c r="H1603" t="s">
        <v>10</v>
      </c>
    </row>
    <row r="1604" spans="1:8" x14ac:dyDescent="0.25">
      <c r="A1604">
        <v>1603</v>
      </c>
      <c r="B1604">
        <v>8.9</v>
      </c>
      <c r="C1604">
        <v>2.2999999999999998</v>
      </c>
      <c r="D1604">
        <v>8.8000000000000007</v>
      </c>
      <c r="E1604">
        <v>0.6</v>
      </c>
      <c r="F1604">
        <v>3.4</v>
      </c>
      <c r="G1604">
        <v>3.02</v>
      </c>
      <c r="H1604" t="s">
        <v>10</v>
      </c>
    </row>
    <row r="1605" spans="1:8" x14ac:dyDescent="0.25">
      <c r="A1605">
        <v>1604</v>
      </c>
      <c r="B1605">
        <v>6.1</v>
      </c>
      <c r="C1605">
        <v>0</v>
      </c>
      <c r="D1605">
        <v>5.7</v>
      </c>
      <c r="E1605">
        <v>1.9</v>
      </c>
      <c r="F1605">
        <v>10.3</v>
      </c>
      <c r="G1605">
        <v>3.01</v>
      </c>
      <c r="H1605" t="s">
        <v>10</v>
      </c>
    </row>
    <row r="1606" spans="1:8" x14ac:dyDescent="0.25">
      <c r="A1606">
        <v>1605</v>
      </c>
      <c r="B1606">
        <v>5.6</v>
      </c>
      <c r="C1606">
        <v>3.9</v>
      </c>
      <c r="D1606">
        <v>6.5</v>
      </c>
      <c r="E1606">
        <v>0.8</v>
      </c>
      <c r="F1606">
        <v>7.2</v>
      </c>
      <c r="G1606">
        <v>2.92</v>
      </c>
      <c r="H1606" t="s">
        <v>9</v>
      </c>
    </row>
    <row r="1607" spans="1:8" x14ac:dyDescent="0.25">
      <c r="A1607">
        <v>1606</v>
      </c>
      <c r="B1607">
        <v>5.3</v>
      </c>
      <c r="C1607">
        <v>3.4</v>
      </c>
      <c r="D1607">
        <v>9.8000000000000007</v>
      </c>
      <c r="E1607">
        <v>1.4</v>
      </c>
      <c r="F1607">
        <v>4.0999999999999996</v>
      </c>
      <c r="G1607">
        <v>2.5299999999999998</v>
      </c>
      <c r="H1607" t="s">
        <v>9</v>
      </c>
    </row>
    <row r="1608" spans="1:8" x14ac:dyDescent="0.25">
      <c r="A1608">
        <v>1607</v>
      </c>
      <c r="B1608">
        <v>7.3</v>
      </c>
      <c r="C1608">
        <v>0.1</v>
      </c>
      <c r="D1608">
        <v>8.1999999999999993</v>
      </c>
      <c r="E1608">
        <v>2.5</v>
      </c>
      <c r="F1608">
        <v>5.9</v>
      </c>
      <c r="G1608">
        <v>2.92</v>
      </c>
      <c r="H1608" t="s">
        <v>8</v>
      </c>
    </row>
    <row r="1609" spans="1:8" x14ac:dyDescent="0.25">
      <c r="A1609">
        <v>1608</v>
      </c>
      <c r="B1609">
        <v>8.3000000000000007</v>
      </c>
      <c r="C1609">
        <v>1.7</v>
      </c>
      <c r="D1609">
        <v>5.9</v>
      </c>
      <c r="E1609">
        <v>4.0999999999999996</v>
      </c>
      <c r="F1609">
        <v>4</v>
      </c>
      <c r="G1609">
        <v>3.11</v>
      </c>
      <c r="H1609" t="s">
        <v>10</v>
      </c>
    </row>
    <row r="1610" spans="1:8" x14ac:dyDescent="0.25">
      <c r="A1610">
        <v>1609</v>
      </c>
      <c r="B1610">
        <v>7.8</v>
      </c>
      <c r="C1610">
        <v>3.4</v>
      </c>
      <c r="D1610">
        <v>5.6</v>
      </c>
      <c r="E1610">
        <v>4.7</v>
      </c>
      <c r="F1610">
        <v>2.5</v>
      </c>
      <c r="G1610">
        <v>3.02</v>
      </c>
      <c r="H1610" t="s">
        <v>10</v>
      </c>
    </row>
    <row r="1611" spans="1:8" x14ac:dyDescent="0.25">
      <c r="A1611">
        <v>1610</v>
      </c>
      <c r="B1611">
        <v>8.5</v>
      </c>
      <c r="C1611">
        <v>1.8</v>
      </c>
      <c r="D1611">
        <v>9.6999999999999993</v>
      </c>
      <c r="E1611">
        <v>0.6</v>
      </c>
      <c r="F1611">
        <v>3.4</v>
      </c>
      <c r="G1611">
        <v>3.34</v>
      </c>
      <c r="H1611" t="s">
        <v>10</v>
      </c>
    </row>
    <row r="1612" spans="1:8" x14ac:dyDescent="0.25">
      <c r="A1612">
        <v>1611</v>
      </c>
      <c r="B1612">
        <v>8.1999999999999993</v>
      </c>
      <c r="C1612">
        <v>1.5</v>
      </c>
      <c r="D1612">
        <v>9.8000000000000007</v>
      </c>
      <c r="E1612">
        <v>1.5</v>
      </c>
      <c r="F1612">
        <v>3</v>
      </c>
      <c r="G1612">
        <v>3.4</v>
      </c>
      <c r="H1612" t="s">
        <v>10</v>
      </c>
    </row>
    <row r="1613" spans="1:8" x14ac:dyDescent="0.25">
      <c r="A1613">
        <v>1612</v>
      </c>
      <c r="B1613">
        <v>10</v>
      </c>
      <c r="C1613">
        <v>1</v>
      </c>
      <c r="D1613">
        <v>7.2</v>
      </c>
      <c r="E1613">
        <v>3</v>
      </c>
      <c r="F1613">
        <v>2.8</v>
      </c>
      <c r="G1613">
        <v>3.37</v>
      </c>
      <c r="H1613" t="s">
        <v>10</v>
      </c>
    </row>
    <row r="1614" spans="1:8" x14ac:dyDescent="0.25">
      <c r="A1614">
        <v>1613</v>
      </c>
      <c r="B1614">
        <v>6.5</v>
      </c>
      <c r="C1614">
        <v>0.1</v>
      </c>
      <c r="D1614">
        <v>6.1</v>
      </c>
      <c r="E1614">
        <v>1.7</v>
      </c>
      <c r="F1614">
        <v>9.6</v>
      </c>
      <c r="G1614">
        <v>2.72</v>
      </c>
      <c r="H1614" t="s">
        <v>8</v>
      </c>
    </row>
    <row r="1615" spans="1:8" x14ac:dyDescent="0.25">
      <c r="A1615">
        <v>1614</v>
      </c>
      <c r="B1615">
        <v>9.4</v>
      </c>
      <c r="C1615">
        <v>2.8</v>
      </c>
      <c r="D1615">
        <v>5.4</v>
      </c>
      <c r="E1615">
        <v>3.9</v>
      </c>
      <c r="F1615">
        <v>2.5</v>
      </c>
      <c r="G1615">
        <v>3.37</v>
      </c>
      <c r="H1615" t="s">
        <v>10</v>
      </c>
    </row>
    <row r="1616" spans="1:8" x14ac:dyDescent="0.25">
      <c r="A1616">
        <v>1615</v>
      </c>
      <c r="B1616">
        <v>8.3000000000000007</v>
      </c>
      <c r="C1616">
        <v>3.8</v>
      </c>
      <c r="D1616">
        <v>5</v>
      </c>
      <c r="E1616">
        <v>1.5</v>
      </c>
      <c r="F1616">
        <v>5.4</v>
      </c>
      <c r="G1616">
        <v>3.43</v>
      </c>
      <c r="H1616" t="s">
        <v>10</v>
      </c>
    </row>
    <row r="1617" spans="1:8" x14ac:dyDescent="0.25">
      <c r="A1617">
        <v>1616</v>
      </c>
      <c r="B1617">
        <v>5.5</v>
      </c>
      <c r="C1617">
        <v>2.1</v>
      </c>
      <c r="D1617">
        <v>6.2</v>
      </c>
      <c r="E1617">
        <v>1.1000000000000001</v>
      </c>
      <c r="F1617">
        <v>9.1</v>
      </c>
      <c r="G1617">
        <v>2.98</v>
      </c>
      <c r="H1617" t="s">
        <v>9</v>
      </c>
    </row>
    <row r="1618" spans="1:8" x14ac:dyDescent="0.25">
      <c r="A1618">
        <v>1617</v>
      </c>
      <c r="B1618">
        <v>9.1</v>
      </c>
      <c r="C1618">
        <v>0.5</v>
      </c>
      <c r="D1618">
        <v>7.3</v>
      </c>
      <c r="E1618">
        <v>5.6</v>
      </c>
      <c r="F1618">
        <v>1.5</v>
      </c>
      <c r="G1618">
        <v>3.37</v>
      </c>
      <c r="H1618" t="s">
        <v>10</v>
      </c>
    </row>
    <row r="1619" spans="1:8" x14ac:dyDescent="0.25">
      <c r="A1619">
        <v>1618</v>
      </c>
      <c r="B1619">
        <v>5.9</v>
      </c>
      <c r="C1619">
        <v>1.3</v>
      </c>
      <c r="D1619">
        <v>7.1</v>
      </c>
      <c r="E1619">
        <v>1.9</v>
      </c>
      <c r="F1619">
        <v>7.8</v>
      </c>
      <c r="G1619">
        <v>2.91</v>
      </c>
      <c r="H1619" t="s">
        <v>9</v>
      </c>
    </row>
    <row r="1620" spans="1:8" x14ac:dyDescent="0.25">
      <c r="A1620">
        <v>1619</v>
      </c>
      <c r="B1620">
        <v>6.4</v>
      </c>
      <c r="C1620">
        <v>3.9</v>
      </c>
      <c r="D1620">
        <v>5.8</v>
      </c>
      <c r="E1620">
        <v>4.4000000000000004</v>
      </c>
      <c r="F1620">
        <v>3.5</v>
      </c>
      <c r="G1620">
        <v>2.91</v>
      </c>
      <c r="H1620" t="s">
        <v>10</v>
      </c>
    </row>
    <row r="1621" spans="1:8" x14ac:dyDescent="0.25">
      <c r="A1621">
        <v>1620</v>
      </c>
      <c r="B1621">
        <v>5.9</v>
      </c>
      <c r="C1621">
        <v>2.6</v>
      </c>
      <c r="D1621">
        <v>8.6</v>
      </c>
      <c r="E1621">
        <v>4.0999999999999996</v>
      </c>
      <c r="F1621">
        <v>2.8</v>
      </c>
      <c r="G1621">
        <v>2.98</v>
      </c>
      <c r="H1621" t="s">
        <v>9</v>
      </c>
    </row>
    <row r="1622" spans="1:8" x14ac:dyDescent="0.25">
      <c r="A1622">
        <v>1621</v>
      </c>
      <c r="B1622">
        <v>6.6</v>
      </c>
      <c r="C1622">
        <v>1</v>
      </c>
      <c r="D1622">
        <v>9.8000000000000007</v>
      </c>
      <c r="E1622">
        <v>5.5</v>
      </c>
      <c r="F1622">
        <v>1.1000000000000001</v>
      </c>
      <c r="G1622">
        <v>3.23</v>
      </c>
      <c r="H1622" t="s">
        <v>8</v>
      </c>
    </row>
    <row r="1623" spans="1:8" x14ac:dyDescent="0.25">
      <c r="A1623">
        <v>1622</v>
      </c>
      <c r="B1623">
        <v>7.3</v>
      </c>
      <c r="C1623">
        <v>1.7</v>
      </c>
      <c r="D1623">
        <v>5.8</v>
      </c>
      <c r="E1623">
        <v>2.6</v>
      </c>
      <c r="F1623">
        <v>6.6</v>
      </c>
      <c r="G1623">
        <v>3.07</v>
      </c>
      <c r="H1623" t="s">
        <v>10</v>
      </c>
    </row>
    <row r="1624" spans="1:8" x14ac:dyDescent="0.25">
      <c r="A1624">
        <v>1623</v>
      </c>
      <c r="B1624">
        <v>7.7</v>
      </c>
      <c r="C1624">
        <v>0.1</v>
      </c>
      <c r="D1624">
        <v>7.2</v>
      </c>
      <c r="E1624">
        <v>4.7</v>
      </c>
      <c r="F1624">
        <v>4.3</v>
      </c>
      <c r="G1624">
        <v>3.37</v>
      </c>
      <c r="H1624" t="s">
        <v>8</v>
      </c>
    </row>
    <row r="1625" spans="1:8" x14ac:dyDescent="0.25">
      <c r="A1625">
        <v>1624</v>
      </c>
      <c r="B1625">
        <v>9.5</v>
      </c>
      <c r="C1625">
        <v>0.1</v>
      </c>
      <c r="D1625">
        <v>7.8</v>
      </c>
      <c r="E1625">
        <v>4.7</v>
      </c>
      <c r="F1625">
        <v>1.9</v>
      </c>
      <c r="G1625">
        <v>3.71</v>
      </c>
      <c r="H1625" t="s">
        <v>10</v>
      </c>
    </row>
    <row r="1626" spans="1:8" x14ac:dyDescent="0.25">
      <c r="A1626">
        <v>1625</v>
      </c>
      <c r="B1626">
        <v>7.7</v>
      </c>
      <c r="C1626">
        <v>1.3</v>
      </c>
      <c r="D1626">
        <v>5.7</v>
      </c>
      <c r="E1626">
        <v>5.3</v>
      </c>
      <c r="F1626">
        <v>4</v>
      </c>
      <c r="G1626">
        <v>3.36</v>
      </c>
      <c r="H1626" t="s">
        <v>10</v>
      </c>
    </row>
    <row r="1627" spans="1:8" x14ac:dyDescent="0.25">
      <c r="A1627">
        <v>1626</v>
      </c>
      <c r="B1627">
        <v>7.9</v>
      </c>
      <c r="C1627">
        <v>2.7</v>
      </c>
      <c r="D1627">
        <v>9</v>
      </c>
      <c r="E1627">
        <v>2.9</v>
      </c>
      <c r="F1627">
        <v>1.5</v>
      </c>
      <c r="G1627">
        <v>3.17</v>
      </c>
      <c r="H1627" t="s">
        <v>8</v>
      </c>
    </row>
    <row r="1628" spans="1:8" x14ac:dyDescent="0.25">
      <c r="A1628">
        <v>1627</v>
      </c>
      <c r="B1628">
        <v>7</v>
      </c>
      <c r="C1628">
        <v>2.1</v>
      </c>
      <c r="D1628">
        <v>9</v>
      </c>
      <c r="E1628">
        <v>2.2000000000000002</v>
      </c>
      <c r="F1628">
        <v>3.7</v>
      </c>
      <c r="G1628">
        <v>2.89</v>
      </c>
      <c r="H1628" t="s">
        <v>8</v>
      </c>
    </row>
    <row r="1629" spans="1:8" x14ac:dyDescent="0.25">
      <c r="A1629">
        <v>1628</v>
      </c>
      <c r="B1629">
        <v>9.6</v>
      </c>
      <c r="C1629">
        <v>0.4</v>
      </c>
      <c r="D1629">
        <v>8.1999999999999993</v>
      </c>
      <c r="E1629">
        <v>2.4</v>
      </c>
      <c r="F1629">
        <v>3.4</v>
      </c>
      <c r="G1629">
        <v>3.4</v>
      </c>
      <c r="H1629" t="s">
        <v>10</v>
      </c>
    </row>
    <row r="1630" spans="1:8" x14ac:dyDescent="0.25">
      <c r="A1630">
        <v>1629</v>
      </c>
      <c r="B1630">
        <v>7</v>
      </c>
      <c r="C1630">
        <v>2.7</v>
      </c>
      <c r="D1630">
        <v>5.3</v>
      </c>
      <c r="E1630">
        <v>3.6</v>
      </c>
      <c r="F1630">
        <v>5.4</v>
      </c>
      <c r="G1630">
        <v>3.17</v>
      </c>
      <c r="H1630" t="s">
        <v>10</v>
      </c>
    </row>
    <row r="1631" spans="1:8" x14ac:dyDescent="0.25">
      <c r="A1631">
        <v>1630</v>
      </c>
      <c r="B1631">
        <v>5.9</v>
      </c>
      <c r="C1631">
        <v>3.6</v>
      </c>
      <c r="D1631">
        <v>8.3000000000000007</v>
      </c>
      <c r="E1631">
        <v>5.3</v>
      </c>
      <c r="F1631">
        <v>0.9</v>
      </c>
      <c r="G1631">
        <v>2.99</v>
      </c>
      <c r="H1631" t="s">
        <v>9</v>
      </c>
    </row>
    <row r="1632" spans="1:8" x14ac:dyDescent="0.25">
      <c r="A1632">
        <v>1631</v>
      </c>
      <c r="B1632">
        <v>7.4</v>
      </c>
      <c r="C1632">
        <v>2.2000000000000002</v>
      </c>
      <c r="D1632">
        <v>9.6</v>
      </c>
      <c r="E1632">
        <v>4.3</v>
      </c>
      <c r="F1632">
        <v>0.5</v>
      </c>
      <c r="G1632">
        <v>2.77</v>
      </c>
      <c r="H1632" t="s">
        <v>8</v>
      </c>
    </row>
    <row r="1633" spans="1:8" x14ac:dyDescent="0.25">
      <c r="A1633">
        <v>1632</v>
      </c>
      <c r="B1633">
        <v>7</v>
      </c>
      <c r="C1633">
        <v>1.6</v>
      </c>
      <c r="D1633">
        <v>6.4</v>
      </c>
      <c r="E1633">
        <v>1.6</v>
      </c>
      <c r="F1633">
        <v>7.4</v>
      </c>
      <c r="G1633">
        <v>2.97</v>
      </c>
      <c r="H1633" t="s">
        <v>8</v>
      </c>
    </row>
    <row r="1634" spans="1:8" x14ac:dyDescent="0.25">
      <c r="A1634">
        <v>1633</v>
      </c>
      <c r="B1634">
        <v>9.3000000000000007</v>
      </c>
      <c r="C1634">
        <v>0.3</v>
      </c>
      <c r="D1634">
        <v>8.4</v>
      </c>
      <c r="E1634">
        <v>1</v>
      </c>
      <c r="F1634">
        <v>5</v>
      </c>
      <c r="G1634">
        <v>3.29</v>
      </c>
      <c r="H1634" t="s">
        <v>10</v>
      </c>
    </row>
    <row r="1635" spans="1:8" x14ac:dyDescent="0.25">
      <c r="A1635">
        <v>1634</v>
      </c>
      <c r="B1635">
        <v>6.3</v>
      </c>
      <c r="C1635">
        <v>3.1</v>
      </c>
      <c r="D1635">
        <v>9.4</v>
      </c>
      <c r="E1635">
        <v>1.2</v>
      </c>
      <c r="F1635">
        <v>4</v>
      </c>
      <c r="G1635">
        <v>2.91</v>
      </c>
      <c r="H1635" t="s">
        <v>8</v>
      </c>
    </row>
    <row r="1636" spans="1:8" x14ac:dyDescent="0.25">
      <c r="A1636">
        <v>1635</v>
      </c>
      <c r="B1636">
        <v>7.3</v>
      </c>
      <c r="C1636">
        <v>1.9</v>
      </c>
      <c r="D1636">
        <v>9.4</v>
      </c>
      <c r="E1636">
        <v>4.0999999999999996</v>
      </c>
      <c r="F1636">
        <v>1.3</v>
      </c>
      <c r="G1636">
        <v>3.51</v>
      </c>
      <c r="H1636" t="s">
        <v>8</v>
      </c>
    </row>
    <row r="1637" spans="1:8" x14ac:dyDescent="0.25">
      <c r="A1637">
        <v>1636</v>
      </c>
      <c r="B1637">
        <v>9.1999999999999993</v>
      </c>
      <c r="C1637">
        <v>0</v>
      </c>
      <c r="D1637">
        <v>7</v>
      </c>
      <c r="E1637">
        <v>5.4</v>
      </c>
      <c r="F1637">
        <v>2.4</v>
      </c>
      <c r="G1637">
        <v>3.41</v>
      </c>
      <c r="H1637" t="s">
        <v>10</v>
      </c>
    </row>
    <row r="1638" spans="1:8" x14ac:dyDescent="0.25">
      <c r="A1638">
        <v>1637</v>
      </c>
      <c r="B1638">
        <v>8.6999999999999993</v>
      </c>
      <c r="C1638">
        <v>2.2000000000000002</v>
      </c>
      <c r="D1638">
        <v>7.6</v>
      </c>
      <c r="E1638">
        <v>1.9</v>
      </c>
      <c r="F1638">
        <v>3.6</v>
      </c>
      <c r="G1638">
        <v>3.73</v>
      </c>
      <c r="H1638" t="s">
        <v>10</v>
      </c>
    </row>
    <row r="1639" spans="1:8" x14ac:dyDescent="0.25">
      <c r="A1639">
        <v>1638</v>
      </c>
      <c r="B1639">
        <v>7.1</v>
      </c>
      <c r="C1639">
        <v>2.9</v>
      </c>
      <c r="D1639">
        <v>9.3000000000000007</v>
      </c>
      <c r="E1639">
        <v>0.7</v>
      </c>
      <c r="F1639">
        <v>4</v>
      </c>
      <c r="G1639">
        <v>3.12</v>
      </c>
      <c r="H1639" t="s">
        <v>8</v>
      </c>
    </row>
    <row r="1640" spans="1:8" x14ac:dyDescent="0.25">
      <c r="A1640">
        <v>1639</v>
      </c>
      <c r="B1640">
        <v>7.3</v>
      </c>
      <c r="C1640">
        <v>1.6</v>
      </c>
      <c r="D1640">
        <v>8.4</v>
      </c>
      <c r="E1640">
        <v>1.5</v>
      </c>
      <c r="F1640">
        <v>5.2</v>
      </c>
      <c r="G1640">
        <v>3.27</v>
      </c>
      <c r="H1640" t="s">
        <v>8</v>
      </c>
    </row>
    <row r="1641" spans="1:8" x14ac:dyDescent="0.25">
      <c r="A1641">
        <v>1640</v>
      </c>
      <c r="B1641">
        <v>7.1</v>
      </c>
      <c r="C1641">
        <v>3.6</v>
      </c>
      <c r="D1641">
        <v>10</v>
      </c>
      <c r="E1641">
        <v>0.4</v>
      </c>
      <c r="F1641">
        <v>2.9</v>
      </c>
      <c r="G1641">
        <v>3.13</v>
      </c>
      <c r="H1641" t="s">
        <v>8</v>
      </c>
    </row>
    <row r="1642" spans="1:8" x14ac:dyDescent="0.25">
      <c r="A1642">
        <v>1641</v>
      </c>
      <c r="B1642">
        <v>6.2</v>
      </c>
      <c r="C1642">
        <v>3.8</v>
      </c>
      <c r="D1642">
        <v>9.8000000000000007</v>
      </c>
      <c r="E1642">
        <v>0.4</v>
      </c>
      <c r="F1642">
        <v>3.8</v>
      </c>
      <c r="G1642">
        <v>3.17</v>
      </c>
      <c r="H1642" t="s">
        <v>8</v>
      </c>
    </row>
    <row r="1643" spans="1:8" x14ac:dyDescent="0.25">
      <c r="A1643">
        <v>1642</v>
      </c>
      <c r="B1643">
        <v>5.0999999999999996</v>
      </c>
      <c r="C1643">
        <v>2.4</v>
      </c>
      <c r="D1643">
        <v>6.4</v>
      </c>
      <c r="E1643">
        <v>5.2</v>
      </c>
      <c r="F1643">
        <v>4.9000000000000004</v>
      </c>
      <c r="G1643">
        <v>2.77</v>
      </c>
      <c r="H1643" t="s">
        <v>9</v>
      </c>
    </row>
    <row r="1644" spans="1:8" x14ac:dyDescent="0.25">
      <c r="A1644">
        <v>1643</v>
      </c>
      <c r="B1644">
        <v>6.4</v>
      </c>
      <c r="C1644">
        <v>2.7</v>
      </c>
      <c r="D1644">
        <v>8.4</v>
      </c>
      <c r="E1644">
        <v>1.3</v>
      </c>
      <c r="F1644">
        <v>5.2</v>
      </c>
      <c r="G1644">
        <v>2.94</v>
      </c>
      <c r="H1644" t="s">
        <v>8</v>
      </c>
    </row>
    <row r="1645" spans="1:8" x14ac:dyDescent="0.25">
      <c r="A1645">
        <v>1644</v>
      </c>
      <c r="B1645">
        <v>6.4</v>
      </c>
      <c r="C1645">
        <v>3.2</v>
      </c>
      <c r="D1645">
        <v>9</v>
      </c>
      <c r="E1645">
        <v>2.5</v>
      </c>
      <c r="F1645">
        <v>2.9</v>
      </c>
      <c r="G1645">
        <v>2.87</v>
      </c>
      <c r="H1645" t="s">
        <v>8</v>
      </c>
    </row>
    <row r="1646" spans="1:8" x14ac:dyDescent="0.25">
      <c r="A1646">
        <v>1645</v>
      </c>
      <c r="B1646">
        <v>8</v>
      </c>
      <c r="C1646">
        <v>2.4</v>
      </c>
      <c r="D1646">
        <v>9.1</v>
      </c>
      <c r="E1646">
        <v>1.9</v>
      </c>
      <c r="F1646">
        <v>2.6</v>
      </c>
      <c r="G1646">
        <v>3.01</v>
      </c>
      <c r="H1646" t="s">
        <v>8</v>
      </c>
    </row>
    <row r="1647" spans="1:8" x14ac:dyDescent="0.25">
      <c r="A1647">
        <v>1646</v>
      </c>
      <c r="B1647">
        <v>7.7</v>
      </c>
      <c r="C1647">
        <v>1.8</v>
      </c>
      <c r="D1647">
        <v>7.2</v>
      </c>
      <c r="E1647">
        <v>0.5</v>
      </c>
      <c r="F1647">
        <v>6.8</v>
      </c>
      <c r="G1647">
        <v>2.97</v>
      </c>
      <c r="H1647" t="s">
        <v>8</v>
      </c>
    </row>
    <row r="1648" spans="1:8" x14ac:dyDescent="0.25">
      <c r="A1648">
        <v>1647</v>
      </c>
      <c r="B1648">
        <v>8.6</v>
      </c>
      <c r="C1648">
        <v>0.9</v>
      </c>
      <c r="D1648">
        <v>6</v>
      </c>
      <c r="E1648">
        <v>2.5</v>
      </c>
      <c r="F1648">
        <v>6</v>
      </c>
      <c r="G1648">
        <v>3.38</v>
      </c>
      <c r="H1648" t="s">
        <v>10</v>
      </c>
    </row>
    <row r="1649" spans="1:8" x14ac:dyDescent="0.25">
      <c r="A1649">
        <v>1648</v>
      </c>
      <c r="B1649">
        <v>6.9</v>
      </c>
      <c r="C1649">
        <v>1.8</v>
      </c>
      <c r="D1649">
        <v>7.7</v>
      </c>
      <c r="E1649">
        <v>1.2</v>
      </c>
      <c r="F1649">
        <v>6.4</v>
      </c>
      <c r="G1649">
        <v>2.75</v>
      </c>
      <c r="H1649" t="s">
        <v>8</v>
      </c>
    </row>
    <row r="1650" spans="1:8" x14ac:dyDescent="0.25">
      <c r="A1650">
        <v>1649</v>
      </c>
      <c r="B1650">
        <v>5.8</v>
      </c>
      <c r="C1650">
        <v>3.5</v>
      </c>
      <c r="D1650">
        <v>7.2</v>
      </c>
      <c r="E1650">
        <v>2.5</v>
      </c>
      <c r="F1650">
        <v>5</v>
      </c>
      <c r="G1650">
        <v>2.87</v>
      </c>
      <c r="H1650" t="s">
        <v>9</v>
      </c>
    </row>
    <row r="1651" spans="1:8" x14ac:dyDescent="0.25">
      <c r="A1651">
        <v>1650</v>
      </c>
      <c r="B1651">
        <v>7.8</v>
      </c>
      <c r="C1651">
        <v>2.2000000000000002</v>
      </c>
      <c r="D1651">
        <v>8.5</v>
      </c>
      <c r="E1651">
        <v>1</v>
      </c>
      <c r="F1651">
        <v>4.5</v>
      </c>
      <c r="G1651">
        <v>3.06</v>
      </c>
      <c r="H1651" t="s">
        <v>8</v>
      </c>
    </row>
    <row r="1652" spans="1:8" x14ac:dyDescent="0.25">
      <c r="A1652">
        <v>1651</v>
      </c>
      <c r="B1652">
        <v>6.3</v>
      </c>
      <c r="C1652">
        <v>3.2</v>
      </c>
      <c r="D1652">
        <v>9.6999999999999993</v>
      </c>
      <c r="E1652">
        <v>0.7</v>
      </c>
      <c r="F1652">
        <v>4.0999999999999996</v>
      </c>
      <c r="G1652">
        <v>2.65</v>
      </c>
      <c r="H1652" t="s">
        <v>8</v>
      </c>
    </row>
    <row r="1653" spans="1:8" x14ac:dyDescent="0.25">
      <c r="A1653">
        <v>1652</v>
      </c>
      <c r="B1653">
        <v>5.3</v>
      </c>
      <c r="C1653">
        <v>1.3</v>
      </c>
      <c r="D1653">
        <v>5.7</v>
      </c>
      <c r="E1653">
        <v>4.3</v>
      </c>
      <c r="F1653">
        <v>7.4</v>
      </c>
      <c r="G1653">
        <v>2.79</v>
      </c>
      <c r="H1653" t="s">
        <v>10</v>
      </c>
    </row>
    <row r="1654" spans="1:8" x14ac:dyDescent="0.25">
      <c r="A1654">
        <v>1653</v>
      </c>
      <c r="B1654">
        <v>7.7</v>
      </c>
      <c r="C1654">
        <v>0.6</v>
      </c>
      <c r="D1654">
        <v>5</v>
      </c>
      <c r="E1654">
        <v>4.8</v>
      </c>
      <c r="F1654">
        <v>5.9</v>
      </c>
      <c r="G1654">
        <v>3.23</v>
      </c>
      <c r="H1654" t="s">
        <v>10</v>
      </c>
    </row>
    <row r="1655" spans="1:8" x14ac:dyDescent="0.25">
      <c r="A1655">
        <v>1654</v>
      </c>
      <c r="B1655">
        <v>6.7</v>
      </c>
      <c r="C1655">
        <v>2.2999999999999998</v>
      </c>
      <c r="D1655">
        <v>6.6</v>
      </c>
      <c r="E1655">
        <v>0.5</v>
      </c>
      <c r="F1655">
        <v>7.9</v>
      </c>
      <c r="G1655">
        <v>2.77</v>
      </c>
      <c r="H1655" t="s">
        <v>8</v>
      </c>
    </row>
    <row r="1656" spans="1:8" x14ac:dyDescent="0.25">
      <c r="A1656">
        <v>1655</v>
      </c>
      <c r="B1656">
        <v>6.1</v>
      </c>
      <c r="C1656">
        <v>0.8</v>
      </c>
      <c r="D1656">
        <v>7.1</v>
      </c>
      <c r="E1656">
        <v>3.9</v>
      </c>
      <c r="F1656">
        <v>6.1</v>
      </c>
      <c r="G1656">
        <v>3.4</v>
      </c>
      <c r="H1656" t="s">
        <v>8</v>
      </c>
    </row>
    <row r="1657" spans="1:8" x14ac:dyDescent="0.25">
      <c r="A1657">
        <v>1656</v>
      </c>
      <c r="B1657">
        <v>9.8000000000000007</v>
      </c>
      <c r="C1657">
        <v>2.4</v>
      </c>
      <c r="D1657">
        <v>7.4</v>
      </c>
      <c r="E1657">
        <v>2.5</v>
      </c>
      <c r="F1657">
        <v>1.9</v>
      </c>
      <c r="G1657">
        <v>3.56</v>
      </c>
      <c r="H1657" t="s">
        <v>10</v>
      </c>
    </row>
    <row r="1658" spans="1:8" x14ac:dyDescent="0.25">
      <c r="A1658">
        <v>1657</v>
      </c>
      <c r="B1658">
        <v>9.6</v>
      </c>
      <c r="C1658">
        <v>3.3</v>
      </c>
      <c r="D1658">
        <v>6.6</v>
      </c>
      <c r="E1658">
        <v>1.1000000000000001</v>
      </c>
      <c r="F1658">
        <v>3.4</v>
      </c>
      <c r="G1658">
        <v>3.45</v>
      </c>
      <c r="H1658" t="s">
        <v>10</v>
      </c>
    </row>
    <row r="1659" spans="1:8" x14ac:dyDescent="0.25">
      <c r="A1659">
        <v>1658</v>
      </c>
      <c r="B1659">
        <v>8.6999999999999993</v>
      </c>
      <c r="C1659">
        <v>2</v>
      </c>
      <c r="D1659">
        <v>5.3</v>
      </c>
      <c r="E1659">
        <v>4.3</v>
      </c>
      <c r="F1659">
        <v>3.7</v>
      </c>
      <c r="G1659">
        <v>2.96</v>
      </c>
      <c r="H1659" t="s">
        <v>10</v>
      </c>
    </row>
    <row r="1660" spans="1:8" x14ac:dyDescent="0.25">
      <c r="A1660">
        <v>1659</v>
      </c>
      <c r="B1660">
        <v>9</v>
      </c>
      <c r="C1660">
        <v>1.2</v>
      </c>
      <c r="D1660">
        <v>8.3000000000000007</v>
      </c>
      <c r="E1660">
        <v>2.2999999999999998</v>
      </c>
      <c r="F1660">
        <v>3.2</v>
      </c>
      <c r="G1660">
        <v>3.74</v>
      </c>
      <c r="H1660" t="s">
        <v>10</v>
      </c>
    </row>
    <row r="1661" spans="1:8" x14ac:dyDescent="0.25">
      <c r="A1661">
        <v>1660</v>
      </c>
      <c r="B1661">
        <v>9.4</v>
      </c>
      <c r="C1661">
        <v>2</v>
      </c>
      <c r="D1661">
        <v>6.6</v>
      </c>
      <c r="E1661">
        <v>4.5</v>
      </c>
      <c r="F1661">
        <v>1.5</v>
      </c>
      <c r="G1661">
        <v>3.46</v>
      </c>
      <c r="H1661" t="s">
        <v>10</v>
      </c>
    </row>
    <row r="1662" spans="1:8" x14ac:dyDescent="0.25">
      <c r="A1662">
        <v>1661</v>
      </c>
      <c r="B1662">
        <v>6.1</v>
      </c>
      <c r="C1662">
        <v>1.6</v>
      </c>
      <c r="D1662">
        <v>9.3000000000000007</v>
      </c>
      <c r="E1662">
        <v>4.3</v>
      </c>
      <c r="F1662">
        <v>2.7</v>
      </c>
      <c r="G1662">
        <v>2.65</v>
      </c>
      <c r="H1662" t="s">
        <v>8</v>
      </c>
    </row>
    <row r="1663" spans="1:8" x14ac:dyDescent="0.25">
      <c r="A1663">
        <v>1662</v>
      </c>
      <c r="B1663">
        <v>6.8</v>
      </c>
      <c r="C1663">
        <v>1.1000000000000001</v>
      </c>
      <c r="D1663">
        <v>5.9</v>
      </c>
      <c r="E1663">
        <v>4.5</v>
      </c>
      <c r="F1663">
        <v>5.7</v>
      </c>
      <c r="G1663">
        <v>2.93</v>
      </c>
      <c r="H1663" t="s">
        <v>10</v>
      </c>
    </row>
    <row r="1664" spans="1:8" x14ac:dyDescent="0.25">
      <c r="A1664">
        <v>1663</v>
      </c>
      <c r="B1664">
        <v>6.3</v>
      </c>
      <c r="C1664">
        <v>1.8</v>
      </c>
      <c r="D1664">
        <v>6.9</v>
      </c>
      <c r="E1664">
        <v>5.9</v>
      </c>
      <c r="F1664">
        <v>3.1</v>
      </c>
      <c r="G1664">
        <v>2.8</v>
      </c>
      <c r="H1664" t="s">
        <v>8</v>
      </c>
    </row>
    <row r="1665" spans="1:8" x14ac:dyDescent="0.25">
      <c r="A1665">
        <v>1664</v>
      </c>
      <c r="B1665">
        <v>5.4</v>
      </c>
      <c r="C1665">
        <v>2.4</v>
      </c>
      <c r="D1665">
        <v>8</v>
      </c>
      <c r="E1665">
        <v>2.5</v>
      </c>
      <c r="F1665">
        <v>5.7</v>
      </c>
      <c r="G1665">
        <v>2.77</v>
      </c>
      <c r="H1665" t="s">
        <v>9</v>
      </c>
    </row>
    <row r="1666" spans="1:8" x14ac:dyDescent="0.25">
      <c r="A1666">
        <v>1665</v>
      </c>
      <c r="B1666">
        <v>7.2</v>
      </c>
      <c r="C1666">
        <v>0.2</v>
      </c>
      <c r="D1666">
        <v>7.6</v>
      </c>
      <c r="E1666">
        <v>3</v>
      </c>
      <c r="F1666">
        <v>6</v>
      </c>
      <c r="G1666">
        <v>2.83</v>
      </c>
      <c r="H1666" t="s">
        <v>8</v>
      </c>
    </row>
    <row r="1667" spans="1:8" x14ac:dyDescent="0.25">
      <c r="A1667">
        <v>1666</v>
      </c>
      <c r="B1667">
        <v>6.3</v>
      </c>
      <c r="C1667">
        <v>0.7</v>
      </c>
      <c r="D1667">
        <v>9.8000000000000007</v>
      </c>
      <c r="E1667">
        <v>5.0999999999999996</v>
      </c>
      <c r="F1667">
        <v>2.1</v>
      </c>
      <c r="G1667">
        <v>3.03</v>
      </c>
      <c r="H1667" t="s">
        <v>8</v>
      </c>
    </row>
    <row r="1668" spans="1:8" x14ac:dyDescent="0.25">
      <c r="A1668">
        <v>1667</v>
      </c>
      <c r="B1668">
        <v>6.2</v>
      </c>
      <c r="C1668">
        <v>1.3</v>
      </c>
      <c r="D1668">
        <v>6</v>
      </c>
      <c r="E1668">
        <v>3</v>
      </c>
      <c r="F1668">
        <v>7.5</v>
      </c>
      <c r="G1668">
        <v>3.12</v>
      </c>
      <c r="H1668" t="s">
        <v>8</v>
      </c>
    </row>
    <row r="1669" spans="1:8" x14ac:dyDescent="0.25">
      <c r="A1669">
        <v>1668</v>
      </c>
      <c r="B1669">
        <v>5.8</v>
      </c>
      <c r="C1669">
        <v>3.2</v>
      </c>
      <c r="D1669">
        <v>9</v>
      </c>
      <c r="E1669">
        <v>0.8</v>
      </c>
      <c r="F1669">
        <v>5.2</v>
      </c>
      <c r="G1669">
        <v>2.88</v>
      </c>
      <c r="H1669" t="s">
        <v>9</v>
      </c>
    </row>
    <row r="1670" spans="1:8" x14ac:dyDescent="0.25">
      <c r="A1670">
        <v>1669</v>
      </c>
      <c r="B1670">
        <v>7</v>
      </c>
      <c r="C1670">
        <v>0.7</v>
      </c>
      <c r="D1670">
        <v>6.3</v>
      </c>
      <c r="E1670">
        <v>1.6</v>
      </c>
      <c r="F1670">
        <v>8.4</v>
      </c>
      <c r="G1670">
        <v>2.63</v>
      </c>
      <c r="H1670" t="s">
        <v>8</v>
      </c>
    </row>
    <row r="1671" spans="1:8" x14ac:dyDescent="0.25">
      <c r="A1671">
        <v>1670</v>
      </c>
      <c r="B1671">
        <v>9.6999999999999993</v>
      </c>
      <c r="C1671">
        <v>0.5</v>
      </c>
      <c r="D1671">
        <v>9.9</v>
      </c>
      <c r="E1671">
        <v>0.9</v>
      </c>
      <c r="F1671">
        <v>3</v>
      </c>
      <c r="G1671">
        <v>3.72</v>
      </c>
      <c r="H1671" t="s">
        <v>10</v>
      </c>
    </row>
    <row r="1672" spans="1:8" x14ac:dyDescent="0.25">
      <c r="A1672">
        <v>1671</v>
      </c>
      <c r="B1672">
        <v>8.9</v>
      </c>
      <c r="C1672">
        <v>1.4</v>
      </c>
      <c r="D1672">
        <v>5.7</v>
      </c>
      <c r="E1672">
        <v>5.0999999999999996</v>
      </c>
      <c r="F1672">
        <v>2.9</v>
      </c>
      <c r="G1672">
        <v>3.55</v>
      </c>
      <c r="H1672" t="s">
        <v>10</v>
      </c>
    </row>
    <row r="1673" spans="1:8" x14ac:dyDescent="0.25">
      <c r="A1673">
        <v>1672</v>
      </c>
      <c r="B1673">
        <v>7.8</v>
      </c>
      <c r="C1673">
        <v>1.9</v>
      </c>
      <c r="D1673">
        <v>7.5</v>
      </c>
      <c r="E1673">
        <v>4.4000000000000004</v>
      </c>
      <c r="F1673">
        <v>2.4</v>
      </c>
      <c r="G1673">
        <v>2.91</v>
      </c>
      <c r="H1673" t="s">
        <v>8</v>
      </c>
    </row>
    <row r="1674" spans="1:8" x14ac:dyDescent="0.25">
      <c r="A1674">
        <v>1673</v>
      </c>
      <c r="B1674">
        <v>5.4</v>
      </c>
      <c r="C1674">
        <v>2.7</v>
      </c>
      <c r="D1674">
        <v>9.5</v>
      </c>
      <c r="E1674">
        <v>0.3</v>
      </c>
      <c r="F1674">
        <v>6.1</v>
      </c>
      <c r="G1674">
        <v>2.9</v>
      </c>
      <c r="H1674" t="s">
        <v>9</v>
      </c>
    </row>
    <row r="1675" spans="1:8" x14ac:dyDescent="0.25">
      <c r="A1675">
        <v>1674</v>
      </c>
      <c r="B1675">
        <v>7.2</v>
      </c>
      <c r="C1675">
        <v>1.6</v>
      </c>
      <c r="D1675">
        <v>5.7</v>
      </c>
      <c r="E1675">
        <v>3</v>
      </c>
      <c r="F1675">
        <v>6.5</v>
      </c>
      <c r="G1675">
        <v>2.94</v>
      </c>
      <c r="H1675" t="s">
        <v>10</v>
      </c>
    </row>
    <row r="1676" spans="1:8" x14ac:dyDescent="0.25">
      <c r="A1676">
        <v>1675</v>
      </c>
      <c r="B1676">
        <v>5.6</v>
      </c>
      <c r="C1676">
        <v>1.9</v>
      </c>
      <c r="D1676">
        <v>8.8000000000000007</v>
      </c>
      <c r="E1676">
        <v>1.5</v>
      </c>
      <c r="F1676">
        <v>6.2</v>
      </c>
      <c r="G1676">
        <v>2.89</v>
      </c>
      <c r="H1676" t="s">
        <v>9</v>
      </c>
    </row>
    <row r="1677" spans="1:8" x14ac:dyDescent="0.25">
      <c r="A1677">
        <v>1676</v>
      </c>
      <c r="B1677">
        <v>8.4</v>
      </c>
      <c r="C1677">
        <v>3.4</v>
      </c>
      <c r="D1677">
        <v>7.1</v>
      </c>
      <c r="E1677">
        <v>3.9</v>
      </c>
      <c r="F1677">
        <v>1.2</v>
      </c>
      <c r="G1677">
        <v>3.26</v>
      </c>
      <c r="H1677" t="s">
        <v>10</v>
      </c>
    </row>
    <row r="1678" spans="1:8" x14ac:dyDescent="0.25">
      <c r="A1678">
        <v>1677</v>
      </c>
      <c r="B1678">
        <v>5.2</v>
      </c>
      <c r="C1678">
        <v>0.5</v>
      </c>
      <c r="D1678">
        <v>6</v>
      </c>
      <c r="E1678">
        <v>2.4</v>
      </c>
      <c r="F1678">
        <v>9.9</v>
      </c>
      <c r="G1678">
        <v>2.69</v>
      </c>
      <c r="H1678" t="s">
        <v>9</v>
      </c>
    </row>
    <row r="1679" spans="1:8" x14ac:dyDescent="0.25">
      <c r="A1679">
        <v>1678</v>
      </c>
      <c r="B1679">
        <v>8.3000000000000007</v>
      </c>
      <c r="C1679">
        <v>2.8</v>
      </c>
      <c r="D1679">
        <v>7.9</v>
      </c>
      <c r="E1679">
        <v>1.8</v>
      </c>
      <c r="F1679">
        <v>3.2</v>
      </c>
      <c r="G1679">
        <v>3.44</v>
      </c>
      <c r="H1679" t="s">
        <v>10</v>
      </c>
    </row>
    <row r="1680" spans="1:8" x14ac:dyDescent="0.25">
      <c r="A1680">
        <v>1679</v>
      </c>
      <c r="B1680">
        <v>7.9</v>
      </c>
      <c r="C1680">
        <v>1.4</v>
      </c>
      <c r="D1680">
        <v>5.4</v>
      </c>
      <c r="E1680">
        <v>6</v>
      </c>
      <c r="F1680">
        <v>3.3</v>
      </c>
      <c r="G1680">
        <v>3.11</v>
      </c>
      <c r="H1680" t="s">
        <v>10</v>
      </c>
    </row>
    <row r="1681" spans="1:8" x14ac:dyDescent="0.25">
      <c r="A1681">
        <v>1680</v>
      </c>
      <c r="B1681">
        <v>8.3000000000000007</v>
      </c>
      <c r="C1681">
        <v>1.3</v>
      </c>
      <c r="D1681">
        <v>7</v>
      </c>
      <c r="E1681">
        <v>1.6</v>
      </c>
      <c r="F1681">
        <v>5.8</v>
      </c>
      <c r="G1681">
        <v>3.39</v>
      </c>
      <c r="H1681" t="s">
        <v>10</v>
      </c>
    </row>
    <row r="1682" spans="1:8" x14ac:dyDescent="0.25">
      <c r="A1682">
        <v>1681</v>
      </c>
      <c r="B1682">
        <v>6.7</v>
      </c>
      <c r="C1682">
        <v>1.6</v>
      </c>
      <c r="D1682">
        <v>8.6</v>
      </c>
      <c r="E1682">
        <v>3.1</v>
      </c>
      <c r="F1682">
        <v>4</v>
      </c>
      <c r="G1682">
        <v>3.54</v>
      </c>
      <c r="H1682" t="s">
        <v>8</v>
      </c>
    </row>
    <row r="1683" spans="1:8" x14ac:dyDescent="0.25">
      <c r="A1683">
        <v>1682</v>
      </c>
      <c r="B1683">
        <v>9.6</v>
      </c>
      <c r="C1683">
        <v>0.2</v>
      </c>
      <c r="D1683">
        <v>7.9</v>
      </c>
      <c r="E1683">
        <v>5.0999999999999996</v>
      </c>
      <c r="F1683">
        <v>1.2</v>
      </c>
      <c r="G1683">
        <v>3.46</v>
      </c>
      <c r="H1683" t="s">
        <v>10</v>
      </c>
    </row>
    <row r="1684" spans="1:8" x14ac:dyDescent="0.25">
      <c r="A1684">
        <v>1683</v>
      </c>
      <c r="B1684">
        <v>6.2</v>
      </c>
      <c r="C1684">
        <v>3.5</v>
      </c>
      <c r="D1684">
        <v>5.0999999999999996</v>
      </c>
      <c r="E1684">
        <v>4.4000000000000004</v>
      </c>
      <c r="F1684">
        <v>4.8</v>
      </c>
      <c r="G1684">
        <v>2.97</v>
      </c>
      <c r="H1684" t="s">
        <v>10</v>
      </c>
    </row>
    <row r="1685" spans="1:8" x14ac:dyDescent="0.25">
      <c r="A1685">
        <v>1684</v>
      </c>
      <c r="B1685">
        <v>7.2</v>
      </c>
      <c r="C1685">
        <v>0.2</v>
      </c>
      <c r="D1685">
        <v>9.6</v>
      </c>
      <c r="E1685">
        <v>2.8</v>
      </c>
      <c r="F1685">
        <v>4.2</v>
      </c>
      <c r="G1685">
        <v>3.19</v>
      </c>
      <c r="H1685" t="s">
        <v>8</v>
      </c>
    </row>
    <row r="1686" spans="1:8" x14ac:dyDescent="0.25">
      <c r="A1686">
        <v>1685</v>
      </c>
      <c r="B1686">
        <v>5.0999999999999996</v>
      </c>
      <c r="C1686">
        <v>2.8</v>
      </c>
      <c r="D1686">
        <v>7.4</v>
      </c>
      <c r="E1686">
        <v>0.7</v>
      </c>
      <c r="F1686">
        <v>8</v>
      </c>
      <c r="G1686">
        <v>3.15</v>
      </c>
      <c r="H1686" t="s">
        <v>9</v>
      </c>
    </row>
    <row r="1687" spans="1:8" x14ac:dyDescent="0.25">
      <c r="A1687">
        <v>1686</v>
      </c>
      <c r="B1687">
        <v>7.5</v>
      </c>
      <c r="C1687">
        <v>3.3</v>
      </c>
      <c r="D1687">
        <v>9.3000000000000007</v>
      </c>
      <c r="E1687">
        <v>2.4</v>
      </c>
      <c r="F1687">
        <v>1.5</v>
      </c>
      <c r="G1687">
        <v>3.36</v>
      </c>
      <c r="H1687" t="s">
        <v>8</v>
      </c>
    </row>
    <row r="1688" spans="1:8" x14ac:dyDescent="0.25">
      <c r="A1688">
        <v>1687</v>
      </c>
      <c r="B1688">
        <v>5.0999999999999996</v>
      </c>
      <c r="C1688">
        <v>2.8</v>
      </c>
      <c r="D1688">
        <v>7.1</v>
      </c>
      <c r="E1688">
        <v>3.4</v>
      </c>
      <c r="F1688">
        <v>5.6</v>
      </c>
      <c r="G1688">
        <v>2.5</v>
      </c>
      <c r="H1688" t="s">
        <v>9</v>
      </c>
    </row>
    <row r="1689" spans="1:8" x14ac:dyDescent="0.25">
      <c r="A1689">
        <v>1688</v>
      </c>
      <c r="B1689">
        <v>9.6</v>
      </c>
      <c r="C1689">
        <v>0.5</v>
      </c>
      <c r="D1689">
        <v>8.4</v>
      </c>
      <c r="E1689">
        <v>0</v>
      </c>
      <c r="F1689">
        <v>5.5</v>
      </c>
      <c r="G1689">
        <v>3.7</v>
      </c>
      <c r="H1689" t="s">
        <v>10</v>
      </c>
    </row>
    <row r="1690" spans="1:8" x14ac:dyDescent="0.25">
      <c r="A1690">
        <v>1689</v>
      </c>
      <c r="B1690">
        <v>9.6</v>
      </c>
      <c r="C1690">
        <v>0.5</v>
      </c>
      <c r="D1690">
        <v>5.5</v>
      </c>
      <c r="E1690">
        <v>2</v>
      </c>
      <c r="F1690">
        <v>6.4</v>
      </c>
      <c r="G1690">
        <v>3.19</v>
      </c>
      <c r="H1690" t="s">
        <v>10</v>
      </c>
    </row>
    <row r="1691" spans="1:8" x14ac:dyDescent="0.25">
      <c r="A1691">
        <v>1690</v>
      </c>
      <c r="B1691">
        <v>7.9</v>
      </c>
      <c r="C1691">
        <v>1.8</v>
      </c>
      <c r="D1691">
        <v>5.2</v>
      </c>
      <c r="E1691">
        <v>1.9</v>
      </c>
      <c r="F1691">
        <v>7.2</v>
      </c>
      <c r="G1691">
        <v>3.07</v>
      </c>
      <c r="H1691" t="s">
        <v>10</v>
      </c>
    </row>
    <row r="1692" spans="1:8" x14ac:dyDescent="0.25">
      <c r="A1692">
        <v>1691</v>
      </c>
      <c r="B1692">
        <v>9.1</v>
      </c>
      <c r="C1692">
        <v>2.8</v>
      </c>
      <c r="D1692">
        <v>8.6</v>
      </c>
      <c r="E1692">
        <v>2.4</v>
      </c>
      <c r="F1692">
        <v>1.1000000000000001</v>
      </c>
      <c r="G1692">
        <v>3.24</v>
      </c>
      <c r="H1692" t="s">
        <v>10</v>
      </c>
    </row>
    <row r="1693" spans="1:8" x14ac:dyDescent="0.25">
      <c r="A1693">
        <v>1692</v>
      </c>
      <c r="B1693">
        <v>6.4</v>
      </c>
      <c r="C1693">
        <v>3.3</v>
      </c>
      <c r="D1693">
        <v>9.9</v>
      </c>
      <c r="E1693">
        <v>2.2000000000000002</v>
      </c>
      <c r="F1693">
        <v>2.2000000000000002</v>
      </c>
      <c r="G1693">
        <v>2.9</v>
      </c>
      <c r="H1693" t="s">
        <v>8</v>
      </c>
    </row>
    <row r="1694" spans="1:8" x14ac:dyDescent="0.25">
      <c r="A1694">
        <v>1693</v>
      </c>
      <c r="B1694">
        <v>5</v>
      </c>
      <c r="C1694">
        <v>0.6</v>
      </c>
      <c r="D1694">
        <v>6.6</v>
      </c>
      <c r="E1694">
        <v>3.5</v>
      </c>
      <c r="F1694">
        <v>8.3000000000000007</v>
      </c>
      <c r="G1694">
        <v>2.89</v>
      </c>
      <c r="H1694" t="s">
        <v>9</v>
      </c>
    </row>
    <row r="1695" spans="1:8" x14ac:dyDescent="0.25">
      <c r="A1695">
        <v>1694</v>
      </c>
      <c r="B1695">
        <v>8.9</v>
      </c>
      <c r="C1695">
        <v>3</v>
      </c>
      <c r="D1695">
        <v>8</v>
      </c>
      <c r="E1695">
        <v>2.6</v>
      </c>
      <c r="F1695">
        <v>1.5</v>
      </c>
      <c r="G1695">
        <v>3.29</v>
      </c>
      <c r="H1695" t="s">
        <v>10</v>
      </c>
    </row>
    <row r="1696" spans="1:8" x14ac:dyDescent="0.25">
      <c r="A1696">
        <v>1695</v>
      </c>
      <c r="B1696">
        <v>8.1999999999999993</v>
      </c>
      <c r="C1696">
        <v>2.5</v>
      </c>
      <c r="D1696">
        <v>7.8</v>
      </c>
      <c r="E1696">
        <v>5.4</v>
      </c>
      <c r="F1696">
        <v>0.1</v>
      </c>
      <c r="G1696">
        <v>3.4</v>
      </c>
      <c r="H1696" t="s">
        <v>10</v>
      </c>
    </row>
    <row r="1697" spans="1:8" x14ac:dyDescent="0.25">
      <c r="A1697">
        <v>1696</v>
      </c>
      <c r="B1697">
        <v>9.4</v>
      </c>
      <c r="C1697">
        <v>0.9</v>
      </c>
      <c r="D1697">
        <v>5.4</v>
      </c>
      <c r="E1697">
        <v>2.9</v>
      </c>
      <c r="F1697">
        <v>5.4</v>
      </c>
      <c r="G1697">
        <v>3.56</v>
      </c>
      <c r="H1697" t="s">
        <v>10</v>
      </c>
    </row>
    <row r="1698" spans="1:8" x14ac:dyDescent="0.25">
      <c r="A1698">
        <v>1697</v>
      </c>
      <c r="B1698">
        <v>7.6</v>
      </c>
      <c r="C1698">
        <v>3.3</v>
      </c>
      <c r="D1698">
        <v>7.2</v>
      </c>
      <c r="E1698">
        <v>3.4</v>
      </c>
      <c r="F1698">
        <v>2.5</v>
      </c>
      <c r="G1698">
        <v>3.03</v>
      </c>
      <c r="H1698" t="s">
        <v>8</v>
      </c>
    </row>
    <row r="1699" spans="1:8" x14ac:dyDescent="0.25">
      <c r="A1699">
        <v>1698</v>
      </c>
      <c r="B1699">
        <v>8.1</v>
      </c>
      <c r="C1699">
        <v>3.3</v>
      </c>
      <c r="D1699">
        <v>5.8</v>
      </c>
      <c r="E1699">
        <v>3.6</v>
      </c>
      <c r="F1699">
        <v>3.2</v>
      </c>
      <c r="G1699">
        <v>3.22</v>
      </c>
      <c r="H1699" t="s">
        <v>10</v>
      </c>
    </row>
    <row r="1700" spans="1:8" x14ac:dyDescent="0.25">
      <c r="A1700">
        <v>1699</v>
      </c>
      <c r="B1700">
        <v>8</v>
      </c>
      <c r="C1700">
        <v>0.7</v>
      </c>
      <c r="D1700">
        <v>5.6</v>
      </c>
      <c r="E1700">
        <v>5.9</v>
      </c>
      <c r="F1700">
        <v>3.8</v>
      </c>
      <c r="G1700">
        <v>2.93</v>
      </c>
      <c r="H1700" t="s">
        <v>10</v>
      </c>
    </row>
    <row r="1701" spans="1:8" x14ac:dyDescent="0.25">
      <c r="A1701">
        <v>1700</v>
      </c>
      <c r="B1701">
        <v>5.9</v>
      </c>
      <c r="C1701">
        <v>2.7</v>
      </c>
      <c r="D1701">
        <v>8</v>
      </c>
      <c r="E1701">
        <v>3.9</v>
      </c>
      <c r="F1701">
        <v>3.5</v>
      </c>
      <c r="G1701">
        <v>2.78</v>
      </c>
      <c r="H1701" t="s">
        <v>9</v>
      </c>
    </row>
    <row r="1702" spans="1:8" x14ac:dyDescent="0.25">
      <c r="A1702">
        <v>1701</v>
      </c>
      <c r="B1702">
        <v>5.4</v>
      </c>
      <c r="C1702">
        <v>3.6</v>
      </c>
      <c r="D1702">
        <v>6.9</v>
      </c>
      <c r="E1702">
        <v>1.9</v>
      </c>
      <c r="F1702">
        <v>6.2</v>
      </c>
      <c r="G1702">
        <v>2.35</v>
      </c>
      <c r="H1702" t="s">
        <v>9</v>
      </c>
    </row>
    <row r="1703" spans="1:8" x14ac:dyDescent="0.25">
      <c r="A1703">
        <v>1702</v>
      </c>
      <c r="B1703">
        <v>9.3000000000000007</v>
      </c>
      <c r="C1703">
        <v>3.7</v>
      </c>
      <c r="D1703">
        <v>6.5</v>
      </c>
      <c r="E1703">
        <v>3.9</v>
      </c>
      <c r="F1703">
        <v>0.6</v>
      </c>
      <c r="G1703">
        <v>3.24</v>
      </c>
      <c r="H1703" t="s">
        <v>10</v>
      </c>
    </row>
    <row r="1704" spans="1:8" x14ac:dyDescent="0.25">
      <c r="A1704">
        <v>1703</v>
      </c>
      <c r="B1704">
        <v>8.9</v>
      </c>
      <c r="C1704">
        <v>3.7</v>
      </c>
      <c r="D1704">
        <v>6.2</v>
      </c>
      <c r="E1704">
        <v>3</v>
      </c>
      <c r="F1704">
        <v>2.2000000000000002</v>
      </c>
      <c r="G1704">
        <v>3.49</v>
      </c>
      <c r="H1704" t="s">
        <v>10</v>
      </c>
    </row>
    <row r="1705" spans="1:8" x14ac:dyDescent="0.25">
      <c r="A1705">
        <v>1704</v>
      </c>
      <c r="B1705">
        <v>5</v>
      </c>
      <c r="C1705">
        <v>2.2999999999999998</v>
      </c>
      <c r="D1705">
        <v>6.7</v>
      </c>
      <c r="E1705">
        <v>1.9</v>
      </c>
      <c r="F1705">
        <v>8.1</v>
      </c>
      <c r="G1705">
        <v>2.64</v>
      </c>
      <c r="H1705" t="s">
        <v>9</v>
      </c>
    </row>
    <row r="1706" spans="1:8" x14ac:dyDescent="0.25">
      <c r="A1706">
        <v>1705</v>
      </c>
      <c r="B1706">
        <v>8.1999999999999993</v>
      </c>
      <c r="C1706">
        <v>3.4</v>
      </c>
      <c r="D1706">
        <v>8</v>
      </c>
      <c r="E1706">
        <v>3.8</v>
      </c>
      <c r="F1706">
        <v>0.6</v>
      </c>
      <c r="G1706">
        <v>3.26</v>
      </c>
      <c r="H1706" t="s">
        <v>10</v>
      </c>
    </row>
    <row r="1707" spans="1:8" x14ac:dyDescent="0.25">
      <c r="A1707">
        <v>1706</v>
      </c>
      <c r="B1707">
        <v>7.3</v>
      </c>
      <c r="C1707">
        <v>0</v>
      </c>
      <c r="D1707">
        <v>7.8</v>
      </c>
      <c r="E1707">
        <v>4</v>
      </c>
      <c r="F1707">
        <v>4.9000000000000004</v>
      </c>
      <c r="G1707">
        <v>2.75</v>
      </c>
      <c r="H1707" t="s">
        <v>8</v>
      </c>
    </row>
    <row r="1708" spans="1:8" x14ac:dyDescent="0.25">
      <c r="A1708">
        <v>1707</v>
      </c>
      <c r="B1708">
        <v>8</v>
      </c>
      <c r="C1708">
        <v>2.9</v>
      </c>
      <c r="D1708">
        <v>7.9</v>
      </c>
      <c r="E1708">
        <v>0.3</v>
      </c>
      <c r="F1708">
        <v>4.9000000000000004</v>
      </c>
      <c r="G1708">
        <v>3.25</v>
      </c>
      <c r="H1708" t="s">
        <v>8</v>
      </c>
    </row>
    <row r="1709" spans="1:8" x14ac:dyDescent="0.25">
      <c r="A1709">
        <v>1708</v>
      </c>
      <c r="B1709">
        <v>6.4</v>
      </c>
      <c r="C1709">
        <v>0.3</v>
      </c>
      <c r="D1709">
        <v>7.1</v>
      </c>
      <c r="E1709">
        <v>3.3</v>
      </c>
      <c r="F1709">
        <v>6.9</v>
      </c>
      <c r="G1709">
        <v>2.77</v>
      </c>
      <c r="H1709" t="s">
        <v>8</v>
      </c>
    </row>
    <row r="1710" spans="1:8" x14ac:dyDescent="0.25">
      <c r="A1710">
        <v>1709</v>
      </c>
      <c r="B1710">
        <v>6.6</v>
      </c>
      <c r="C1710">
        <v>2.9</v>
      </c>
      <c r="D1710">
        <v>8.1999999999999993</v>
      </c>
      <c r="E1710">
        <v>2</v>
      </c>
      <c r="F1710">
        <v>4.3</v>
      </c>
      <c r="G1710">
        <v>3.14</v>
      </c>
      <c r="H1710" t="s">
        <v>8</v>
      </c>
    </row>
    <row r="1711" spans="1:8" x14ac:dyDescent="0.25">
      <c r="A1711">
        <v>1710</v>
      </c>
      <c r="B1711">
        <v>8.1999999999999993</v>
      </c>
      <c r="C1711">
        <v>2.2000000000000002</v>
      </c>
      <c r="D1711">
        <v>5.0999999999999996</v>
      </c>
      <c r="E1711">
        <v>4.2</v>
      </c>
      <c r="F1711">
        <v>4.3</v>
      </c>
      <c r="G1711">
        <v>3.48</v>
      </c>
      <c r="H1711" t="s">
        <v>10</v>
      </c>
    </row>
    <row r="1712" spans="1:8" x14ac:dyDescent="0.25">
      <c r="A1712">
        <v>1711</v>
      </c>
      <c r="B1712">
        <v>6.9</v>
      </c>
      <c r="C1712">
        <v>3.8</v>
      </c>
      <c r="D1712">
        <v>9.1</v>
      </c>
      <c r="E1712">
        <v>2.5</v>
      </c>
      <c r="F1712">
        <v>1.7</v>
      </c>
      <c r="G1712">
        <v>2.88</v>
      </c>
      <c r="H1712" t="s">
        <v>8</v>
      </c>
    </row>
    <row r="1713" spans="1:8" x14ac:dyDescent="0.25">
      <c r="A1713">
        <v>1712</v>
      </c>
      <c r="B1713">
        <v>6.7</v>
      </c>
      <c r="C1713">
        <v>1.9</v>
      </c>
      <c r="D1713">
        <v>6.5</v>
      </c>
      <c r="E1713">
        <v>3.1</v>
      </c>
      <c r="F1713">
        <v>5.8</v>
      </c>
      <c r="G1713">
        <v>2.87</v>
      </c>
      <c r="H1713" t="s">
        <v>8</v>
      </c>
    </row>
    <row r="1714" spans="1:8" x14ac:dyDescent="0.25">
      <c r="A1714">
        <v>1713</v>
      </c>
      <c r="B1714">
        <v>5.8</v>
      </c>
      <c r="C1714">
        <v>3.9</v>
      </c>
      <c r="D1714">
        <v>5.5</v>
      </c>
      <c r="E1714">
        <v>5.6</v>
      </c>
      <c r="F1714">
        <v>3.2</v>
      </c>
      <c r="G1714">
        <v>2.88</v>
      </c>
      <c r="H1714" t="s">
        <v>10</v>
      </c>
    </row>
    <row r="1715" spans="1:8" x14ac:dyDescent="0.25">
      <c r="A1715">
        <v>1714</v>
      </c>
      <c r="B1715">
        <v>8.6</v>
      </c>
      <c r="C1715">
        <v>1.7</v>
      </c>
      <c r="D1715">
        <v>8.1999999999999993</v>
      </c>
      <c r="E1715">
        <v>1.9</v>
      </c>
      <c r="F1715">
        <v>3.6</v>
      </c>
      <c r="G1715">
        <v>3.46</v>
      </c>
      <c r="H1715" t="s">
        <v>10</v>
      </c>
    </row>
    <row r="1716" spans="1:8" x14ac:dyDescent="0.25">
      <c r="A1716">
        <v>1715</v>
      </c>
      <c r="B1716">
        <v>6.5</v>
      </c>
      <c r="C1716">
        <v>2.2999999999999998</v>
      </c>
      <c r="D1716">
        <v>7.5</v>
      </c>
      <c r="E1716">
        <v>3.5</v>
      </c>
      <c r="F1716">
        <v>4.2</v>
      </c>
      <c r="G1716">
        <v>2.8</v>
      </c>
      <c r="H1716" t="s">
        <v>8</v>
      </c>
    </row>
    <row r="1717" spans="1:8" x14ac:dyDescent="0.25">
      <c r="A1717">
        <v>1716</v>
      </c>
      <c r="B1717">
        <v>5.4</v>
      </c>
      <c r="C1717">
        <v>0.2</v>
      </c>
      <c r="D1717">
        <v>6.3</v>
      </c>
      <c r="E1717">
        <v>0.4</v>
      </c>
      <c r="F1717">
        <v>11.7</v>
      </c>
      <c r="G1717">
        <v>2.5299999999999998</v>
      </c>
      <c r="H1717" t="s">
        <v>9</v>
      </c>
    </row>
    <row r="1718" spans="1:8" x14ac:dyDescent="0.25">
      <c r="A1718">
        <v>1717</v>
      </c>
      <c r="B1718">
        <v>5.5</v>
      </c>
      <c r="C1718">
        <v>3.3</v>
      </c>
      <c r="D1718">
        <v>5.2</v>
      </c>
      <c r="E1718">
        <v>4</v>
      </c>
      <c r="F1718">
        <v>6</v>
      </c>
      <c r="G1718">
        <v>2.95</v>
      </c>
      <c r="H1718" t="s">
        <v>10</v>
      </c>
    </row>
    <row r="1719" spans="1:8" x14ac:dyDescent="0.25">
      <c r="A1719">
        <v>1718</v>
      </c>
      <c r="B1719">
        <v>7.4</v>
      </c>
      <c r="C1719">
        <v>1.2</v>
      </c>
      <c r="D1719">
        <v>7.6</v>
      </c>
      <c r="E1719">
        <v>2.2999999999999998</v>
      </c>
      <c r="F1719">
        <v>5.5</v>
      </c>
      <c r="G1719">
        <v>3.03</v>
      </c>
      <c r="H1719" t="s">
        <v>8</v>
      </c>
    </row>
    <row r="1720" spans="1:8" x14ac:dyDescent="0.25">
      <c r="A1720">
        <v>1719</v>
      </c>
      <c r="B1720">
        <v>7.8</v>
      </c>
      <c r="C1720">
        <v>0.5</v>
      </c>
      <c r="D1720">
        <v>10</v>
      </c>
      <c r="E1720">
        <v>2.4</v>
      </c>
      <c r="F1720">
        <v>3.3</v>
      </c>
      <c r="G1720">
        <v>3.43</v>
      </c>
      <c r="H1720" t="s">
        <v>8</v>
      </c>
    </row>
    <row r="1721" spans="1:8" x14ac:dyDescent="0.25">
      <c r="A1721">
        <v>1720</v>
      </c>
      <c r="B1721">
        <v>6.8</v>
      </c>
      <c r="C1721">
        <v>3.3</v>
      </c>
      <c r="D1721">
        <v>7.3</v>
      </c>
      <c r="E1721">
        <v>4.3</v>
      </c>
      <c r="F1721">
        <v>2.2999999999999998</v>
      </c>
      <c r="G1721">
        <v>2.83</v>
      </c>
      <c r="H1721" t="s">
        <v>8</v>
      </c>
    </row>
    <row r="1722" spans="1:8" x14ac:dyDescent="0.25">
      <c r="A1722">
        <v>1721</v>
      </c>
      <c r="B1722">
        <v>5.5</v>
      </c>
      <c r="C1722">
        <v>3.4</v>
      </c>
      <c r="D1722">
        <v>8.6999999999999993</v>
      </c>
      <c r="E1722">
        <v>1.3</v>
      </c>
      <c r="F1722">
        <v>5.0999999999999996</v>
      </c>
      <c r="G1722">
        <v>2.74</v>
      </c>
      <c r="H1722" t="s">
        <v>9</v>
      </c>
    </row>
    <row r="1723" spans="1:8" x14ac:dyDescent="0.25">
      <c r="A1723">
        <v>1722</v>
      </c>
      <c r="B1723">
        <v>9.9</v>
      </c>
      <c r="C1723">
        <v>1</v>
      </c>
      <c r="D1723">
        <v>7.3</v>
      </c>
      <c r="E1723">
        <v>0.2</v>
      </c>
      <c r="F1723">
        <v>5.6</v>
      </c>
      <c r="G1723">
        <v>3.32</v>
      </c>
      <c r="H1723" t="s">
        <v>10</v>
      </c>
    </row>
    <row r="1724" spans="1:8" x14ac:dyDescent="0.25">
      <c r="A1724">
        <v>1723</v>
      </c>
      <c r="B1724">
        <v>7</v>
      </c>
      <c r="C1724">
        <v>2.2999999999999998</v>
      </c>
      <c r="D1724">
        <v>9.8000000000000007</v>
      </c>
      <c r="E1724">
        <v>2.5</v>
      </c>
      <c r="F1724">
        <v>2.4</v>
      </c>
      <c r="G1724">
        <v>3.09</v>
      </c>
      <c r="H1724" t="s">
        <v>8</v>
      </c>
    </row>
    <row r="1725" spans="1:8" x14ac:dyDescent="0.25">
      <c r="A1725">
        <v>1724</v>
      </c>
      <c r="B1725">
        <v>5.2</v>
      </c>
      <c r="C1725">
        <v>1.3</v>
      </c>
      <c r="D1725">
        <v>7.9</v>
      </c>
      <c r="E1725">
        <v>5.7</v>
      </c>
      <c r="F1725">
        <v>3.9</v>
      </c>
      <c r="G1725">
        <v>3.04</v>
      </c>
      <c r="H1725" t="s">
        <v>9</v>
      </c>
    </row>
    <row r="1726" spans="1:8" x14ac:dyDescent="0.25">
      <c r="A1726">
        <v>1725</v>
      </c>
      <c r="B1726">
        <v>9.3000000000000007</v>
      </c>
      <c r="C1726">
        <v>0.9</v>
      </c>
      <c r="D1726">
        <v>6.1</v>
      </c>
      <c r="E1726">
        <v>1.2</v>
      </c>
      <c r="F1726">
        <v>6.5</v>
      </c>
      <c r="G1726">
        <v>3.29</v>
      </c>
      <c r="H1726" t="s">
        <v>10</v>
      </c>
    </row>
    <row r="1727" spans="1:8" x14ac:dyDescent="0.25">
      <c r="A1727">
        <v>1726</v>
      </c>
      <c r="B1727">
        <v>7.5</v>
      </c>
      <c r="C1727">
        <v>1.9</v>
      </c>
      <c r="D1727">
        <v>6.3</v>
      </c>
      <c r="E1727">
        <v>3</v>
      </c>
      <c r="F1727">
        <v>5.3</v>
      </c>
      <c r="G1727">
        <v>3.4</v>
      </c>
      <c r="H1727" t="s">
        <v>8</v>
      </c>
    </row>
    <row r="1728" spans="1:8" x14ac:dyDescent="0.25">
      <c r="A1728">
        <v>1727</v>
      </c>
      <c r="B1728">
        <v>5.2</v>
      </c>
      <c r="C1728">
        <v>0.5</v>
      </c>
      <c r="D1728">
        <v>9.4</v>
      </c>
      <c r="E1728">
        <v>4.5</v>
      </c>
      <c r="F1728">
        <v>4.4000000000000004</v>
      </c>
      <c r="G1728">
        <v>2.9</v>
      </c>
      <c r="H1728" t="s">
        <v>9</v>
      </c>
    </row>
    <row r="1729" spans="1:8" x14ac:dyDescent="0.25">
      <c r="A1729">
        <v>1728</v>
      </c>
      <c r="B1729">
        <v>6.8</v>
      </c>
      <c r="C1729">
        <v>3</v>
      </c>
      <c r="D1729">
        <v>8.9</v>
      </c>
      <c r="E1729">
        <v>4</v>
      </c>
      <c r="F1729">
        <v>1.3</v>
      </c>
      <c r="G1729">
        <v>2.4900000000000002</v>
      </c>
      <c r="H1729" t="s">
        <v>8</v>
      </c>
    </row>
    <row r="1730" spans="1:8" x14ac:dyDescent="0.25">
      <c r="A1730">
        <v>1729</v>
      </c>
      <c r="B1730">
        <v>8.6</v>
      </c>
      <c r="C1730">
        <v>0.8</v>
      </c>
      <c r="D1730">
        <v>6.7</v>
      </c>
      <c r="E1730">
        <v>2.8</v>
      </c>
      <c r="F1730">
        <v>5.0999999999999996</v>
      </c>
      <c r="G1730">
        <v>3.52</v>
      </c>
      <c r="H1730" t="s">
        <v>10</v>
      </c>
    </row>
    <row r="1731" spans="1:8" x14ac:dyDescent="0.25">
      <c r="A1731">
        <v>1730</v>
      </c>
      <c r="B1731">
        <v>6.6</v>
      </c>
      <c r="C1731">
        <v>0.6</v>
      </c>
      <c r="D1731">
        <v>7</v>
      </c>
      <c r="E1731">
        <v>5.9</v>
      </c>
      <c r="F1731">
        <v>3.9</v>
      </c>
      <c r="G1731">
        <v>2.83</v>
      </c>
      <c r="H1731" t="s">
        <v>8</v>
      </c>
    </row>
    <row r="1732" spans="1:8" x14ac:dyDescent="0.25">
      <c r="A1732">
        <v>1731</v>
      </c>
      <c r="B1732">
        <v>6.1</v>
      </c>
      <c r="C1732">
        <v>2.4</v>
      </c>
      <c r="D1732">
        <v>7.2</v>
      </c>
      <c r="E1732">
        <v>0.4</v>
      </c>
      <c r="F1732">
        <v>7.9</v>
      </c>
      <c r="G1732">
        <v>3.29</v>
      </c>
      <c r="H1732" t="s">
        <v>8</v>
      </c>
    </row>
    <row r="1733" spans="1:8" x14ac:dyDescent="0.25">
      <c r="A1733">
        <v>1732</v>
      </c>
      <c r="B1733">
        <v>7.6</v>
      </c>
      <c r="C1733">
        <v>3.5</v>
      </c>
      <c r="D1733">
        <v>6.4</v>
      </c>
      <c r="E1733">
        <v>0.5</v>
      </c>
      <c r="F1733">
        <v>6</v>
      </c>
      <c r="G1733">
        <v>3.12</v>
      </c>
      <c r="H1733" t="s">
        <v>8</v>
      </c>
    </row>
    <row r="1734" spans="1:8" x14ac:dyDescent="0.25">
      <c r="A1734">
        <v>1733</v>
      </c>
      <c r="B1734">
        <v>9.6999999999999993</v>
      </c>
      <c r="C1734">
        <v>1.5</v>
      </c>
      <c r="D1734">
        <v>7.9</v>
      </c>
      <c r="E1734">
        <v>3.9</v>
      </c>
      <c r="F1734">
        <v>1</v>
      </c>
      <c r="G1734">
        <v>3.69</v>
      </c>
      <c r="H1734" t="s">
        <v>10</v>
      </c>
    </row>
    <row r="1735" spans="1:8" x14ac:dyDescent="0.25">
      <c r="A1735">
        <v>1734</v>
      </c>
      <c r="B1735">
        <v>5.7</v>
      </c>
      <c r="C1735">
        <v>1.2</v>
      </c>
      <c r="D1735">
        <v>5.7</v>
      </c>
      <c r="E1735">
        <v>4.9000000000000004</v>
      </c>
      <c r="F1735">
        <v>6.5</v>
      </c>
      <c r="G1735">
        <v>2.66</v>
      </c>
      <c r="H1735" t="s">
        <v>10</v>
      </c>
    </row>
    <row r="1736" spans="1:8" x14ac:dyDescent="0.25">
      <c r="A1736">
        <v>1735</v>
      </c>
      <c r="B1736">
        <v>6.1</v>
      </c>
      <c r="C1736">
        <v>2.9</v>
      </c>
      <c r="D1736">
        <v>9.6999999999999993</v>
      </c>
      <c r="E1736">
        <v>2.8</v>
      </c>
      <c r="F1736">
        <v>2.5</v>
      </c>
      <c r="G1736">
        <v>2.5</v>
      </c>
      <c r="H1736" t="s">
        <v>8</v>
      </c>
    </row>
    <row r="1737" spans="1:8" x14ac:dyDescent="0.25">
      <c r="A1737">
        <v>1736</v>
      </c>
      <c r="B1737">
        <v>6.6</v>
      </c>
      <c r="C1737">
        <v>1.9</v>
      </c>
      <c r="D1737">
        <v>8</v>
      </c>
      <c r="E1737">
        <v>5.9</v>
      </c>
      <c r="F1737">
        <v>1.6</v>
      </c>
      <c r="G1737">
        <v>3.41</v>
      </c>
      <c r="H1737" t="s">
        <v>8</v>
      </c>
    </row>
    <row r="1738" spans="1:8" x14ac:dyDescent="0.25">
      <c r="A1738">
        <v>1737</v>
      </c>
      <c r="B1738">
        <v>9.6999999999999993</v>
      </c>
      <c r="C1738">
        <v>3.4</v>
      </c>
      <c r="D1738">
        <v>9.4</v>
      </c>
      <c r="E1738">
        <v>0.7</v>
      </c>
      <c r="F1738">
        <v>0.8</v>
      </c>
      <c r="G1738">
        <v>3.6</v>
      </c>
      <c r="H1738" t="s">
        <v>10</v>
      </c>
    </row>
    <row r="1739" spans="1:8" x14ac:dyDescent="0.25">
      <c r="A1739">
        <v>1738</v>
      </c>
      <c r="B1739">
        <v>7</v>
      </c>
      <c r="C1739">
        <v>3.8</v>
      </c>
      <c r="D1739">
        <v>7.1</v>
      </c>
      <c r="E1739">
        <v>3.6</v>
      </c>
      <c r="F1739">
        <v>2.5</v>
      </c>
      <c r="G1739">
        <v>3.11</v>
      </c>
      <c r="H1739" t="s">
        <v>8</v>
      </c>
    </row>
    <row r="1740" spans="1:8" x14ac:dyDescent="0.25">
      <c r="A1740">
        <v>1739</v>
      </c>
      <c r="B1740">
        <v>8.5</v>
      </c>
      <c r="C1740">
        <v>3.8</v>
      </c>
      <c r="D1740">
        <v>6.2</v>
      </c>
      <c r="E1740">
        <v>4.0999999999999996</v>
      </c>
      <c r="F1740">
        <v>1.4</v>
      </c>
      <c r="G1740">
        <v>2.93</v>
      </c>
      <c r="H1740" t="s">
        <v>10</v>
      </c>
    </row>
    <row r="1741" spans="1:8" x14ac:dyDescent="0.25">
      <c r="A1741">
        <v>1740</v>
      </c>
      <c r="B1741">
        <v>8.9</v>
      </c>
      <c r="C1741">
        <v>2.2000000000000002</v>
      </c>
      <c r="D1741">
        <v>8.3000000000000007</v>
      </c>
      <c r="E1741">
        <v>1.5</v>
      </c>
      <c r="F1741">
        <v>3.1</v>
      </c>
      <c r="G1741">
        <v>3.37</v>
      </c>
      <c r="H1741" t="s">
        <v>10</v>
      </c>
    </row>
    <row r="1742" spans="1:8" x14ac:dyDescent="0.25">
      <c r="A1742">
        <v>1741</v>
      </c>
      <c r="B1742">
        <v>7.4</v>
      </c>
      <c r="C1742">
        <v>2.5</v>
      </c>
      <c r="D1742">
        <v>7</v>
      </c>
      <c r="E1742">
        <v>1.2</v>
      </c>
      <c r="F1742">
        <v>5.9</v>
      </c>
      <c r="G1742">
        <v>3.11</v>
      </c>
      <c r="H1742" t="s">
        <v>8</v>
      </c>
    </row>
    <row r="1743" spans="1:8" x14ac:dyDescent="0.25">
      <c r="A1743">
        <v>1742</v>
      </c>
      <c r="B1743">
        <v>8.6999999999999993</v>
      </c>
      <c r="C1743">
        <v>1.6</v>
      </c>
      <c r="D1743">
        <v>6.8</v>
      </c>
      <c r="E1743">
        <v>2.4</v>
      </c>
      <c r="F1743">
        <v>4.5</v>
      </c>
      <c r="G1743">
        <v>3.42</v>
      </c>
      <c r="H1743" t="s">
        <v>10</v>
      </c>
    </row>
    <row r="1744" spans="1:8" x14ac:dyDescent="0.25">
      <c r="A1744">
        <v>1743</v>
      </c>
      <c r="B1744">
        <v>7</v>
      </c>
      <c r="C1744">
        <v>2.2000000000000002</v>
      </c>
      <c r="D1744">
        <v>7.7</v>
      </c>
      <c r="E1744">
        <v>3</v>
      </c>
      <c r="F1744">
        <v>4.0999999999999996</v>
      </c>
      <c r="G1744">
        <v>3.05</v>
      </c>
      <c r="H1744" t="s">
        <v>8</v>
      </c>
    </row>
    <row r="1745" spans="1:8" x14ac:dyDescent="0.25">
      <c r="A1745">
        <v>1744</v>
      </c>
      <c r="B1745">
        <v>5.8</v>
      </c>
      <c r="C1745">
        <v>0.5</v>
      </c>
      <c r="D1745">
        <v>9.6999999999999993</v>
      </c>
      <c r="E1745">
        <v>3.6</v>
      </c>
      <c r="F1745">
        <v>4.4000000000000004</v>
      </c>
      <c r="G1745">
        <v>2.65</v>
      </c>
      <c r="H1745" t="s">
        <v>9</v>
      </c>
    </row>
    <row r="1746" spans="1:8" x14ac:dyDescent="0.25">
      <c r="A1746">
        <v>1745</v>
      </c>
      <c r="B1746">
        <v>8.3000000000000007</v>
      </c>
      <c r="C1746">
        <v>1.6</v>
      </c>
      <c r="D1746">
        <v>9.5</v>
      </c>
      <c r="E1746">
        <v>2.9</v>
      </c>
      <c r="F1746">
        <v>1.7</v>
      </c>
      <c r="G1746">
        <v>3.12</v>
      </c>
      <c r="H1746" t="s">
        <v>10</v>
      </c>
    </row>
    <row r="1747" spans="1:8" x14ac:dyDescent="0.25">
      <c r="A1747">
        <v>1746</v>
      </c>
      <c r="B1747">
        <v>9.8000000000000007</v>
      </c>
      <c r="C1747">
        <v>3.3</v>
      </c>
      <c r="D1747">
        <v>9.3000000000000007</v>
      </c>
      <c r="E1747">
        <v>0.3</v>
      </c>
      <c r="F1747">
        <v>1.3</v>
      </c>
      <c r="G1747">
        <v>3.73</v>
      </c>
      <c r="H1747" t="s">
        <v>10</v>
      </c>
    </row>
    <row r="1748" spans="1:8" x14ac:dyDescent="0.25">
      <c r="A1748">
        <v>1747</v>
      </c>
      <c r="B1748">
        <v>6.4</v>
      </c>
      <c r="C1748">
        <v>1.1000000000000001</v>
      </c>
      <c r="D1748">
        <v>6.4</v>
      </c>
      <c r="E1748">
        <v>5.0999999999999996</v>
      </c>
      <c r="F1748">
        <v>5</v>
      </c>
      <c r="G1748">
        <v>2.79</v>
      </c>
      <c r="H1748" t="s">
        <v>8</v>
      </c>
    </row>
    <row r="1749" spans="1:8" x14ac:dyDescent="0.25">
      <c r="A1749">
        <v>1748</v>
      </c>
      <c r="B1749">
        <v>6.2</v>
      </c>
      <c r="C1749">
        <v>3.2</v>
      </c>
      <c r="D1749">
        <v>7.8</v>
      </c>
      <c r="E1749">
        <v>0</v>
      </c>
      <c r="F1749">
        <v>6.8</v>
      </c>
      <c r="G1749">
        <v>2.8</v>
      </c>
      <c r="H1749" t="s">
        <v>8</v>
      </c>
    </row>
    <row r="1750" spans="1:8" x14ac:dyDescent="0.25">
      <c r="A1750">
        <v>1749</v>
      </c>
      <c r="B1750">
        <v>7.1</v>
      </c>
      <c r="C1750">
        <v>1.6</v>
      </c>
      <c r="D1750">
        <v>5.6</v>
      </c>
      <c r="E1750">
        <v>4.0999999999999996</v>
      </c>
      <c r="F1750">
        <v>5.6</v>
      </c>
      <c r="G1750">
        <v>3.28</v>
      </c>
      <c r="H1750" t="s">
        <v>10</v>
      </c>
    </row>
    <row r="1751" spans="1:8" x14ac:dyDescent="0.25">
      <c r="A1751">
        <v>1750</v>
      </c>
      <c r="B1751">
        <v>8.6</v>
      </c>
      <c r="C1751">
        <v>0</v>
      </c>
      <c r="D1751">
        <v>9.8000000000000007</v>
      </c>
      <c r="E1751">
        <v>4.5999999999999996</v>
      </c>
      <c r="F1751">
        <v>1</v>
      </c>
      <c r="G1751">
        <v>3.48</v>
      </c>
      <c r="H1751" t="s">
        <v>10</v>
      </c>
    </row>
    <row r="1752" spans="1:8" x14ac:dyDescent="0.25">
      <c r="A1752">
        <v>1751</v>
      </c>
      <c r="B1752">
        <v>9.5</v>
      </c>
      <c r="C1752">
        <v>0.1</v>
      </c>
      <c r="D1752">
        <v>9.6999999999999993</v>
      </c>
      <c r="E1752">
        <v>3.8</v>
      </c>
      <c r="F1752">
        <v>0.9</v>
      </c>
      <c r="G1752">
        <v>3.57</v>
      </c>
      <c r="H1752" t="s">
        <v>10</v>
      </c>
    </row>
    <row r="1753" spans="1:8" x14ac:dyDescent="0.25">
      <c r="A1753">
        <v>1752</v>
      </c>
      <c r="B1753">
        <v>9.6999999999999993</v>
      </c>
      <c r="C1753">
        <v>1.8</v>
      </c>
      <c r="D1753">
        <v>8</v>
      </c>
      <c r="E1753">
        <v>2.1</v>
      </c>
      <c r="F1753">
        <v>2.4</v>
      </c>
      <c r="G1753">
        <v>3.82</v>
      </c>
      <c r="H1753" t="s">
        <v>10</v>
      </c>
    </row>
    <row r="1754" spans="1:8" x14ac:dyDescent="0.25">
      <c r="A1754">
        <v>1753</v>
      </c>
      <c r="B1754">
        <v>9.6999999999999993</v>
      </c>
      <c r="C1754">
        <v>0.3</v>
      </c>
      <c r="D1754">
        <v>7.5</v>
      </c>
      <c r="E1754">
        <v>4.0999999999999996</v>
      </c>
      <c r="F1754">
        <v>2.4</v>
      </c>
      <c r="G1754">
        <v>3.53</v>
      </c>
      <c r="H1754" t="s">
        <v>10</v>
      </c>
    </row>
    <row r="1755" spans="1:8" x14ac:dyDescent="0.25">
      <c r="A1755">
        <v>1754</v>
      </c>
      <c r="B1755">
        <v>9.5</v>
      </c>
      <c r="C1755">
        <v>3.8</v>
      </c>
      <c r="D1755">
        <v>5.3</v>
      </c>
      <c r="E1755">
        <v>2.2000000000000002</v>
      </c>
      <c r="F1755">
        <v>3.2</v>
      </c>
      <c r="G1755">
        <v>3.7</v>
      </c>
      <c r="H1755" t="s">
        <v>10</v>
      </c>
    </row>
    <row r="1756" spans="1:8" x14ac:dyDescent="0.25">
      <c r="A1756">
        <v>1755</v>
      </c>
      <c r="B1756">
        <v>5.0999999999999996</v>
      </c>
      <c r="C1756">
        <v>1.3</v>
      </c>
      <c r="D1756">
        <v>7.7</v>
      </c>
      <c r="E1756">
        <v>5.5</v>
      </c>
      <c r="F1756">
        <v>4.4000000000000004</v>
      </c>
      <c r="G1756">
        <v>2.8</v>
      </c>
      <c r="H1756" t="s">
        <v>9</v>
      </c>
    </row>
    <row r="1757" spans="1:8" x14ac:dyDescent="0.25">
      <c r="A1757">
        <v>1756</v>
      </c>
      <c r="B1757">
        <v>7.7</v>
      </c>
      <c r="C1757">
        <v>1.1000000000000001</v>
      </c>
      <c r="D1757">
        <v>9.5</v>
      </c>
      <c r="E1757">
        <v>5.3</v>
      </c>
      <c r="F1757">
        <v>0.4</v>
      </c>
      <c r="G1757">
        <v>2.99</v>
      </c>
      <c r="H1757" t="s">
        <v>8</v>
      </c>
    </row>
    <row r="1758" spans="1:8" x14ac:dyDescent="0.25">
      <c r="A1758">
        <v>1757</v>
      </c>
      <c r="B1758">
        <v>7</v>
      </c>
      <c r="C1758">
        <v>3.6</v>
      </c>
      <c r="D1758">
        <v>6.9</v>
      </c>
      <c r="E1758">
        <v>4.4000000000000004</v>
      </c>
      <c r="F1758">
        <v>2.1</v>
      </c>
      <c r="G1758">
        <v>2.84</v>
      </c>
      <c r="H1758" t="s">
        <v>8</v>
      </c>
    </row>
    <row r="1759" spans="1:8" x14ac:dyDescent="0.25">
      <c r="A1759">
        <v>1758</v>
      </c>
      <c r="B1759">
        <v>9.6</v>
      </c>
      <c r="C1759">
        <v>1.8</v>
      </c>
      <c r="D1759">
        <v>8.6999999999999993</v>
      </c>
      <c r="E1759">
        <v>1.4</v>
      </c>
      <c r="F1759">
        <v>2.5</v>
      </c>
      <c r="G1759">
        <v>3.43</v>
      </c>
      <c r="H1759" t="s">
        <v>10</v>
      </c>
    </row>
    <row r="1760" spans="1:8" x14ac:dyDescent="0.25">
      <c r="A1760">
        <v>1759</v>
      </c>
      <c r="B1760">
        <v>5.0999999999999996</v>
      </c>
      <c r="C1760">
        <v>0.4</v>
      </c>
      <c r="D1760">
        <v>7.5</v>
      </c>
      <c r="E1760">
        <v>4.0999999999999996</v>
      </c>
      <c r="F1760">
        <v>6.9</v>
      </c>
      <c r="G1760">
        <v>3.01</v>
      </c>
      <c r="H1760" t="s">
        <v>9</v>
      </c>
    </row>
    <row r="1761" spans="1:8" x14ac:dyDescent="0.25">
      <c r="A1761">
        <v>1760</v>
      </c>
      <c r="B1761">
        <v>8.5</v>
      </c>
      <c r="C1761">
        <v>2.8</v>
      </c>
      <c r="D1761">
        <v>7.5</v>
      </c>
      <c r="E1761">
        <v>4.8</v>
      </c>
      <c r="F1761">
        <v>0.4</v>
      </c>
      <c r="G1761">
        <v>3.06</v>
      </c>
      <c r="H1761" t="s">
        <v>10</v>
      </c>
    </row>
    <row r="1762" spans="1:8" x14ac:dyDescent="0.25">
      <c r="A1762">
        <v>1761</v>
      </c>
      <c r="B1762">
        <v>7.4</v>
      </c>
      <c r="C1762">
        <v>1.8</v>
      </c>
      <c r="D1762">
        <v>6</v>
      </c>
      <c r="E1762">
        <v>1.8</v>
      </c>
      <c r="F1762">
        <v>7</v>
      </c>
      <c r="G1762">
        <v>3.13</v>
      </c>
      <c r="H1762" t="s">
        <v>8</v>
      </c>
    </row>
    <row r="1763" spans="1:8" x14ac:dyDescent="0.25">
      <c r="A1763">
        <v>1762</v>
      </c>
      <c r="B1763">
        <v>6.2</v>
      </c>
      <c r="C1763">
        <v>1.2</v>
      </c>
      <c r="D1763">
        <v>8.9</v>
      </c>
      <c r="E1763">
        <v>2</v>
      </c>
      <c r="F1763">
        <v>5.7</v>
      </c>
      <c r="G1763">
        <v>2.85</v>
      </c>
      <c r="H1763" t="s">
        <v>8</v>
      </c>
    </row>
    <row r="1764" spans="1:8" x14ac:dyDescent="0.25">
      <c r="A1764">
        <v>1763</v>
      </c>
      <c r="B1764">
        <v>6.2</v>
      </c>
      <c r="C1764">
        <v>0.7</v>
      </c>
      <c r="D1764">
        <v>8.9</v>
      </c>
      <c r="E1764">
        <v>0.8</v>
      </c>
      <c r="F1764">
        <v>7.4</v>
      </c>
      <c r="G1764">
        <v>3.02</v>
      </c>
      <c r="H1764" t="s">
        <v>8</v>
      </c>
    </row>
    <row r="1765" spans="1:8" x14ac:dyDescent="0.25">
      <c r="A1765">
        <v>1764</v>
      </c>
      <c r="B1765">
        <v>8.4</v>
      </c>
      <c r="C1765">
        <v>2.5</v>
      </c>
      <c r="D1765">
        <v>9.1</v>
      </c>
      <c r="E1765">
        <v>0.2</v>
      </c>
      <c r="F1765">
        <v>3.8</v>
      </c>
      <c r="G1765">
        <v>2.65</v>
      </c>
      <c r="H1765" t="s">
        <v>10</v>
      </c>
    </row>
    <row r="1766" spans="1:8" x14ac:dyDescent="0.25">
      <c r="A1766">
        <v>1765</v>
      </c>
      <c r="B1766">
        <v>6.5</v>
      </c>
      <c r="C1766">
        <v>1.1000000000000001</v>
      </c>
      <c r="D1766">
        <v>5.7</v>
      </c>
      <c r="E1766">
        <v>1.7</v>
      </c>
      <c r="F1766">
        <v>9</v>
      </c>
      <c r="G1766">
        <v>3.02</v>
      </c>
      <c r="H1766" t="s">
        <v>10</v>
      </c>
    </row>
    <row r="1767" spans="1:8" x14ac:dyDescent="0.25">
      <c r="A1767">
        <v>1766</v>
      </c>
      <c r="B1767">
        <v>8.3000000000000007</v>
      </c>
      <c r="C1767">
        <v>1.5</v>
      </c>
      <c r="D1767">
        <v>8.6</v>
      </c>
      <c r="E1767">
        <v>1.9</v>
      </c>
      <c r="F1767">
        <v>3.7</v>
      </c>
      <c r="G1767">
        <v>2.86</v>
      </c>
      <c r="H1767" t="s">
        <v>10</v>
      </c>
    </row>
    <row r="1768" spans="1:8" x14ac:dyDescent="0.25">
      <c r="A1768">
        <v>1767</v>
      </c>
      <c r="B1768">
        <v>6.5</v>
      </c>
      <c r="C1768">
        <v>2.2000000000000002</v>
      </c>
      <c r="D1768">
        <v>5.0999999999999996</v>
      </c>
      <c r="E1768">
        <v>0.5</v>
      </c>
      <c r="F1768">
        <v>9.6999999999999993</v>
      </c>
      <c r="G1768">
        <v>3.1</v>
      </c>
      <c r="H1768" t="s">
        <v>10</v>
      </c>
    </row>
    <row r="1769" spans="1:8" x14ac:dyDescent="0.25">
      <c r="A1769">
        <v>1768</v>
      </c>
      <c r="B1769">
        <v>8.6</v>
      </c>
      <c r="C1769">
        <v>0.4</v>
      </c>
      <c r="D1769">
        <v>9.1999999999999993</v>
      </c>
      <c r="E1769">
        <v>4.2</v>
      </c>
      <c r="F1769">
        <v>1.6</v>
      </c>
      <c r="G1769">
        <v>3.27</v>
      </c>
      <c r="H1769" t="s">
        <v>10</v>
      </c>
    </row>
    <row r="1770" spans="1:8" x14ac:dyDescent="0.25">
      <c r="A1770">
        <v>1769</v>
      </c>
      <c r="B1770">
        <v>8.1</v>
      </c>
      <c r="C1770">
        <v>3.3</v>
      </c>
      <c r="D1770">
        <v>7</v>
      </c>
      <c r="E1770">
        <v>1.2</v>
      </c>
      <c r="F1770">
        <v>4.4000000000000004</v>
      </c>
      <c r="G1770">
        <v>3.8</v>
      </c>
      <c r="H1770" t="s">
        <v>10</v>
      </c>
    </row>
    <row r="1771" spans="1:8" x14ac:dyDescent="0.25">
      <c r="A1771">
        <v>1770</v>
      </c>
      <c r="B1771">
        <v>7.7</v>
      </c>
      <c r="C1771">
        <v>2.2999999999999998</v>
      </c>
      <c r="D1771">
        <v>9.6999999999999993</v>
      </c>
      <c r="E1771">
        <v>3.9</v>
      </c>
      <c r="F1771">
        <v>0.4</v>
      </c>
      <c r="G1771">
        <v>3.3</v>
      </c>
      <c r="H1771" t="s">
        <v>8</v>
      </c>
    </row>
    <row r="1772" spans="1:8" x14ac:dyDescent="0.25">
      <c r="A1772">
        <v>1771</v>
      </c>
      <c r="B1772">
        <v>9.4</v>
      </c>
      <c r="C1772">
        <v>3.2</v>
      </c>
      <c r="D1772">
        <v>9.6999999999999993</v>
      </c>
      <c r="E1772">
        <v>0.2</v>
      </c>
      <c r="F1772">
        <v>1.5</v>
      </c>
      <c r="G1772">
        <v>3.4</v>
      </c>
      <c r="H1772" t="s">
        <v>10</v>
      </c>
    </row>
    <row r="1773" spans="1:8" x14ac:dyDescent="0.25">
      <c r="A1773">
        <v>1772</v>
      </c>
      <c r="B1773">
        <v>9.1999999999999993</v>
      </c>
      <c r="C1773">
        <v>2</v>
      </c>
      <c r="D1773">
        <v>8.6999999999999993</v>
      </c>
      <c r="E1773">
        <v>0.6</v>
      </c>
      <c r="F1773">
        <v>3.5</v>
      </c>
      <c r="G1773">
        <v>3.03</v>
      </c>
      <c r="H1773" t="s">
        <v>10</v>
      </c>
    </row>
    <row r="1774" spans="1:8" x14ac:dyDescent="0.25">
      <c r="A1774">
        <v>1773</v>
      </c>
      <c r="B1774">
        <v>6.3</v>
      </c>
      <c r="C1774">
        <v>2.9</v>
      </c>
      <c r="D1774">
        <v>5.8</v>
      </c>
      <c r="E1774">
        <v>2.1</v>
      </c>
      <c r="F1774">
        <v>6.9</v>
      </c>
      <c r="G1774">
        <v>2.78</v>
      </c>
      <c r="H1774" t="s">
        <v>10</v>
      </c>
    </row>
    <row r="1775" spans="1:8" x14ac:dyDescent="0.25">
      <c r="A1775">
        <v>1774</v>
      </c>
      <c r="B1775">
        <v>8.5</v>
      </c>
      <c r="C1775">
        <v>1.5</v>
      </c>
      <c r="D1775">
        <v>7.8</v>
      </c>
      <c r="E1775">
        <v>0.6</v>
      </c>
      <c r="F1775">
        <v>5.6</v>
      </c>
      <c r="G1775">
        <v>3.02</v>
      </c>
      <c r="H1775" t="s">
        <v>10</v>
      </c>
    </row>
    <row r="1776" spans="1:8" x14ac:dyDescent="0.25">
      <c r="A1776">
        <v>1775</v>
      </c>
      <c r="B1776">
        <v>9</v>
      </c>
      <c r="C1776">
        <v>1.5</v>
      </c>
      <c r="D1776">
        <v>8.1999999999999993</v>
      </c>
      <c r="E1776">
        <v>3.8</v>
      </c>
      <c r="F1776">
        <v>1.5</v>
      </c>
      <c r="G1776">
        <v>3.41</v>
      </c>
      <c r="H1776" t="s">
        <v>10</v>
      </c>
    </row>
    <row r="1777" spans="1:8" x14ac:dyDescent="0.25">
      <c r="A1777">
        <v>1776</v>
      </c>
      <c r="B1777">
        <v>8.1</v>
      </c>
      <c r="C1777">
        <v>1.7</v>
      </c>
      <c r="D1777">
        <v>5.9</v>
      </c>
      <c r="E1777">
        <v>5.7</v>
      </c>
      <c r="F1777">
        <v>2.6</v>
      </c>
      <c r="G1777">
        <v>3.17</v>
      </c>
      <c r="H1777" t="s">
        <v>10</v>
      </c>
    </row>
    <row r="1778" spans="1:8" x14ac:dyDescent="0.25">
      <c r="A1778">
        <v>1777</v>
      </c>
      <c r="B1778">
        <v>8.8000000000000007</v>
      </c>
      <c r="C1778">
        <v>0.8</v>
      </c>
      <c r="D1778">
        <v>6.7</v>
      </c>
      <c r="E1778">
        <v>4.9000000000000004</v>
      </c>
      <c r="F1778">
        <v>2.8</v>
      </c>
      <c r="G1778">
        <v>3.53</v>
      </c>
      <c r="H1778" t="s">
        <v>10</v>
      </c>
    </row>
    <row r="1779" spans="1:8" x14ac:dyDescent="0.25">
      <c r="A1779">
        <v>1778</v>
      </c>
      <c r="B1779">
        <v>7.2</v>
      </c>
      <c r="C1779">
        <v>2.9</v>
      </c>
      <c r="D1779">
        <v>6.9</v>
      </c>
      <c r="E1779">
        <v>1.3</v>
      </c>
      <c r="F1779">
        <v>5.7</v>
      </c>
      <c r="G1779">
        <v>3.23</v>
      </c>
      <c r="H1779" t="s">
        <v>8</v>
      </c>
    </row>
    <row r="1780" spans="1:8" x14ac:dyDescent="0.25">
      <c r="A1780">
        <v>1779</v>
      </c>
      <c r="B1780">
        <v>8.1999999999999993</v>
      </c>
      <c r="C1780">
        <v>3.9</v>
      </c>
      <c r="D1780">
        <v>6.6</v>
      </c>
      <c r="E1780">
        <v>2.4</v>
      </c>
      <c r="F1780">
        <v>2.9</v>
      </c>
      <c r="G1780">
        <v>3.32</v>
      </c>
      <c r="H1780" t="s">
        <v>10</v>
      </c>
    </row>
    <row r="1781" spans="1:8" x14ac:dyDescent="0.25">
      <c r="A1781">
        <v>1780</v>
      </c>
      <c r="B1781">
        <v>9.1999999999999993</v>
      </c>
      <c r="C1781">
        <v>3</v>
      </c>
      <c r="D1781">
        <v>5.3</v>
      </c>
      <c r="E1781">
        <v>6</v>
      </c>
      <c r="F1781">
        <v>0.5</v>
      </c>
      <c r="G1781">
        <v>3.77</v>
      </c>
      <c r="H1781" t="s">
        <v>10</v>
      </c>
    </row>
    <row r="1782" spans="1:8" x14ac:dyDescent="0.25">
      <c r="A1782">
        <v>1781</v>
      </c>
      <c r="B1782">
        <v>8.8000000000000007</v>
      </c>
      <c r="C1782">
        <v>3.5</v>
      </c>
      <c r="D1782">
        <v>8.3000000000000007</v>
      </c>
      <c r="E1782">
        <v>2.9</v>
      </c>
      <c r="F1782">
        <v>0.5</v>
      </c>
      <c r="G1782">
        <v>3.26</v>
      </c>
      <c r="H1782" t="s">
        <v>10</v>
      </c>
    </row>
    <row r="1783" spans="1:8" x14ac:dyDescent="0.25">
      <c r="A1783">
        <v>1782</v>
      </c>
      <c r="B1783">
        <v>9.4</v>
      </c>
      <c r="C1783">
        <v>0.8</v>
      </c>
      <c r="D1783">
        <v>5.4</v>
      </c>
      <c r="E1783">
        <v>4.7</v>
      </c>
      <c r="F1783">
        <v>3.7</v>
      </c>
      <c r="G1783">
        <v>3.25</v>
      </c>
      <c r="H1783" t="s">
        <v>10</v>
      </c>
    </row>
    <row r="1784" spans="1:8" x14ac:dyDescent="0.25">
      <c r="A1784">
        <v>1783</v>
      </c>
      <c r="B1784">
        <v>9.1999999999999993</v>
      </c>
      <c r="C1784">
        <v>0.7</v>
      </c>
      <c r="D1784">
        <v>9.3000000000000007</v>
      </c>
      <c r="E1784">
        <v>3.3</v>
      </c>
      <c r="F1784">
        <v>1.5</v>
      </c>
      <c r="G1784">
        <v>3.64</v>
      </c>
      <c r="H1784" t="s">
        <v>10</v>
      </c>
    </row>
    <row r="1785" spans="1:8" x14ac:dyDescent="0.25">
      <c r="A1785">
        <v>1784</v>
      </c>
      <c r="B1785">
        <v>7.1</v>
      </c>
      <c r="C1785">
        <v>0.8</v>
      </c>
      <c r="D1785">
        <v>6.4</v>
      </c>
      <c r="E1785">
        <v>3</v>
      </c>
      <c r="F1785">
        <v>6.7</v>
      </c>
      <c r="G1785">
        <v>3.08</v>
      </c>
      <c r="H1785" t="s">
        <v>8</v>
      </c>
    </row>
    <row r="1786" spans="1:8" x14ac:dyDescent="0.25">
      <c r="A1786">
        <v>1785</v>
      </c>
      <c r="B1786">
        <v>7.7</v>
      </c>
      <c r="C1786">
        <v>3.2</v>
      </c>
      <c r="D1786">
        <v>9</v>
      </c>
      <c r="E1786">
        <v>2.4</v>
      </c>
      <c r="F1786">
        <v>1.7</v>
      </c>
      <c r="G1786">
        <v>3.03</v>
      </c>
      <c r="H1786" t="s">
        <v>8</v>
      </c>
    </row>
    <row r="1787" spans="1:8" x14ac:dyDescent="0.25">
      <c r="A1787">
        <v>1786</v>
      </c>
      <c r="B1787">
        <v>5.3</v>
      </c>
      <c r="C1787">
        <v>3.5</v>
      </c>
      <c r="D1787">
        <v>5.4</v>
      </c>
      <c r="E1787">
        <v>1.5</v>
      </c>
      <c r="F1787">
        <v>8.3000000000000007</v>
      </c>
      <c r="G1787">
        <v>2.91</v>
      </c>
      <c r="H1787" t="s">
        <v>10</v>
      </c>
    </row>
    <row r="1788" spans="1:8" x14ac:dyDescent="0.25">
      <c r="A1788">
        <v>1787</v>
      </c>
      <c r="B1788">
        <v>8.5</v>
      </c>
      <c r="C1788">
        <v>1.6</v>
      </c>
      <c r="D1788">
        <v>9.4</v>
      </c>
      <c r="E1788">
        <v>1.3</v>
      </c>
      <c r="F1788">
        <v>3.2</v>
      </c>
      <c r="G1788">
        <v>2.9</v>
      </c>
      <c r="H1788" t="s">
        <v>10</v>
      </c>
    </row>
    <row r="1789" spans="1:8" x14ac:dyDescent="0.25">
      <c r="A1789">
        <v>1788</v>
      </c>
      <c r="B1789">
        <v>7.7</v>
      </c>
      <c r="C1789">
        <v>3.5</v>
      </c>
      <c r="D1789">
        <v>9.6</v>
      </c>
      <c r="E1789">
        <v>0.9</v>
      </c>
      <c r="F1789">
        <v>2.2999999999999998</v>
      </c>
      <c r="G1789">
        <v>3.39</v>
      </c>
      <c r="H1789" t="s">
        <v>8</v>
      </c>
    </row>
    <row r="1790" spans="1:8" x14ac:dyDescent="0.25">
      <c r="A1790">
        <v>1789</v>
      </c>
      <c r="B1790">
        <v>7.3</v>
      </c>
      <c r="C1790">
        <v>2.2000000000000002</v>
      </c>
      <c r="D1790">
        <v>9.6999999999999993</v>
      </c>
      <c r="E1790">
        <v>4.8</v>
      </c>
      <c r="F1790">
        <v>0</v>
      </c>
      <c r="G1790">
        <v>3.25</v>
      </c>
      <c r="H1790" t="s">
        <v>8</v>
      </c>
    </row>
    <row r="1791" spans="1:8" x14ac:dyDescent="0.25">
      <c r="A1791">
        <v>1790</v>
      </c>
      <c r="B1791">
        <v>6.9</v>
      </c>
      <c r="C1791">
        <v>0</v>
      </c>
      <c r="D1791">
        <v>5</v>
      </c>
      <c r="E1791">
        <v>2.8</v>
      </c>
      <c r="F1791">
        <v>9.3000000000000007</v>
      </c>
      <c r="G1791">
        <v>2.85</v>
      </c>
      <c r="H1791" t="s">
        <v>10</v>
      </c>
    </row>
    <row r="1792" spans="1:8" x14ac:dyDescent="0.25">
      <c r="A1792">
        <v>1791</v>
      </c>
      <c r="B1792">
        <v>7.4</v>
      </c>
      <c r="C1792">
        <v>0.1</v>
      </c>
      <c r="D1792">
        <v>8.4</v>
      </c>
      <c r="E1792">
        <v>1.8</v>
      </c>
      <c r="F1792">
        <v>6.3</v>
      </c>
      <c r="G1792">
        <v>2.75</v>
      </c>
      <c r="H1792" t="s">
        <v>8</v>
      </c>
    </row>
    <row r="1793" spans="1:8" x14ac:dyDescent="0.25">
      <c r="A1793">
        <v>1792</v>
      </c>
      <c r="B1793">
        <v>5.8</v>
      </c>
      <c r="C1793">
        <v>1.6</v>
      </c>
      <c r="D1793">
        <v>6.2</v>
      </c>
      <c r="E1793">
        <v>3.2</v>
      </c>
      <c r="F1793">
        <v>7.2</v>
      </c>
      <c r="G1793">
        <v>2.98</v>
      </c>
      <c r="H1793" t="s">
        <v>9</v>
      </c>
    </row>
    <row r="1794" spans="1:8" x14ac:dyDescent="0.25">
      <c r="A1794">
        <v>1793</v>
      </c>
      <c r="B1794">
        <v>6</v>
      </c>
      <c r="C1794">
        <v>2</v>
      </c>
      <c r="D1794">
        <v>5.8</v>
      </c>
      <c r="E1794">
        <v>4</v>
      </c>
      <c r="F1794">
        <v>6.2</v>
      </c>
      <c r="G1794">
        <v>2.81</v>
      </c>
      <c r="H1794" t="s">
        <v>10</v>
      </c>
    </row>
    <row r="1795" spans="1:8" x14ac:dyDescent="0.25">
      <c r="A1795">
        <v>1794</v>
      </c>
      <c r="B1795">
        <v>7.3</v>
      </c>
      <c r="C1795">
        <v>0.3</v>
      </c>
      <c r="D1795">
        <v>8</v>
      </c>
      <c r="E1795">
        <v>1.6</v>
      </c>
      <c r="F1795">
        <v>6.8</v>
      </c>
      <c r="G1795">
        <v>3.15</v>
      </c>
      <c r="H1795" t="s">
        <v>8</v>
      </c>
    </row>
    <row r="1796" spans="1:8" x14ac:dyDescent="0.25">
      <c r="A1796">
        <v>1795</v>
      </c>
      <c r="B1796">
        <v>7.6</v>
      </c>
      <c r="C1796">
        <v>2.1</v>
      </c>
      <c r="D1796">
        <v>9.6</v>
      </c>
      <c r="E1796">
        <v>2.6</v>
      </c>
      <c r="F1796">
        <v>2.1</v>
      </c>
      <c r="G1796">
        <v>2.78</v>
      </c>
      <c r="H1796" t="s">
        <v>8</v>
      </c>
    </row>
    <row r="1797" spans="1:8" x14ac:dyDescent="0.25">
      <c r="A1797">
        <v>1796</v>
      </c>
      <c r="B1797">
        <v>9.6999999999999993</v>
      </c>
      <c r="C1797">
        <v>3.1</v>
      </c>
      <c r="D1797">
        <v>6.4</v>
      </c>
      <c r="E1797">
        <v>4.0999999999999996</v>
      </c>
      <c r="F1797">
        <v>0.7</v>
      </c>
      <c r="G1797">
        <v>3.76</v>
      </c>
      <c r="H1797" t="s">
        <v>10</v>
      </c>
    </row>
    <row r="1798" spans="1:8" x14ac:dyDescent="0.25">
      <c r="A1798">
        <v>1797</v>
      </c>
      <c r="B1798">
        <v>7.2</v>
      </c>
      <c r="C1798">
        <v>3.3</v>
      </c>
      <c r="D1798">
        <v>9.1</v>
      </c>
      <c r="E1798">
        <v>0.8</v>
      </c>
      <c r="F1798">
        <v>3.6</v>
      </c>
      <c r="G1798">
        <v>2.87</v>
      </c>
      <c r="H1798" t="s">
        <v>8</v>
      </c>
    </row>
    <row r="1799" spans="1:8" x14ac:dyDescent="0.25">
      <c r="A1799">
        <v>1798</v>
      </c>
      <c r="B1799">
        <v>6.5</v>
      </c>
      <c r="C1799">
        <v>1.2</v>
      </c>
      <c r="D1799">
        <v>8.6</v>
      </c>
      <c r="E1799">
        <v>1.4</v>
      </c>
      <c r="F1799">
        <v>6.3</v>
      </c>
      <c r="G1799">
        <v>3.18</v>
      </c>
      <c r="H1799" t="s">
        <v>8</v>
      </c>
    </row>
    <row r="1800" spans="1:8" x14ac:dyDescent="0.25">
      <c r="A1800">
        <v>1799</v>
      </c>
      <c r="B1800">
        <v>5</v>
      </c>
      <c r="C1800">
        <v>2.9</v>
      </c>
      <c r="D1800">
        <v>5.9</v>
      </c>
      <c r="E1800">
        <v>0.6</v>
      </c>
      <c r="F1800">
        <v>9.6</v>
      </c>
      <c r="G1800">
        <v>2.63</v>
      </c>
      <c r="H1800" t="s">
        <v>10</v>
      </c>
    </row>
    <row r="1801" spans="1:8" x14ac:dyDescent="0.25">
      <c r="A1801">
        <v>1800</v>
      </c>
      <c r="B1801">
        <v>7.4</v>
      </c>
      <c r="C1801">
        <v>0.2</v>
      </c>
      <c r="D1801">
        <v>9.9</v>
      </c>
      <c r="E1801">
        <v>4.3</v>
      </c>
      <c r="F1801">
        <v>2.2000000000000002</v>
      </c>
      <c r="G1801">
        <v>2.84</v>
      </c>
      <c r="H1801" t="s">
        <v>8</v>
      </c>
    </row>
    <row r="1802" spans="1:8" x14ac:dyDescent="0.25">
      <c r="A1802">
        <v>1801</v>
      </c>
      <c r="B1802">
        <v>6.6</v>
      </c>
      <c r="C1802">
        <v>1.3</v>
      </c>
      <c r="D1802">
        <v>7.2</v>
      </c>
      <c r="E1802">
        <v>3.8</v>
      </c>
      <c r="F1802">
        <v>5.0999999999999996</v>
      </c>
      <c r="G1802">
        <v>2.93</v>
      </c>
      <c r="H1802" t="s">
        <v>8</v>
      </c>
    </row>
    <row r="1803" spans="1:8" x14ac:dyDescent="0.25">
      <c r="A1803">
        <v>1802</v>
      </c>
      <c r="B1803">
        <v>9.3000000000000007</v>
      </c>
      <c r="C1803">
        <v>1</v>
      </c>
      <c r="D1803">
        <v>6.9</v>
      </c>
      <c r="E1803">
        <v>5.2</v>
      </c>
      <c r="F1803">
        <v>1.6</v>
      </c>
      <c r="G1803">
        <v>3.32</v>
      </c>
      <c r="H1803" t="s">
        <v>10</v>
      </c>
    </row>
    <row r="1804" spans="1:8" x14ac:dyDescent="0.25">
      <c r="A1804">
        <v>1803</v>
      </c>
      <c r="B1804">
        <v>8.3000000000000007</v>
      </c>
      <c r="C1804">
        <v>1.4</v>
      </c>
      <c r="D1804">
        <v>8.4</v>
      </c>
      <c r="E1804">
        <v>0.1</v>
      </c>
      <c r="F1804">
        <v>5.8</v>
      </c>
      <c r="G1804">
        <v>3.23</v>
      </c>
      <c r="H1804" t="s">
        <v>10</v>
      </c>
    </row>
    <row r="1805" spans="1:8" x14ac:dyDescent="0.25">
      <c r="A1805">
        <v>1804</v>
      </c>
      <c r="B1805">
        <v>9.1</v>
      </c>
      <c r="C1805">
        <v>3.8</v>
      </c>
      <c r="D1805">
        <v>9.6</v>
      </c>
      <c r="E1805">
        <v>1.4</v>
      </c>
      <c r="F1805">
        <v>0.1</v>
      </c>
      <c r="G1805">
        <v>3.71</v>
      </c>
      <c r="H1805" t="s">
        <v>10</v>
      </c>
    </row>
    <row r="1806" spans="1:8" x14ac:dyDescent="0.25">
      <c r="A1806">
        <v>1805</v>
      </c>
      <c r="B1806">
        <v>7.6</v>
      </c>
      <c r="C1806">
        <v>1.4</v>
      </c>
      <c r="D1806">
        <v>7.3</v>
      </c>
      <c r="E1806">
        <v>4.0999999999999996</v>
      </c>
      <c r="F1806">
        <v>3.6</v>
      </c>
      <c r="G1806">
        <v>3.09</v>
      </c>
      <c r="H1806" t="s">
        <v>8</v>
      </c>
    </row>
    <row r="1807" spans="1:8" x14ac:dyDescent="0.25">
      <c r="A1807">
        <v>1806</v>
      </c>
      <c r="B1807">
        <v>9.6</v>
      </c>
      <c r="C1807">
        <v>3.3</v>
      </c>
      <c r="D1807">
        <v>9.9</v>
      </c>
      <c r="E1807">
        <v>1.1000000000000001</v>
      </c>
      <c r="F1807">
        <v>0.1</v>
      </c>
      <c r="G1807">
        <v>3.5</v>
      </c>
      <c r="H1807" t="s">
        <v>10</v>
      </c>
    </row>
    <row r="1808" spans="1:8" x14ac:dyDescent="0.25">
      <c r="A1808">
        <v>1807</v>
      </c>
      <c r="B1808">
        <v>6.4</v>
      </c>
      <c r="C1808">
        <v>0.4</v>
      </c>
      <c r="D1808">
        <v>5.6</v>
      </c>
      <c r="E1808">
        <v>1.7</v>
      </c>
      <c r="F1808">
        <v>9.9</v>
      </c>
      <c r="G1808">
        <v>3.21</v>
      </c>
      <c r="H1808" t="s">
        <v>10</v>
      </c>
    </row>
    <row r="1809" spans="1:8" x14ac:dyDescent="0.25">
      <c r="A1809">
        <v>1808</v>
      </c>
      <c r="B1809">
        <v>9.5</v>
      </c>
      <c r="C1809">
        <v>2.5</v>
      </c>
      <c r="D1809">
        <v>5</v>
      </c>
      <c r="E1809">
        <v>1.1000000000000001</v>
      </c>
      <c r="F1809">
        <v>5.9</v>
      </c>
      <c r="G1809">
        <v>3.52</v>
      </c>
      <c r="H1809" t="s">
        <v>10</v>
      </c>
    </row>
    <row r="1810" spans="1:8" x14ac:dyDescent="0.25">
      <c r="A1810">
        <v>1809</v>
      </c>
      <c r="B1810">
        <v>5.5</v>
      </c>
      <c r="C1810">
        <v>1.5</v>
      </c>
      <c r="D1810">
        <v>7.5</v>
      </c>
      <c r="E1810">
        <v>0.3</v>
      </c>
      <c r="F1810">
        <v>9.1999999999999993</v>
      </c>
      <c r="G1810">
        <v>2.61</v>
      </c>
      <c r="H1810" t="s">
        <v>9</v>
      </c>
    </row>
    <row r="1811" spans="1:8" x14ac:dyDescent="0.25">
      <c r="A1811">
        <v>1810</v>
      </c>
      <c r="B1811">
        <v>8.1999999999999993</v>
      </c>
      <c r="C1811">
        <v>1.9</v>
      </c>
      <c r="D1811">
        <v>7.5</v>
      </c>
      <c r="E1811">
        <v>2.6</v>
      </c>
      <c r="F1811">
        <v>3.8</v>
      </c>
      <c r="G1811">
        <v>3.13</v>
      </c>
      <c r="H1811" t="s">
        <v>10</v>
      </c>
    </row>
    <row r="1812" spans="1:8" x14ac:dyDescent="0.25">
      <c r="A1812">
        <v>1811</v>
      </c>
      <c r="B1812">
        <v>9.8000000000000007</v>
      </c>
      <c r="C1812">
        <v>0.9</v>
      </c>
      <c r="D1812">
        <v>7.6</v>
      </c>
      <c r="E1812">
        <v>4.2</v>
      </c>
      <c r="F1812">
        <v>1.5</v>
      </c>
      <c r="G1812">
        <v>3.62</v>
      </c>
      <c r="H1812" t="s">
        <v>10</v>
      </c>
    </row>
    <row r="1813" spans="1:8" x14ac:dyDescent="0.25">
      <c r="A1813">
        <v>1812</v>
      </c>
      <c r="B1813">
        <v>6.9</v>
      </c>
      <c r="C1813">
        <v>1.9</v>
      </c>
      <c r="D1813">
        <v>5.4</v>
      </c>
      <c r="E1813">
        <v>3.7</v>
      </c>
      <c r="F1813">
        <v>6.1</v>
      </c>
      <c r="G1813">
        <v>3.05</v>
      </c>
      <c r="H1813" t="s">
        <v>10</v>
      </c>
    </row>
    <row r="1814" spans="1:8" x14ac:dyDescent="0.25">
      <c r="A1814">
        <v>1813</v>
      </c>
      <c r="B1814">
        <v>6.4</v>
      </c>
      <c r="C1814">
        <v>0.6</v>
      </c>
      <c r="D1814">
        <v>7.7</v>
      </c>
      <c r="E1814">
        <v>3.2</v>
      </c>
      <c r="F1814">
        <v>6.1</v>
      </c>
      <c r="G1814">
        <v>3</v>
      </c>
      <c r="H1814" t="s">
        <v>8</v>
      </c>
    </row>
    <row r="1815" spans="1:8" x14ac:dyDescent="0.25">
      <c r="A1815">
        <v>1814</v>
      </c>
      <c r="B1815">
        <v>8.1</v>
      </c>
      <c r="C1815">
        <v>0.8</v>
      </c>
      <c r="D1815">
        <v>7.3</v>
      </c>
      <c r="E1815">
        <v>4.3</v>
      </c>
      <c r="F1815">
        <v>3.5</v>
      </c>
      <c r="G1815">
        <v>3.12</v>
      </c>
      <c r="H1815" t="s">
        <v>10</v>
      </c>
    </row>
    <row r="1816" spans="1:8" x14ac:dyDescent="0.25">
      <c r="A1816">
        <v>1815</v>
      </c>
      <c r="B1816">
        <v>7.6</v>
      </c>
      <c r="C1816">
        <v>1.6</v>
      </c>
      <c r="D1816">
        <v>6.6</v>
      </c>
      <c r="E1816">
        <v>3.7</v>
      </c>
      <c r="F1816">
        <v>4.5</v>
      </c>
      <c r="G1816">
        <v>3.18</v>
      </c>
      <c r="H1816" t="s">
        <v>8</v>
      </c>
    </row>
    <row r="1817" spans="1:8" x14ac:dyDescent="0.25">
      <c r="A1817">
        <v>1816</v>
      </c>
      <c r="B1817">
        <v>5.4</v>
      </c>
      <c r="C1817">
        <v>1.8</v>
      </c>
      <c r="D1817">
        <v>9.5</v>
      </c>
      <c r="E1817">
        <v>0.6</v>
      </c>
      <c r="F1817">
        <v>6.7</v>
      </c>
      <c r="G1817">
        <v>2.9</v>
      </c>
      <c r="H1817" t="s">
        <v>9</v>
      </c>
    </row>
    <row r="1818" spans="1:8" x14ac:dyDescent="0.25">
      <c r="A1818">
        <v>1817</v>
      </c>
      <c r="B1818">
        <v>9.9</v>
      </c>
      <c r="C1818">
        <v>3.8</v>
      </c>
      <c r="D1818">
        <v>5.4</v>
      </c>
      <c r="E1818">
        <v>4.5999999999999996</v>
      </c>
      <c r="F1818">
        <v>0.3</v>
      </c>
      <c r="G1818">
        <v>3.69</v>
      </c>
      <c r="H1818" t="s">
        <v>10</v>
      </c>
    </row>
    <row r="1819" spans="1:8" x14ac:dyDescent="0.25">
      <c r="A1819">
        <v>1818</v>
      </c>
      <c r="B1819">
        <v>7.1</v>
      </c>
      <c r="C1819">
        <v>1.8</v>
      </c>
      <c r="D1819">
        <v>8.1999999999999993</v>
      </c>
      <c r="E1819">
        <v>4.5999999999999996</v>
      </c>
      <c r="F1819">
        <v>2.2999999999999998</v>
      </c>
      <c r="G1819">
        <v>2.98</v>
      </c>
      <c r="H1819" t="s">
        <v>8</v>
      </c>
    </row>
    <row r="1820" spans="1:8" x14ac:dyDescent="0.25">
      <c r="A1820">
        <v>1819</v>
      </c>
      <c r="B1820">
        <v>5.2</v>
      </c>
      <c r="C1820">
        <v>2.4</v>
      </c>
      <c r="D1820">
        <v>5.9</v>
      </c>
      <c r="E1820">
        <v>2.1</v>
      </c>
      <c r="F1820">
        <v>8.4</v>
      </c>
      <c r="G1820">
        <v>2.69</v>
      </c>
      <c r="H1820" t="s">
        <v>10</v>
      </c>
    </row>
    <row r="1821" spans="1:8" x14ac:dyDescent="0.25">
      <c r="A1821">
        <v>1820</v>
      </c>
      <c r="B1821">
        <v>6.7</v>
      </c>
      <c r="C1821">
        <v>0.4</v>
      </c>
      <c r="D1821">
        <v>5.7</v>
      </c>
      <c r="E1821">
        <v>0.2</v>
      </c>
      <c r="F1821">
        <v>11</v>
      </c>
      <c r="G1821">
        <v>2.58</v>
      </c>
      <c r="H1821" t="s">
        <v>10</v>
      </c>
    </row>
    <row r="1822" spans="1:8" x14ac:dyDescent="0.25">
      <c r="A1822">
        <v>1821</v>
      </c>
      <c r="B1822">
        <v>7.4</v>
      </c>
      <c r="C1822">
        <v>3.8</v>
      </c>
      <c r="D1822">
        <v>5.6</v>
      </c>
      <c r="E1822">
        <v>5.7</v>
      </c>
      <c r="F1822">
        <v>1.5</v>
      </c>
      <c r="G1822">
        <v>3.27</v>
      </c>
      <c r="H1822" t="s">
        <v>10</v>
      </c>
    </row>
    <row r="1823" spans="1:8" x14ac:dyDescent="0.25">
      <c r="A1823">
        <v>1822</v>
      </c>
      <c r="B1823">
        <v>8.1999999999999993</v>
      </c>
      <c r="C1823">
        <v>3.3</v>
      </c>
      <c r="D1823">
        <v>5.5</v>
      </c>
      <c r="E1823">
        <v>3</v>
      </c>
      <c r="F1823">
        <v>4</v>
      </c>
      <c r="G1823">
        <v>3.5</v>
      </c>
      <c r="H1823" t="s">
        <v>10</v>
      </c>
    </row>
    <row r="1824" spans="1:8" x14ac:dyDescent="0.25">
      <c r="A1824">
        <v>1823</v>
      </c>
      <c r="B1824">
        <v>8.5</v>
      </c>
      <c r="C1824">
        <v>2.2999999999999998</v>
      </c>
      <c r="D1824">
        <v>9.1999999999999993</v>
      </c>
      <c r="E1824">
        <v>0.3</v>
      </c>
      <c r="F1824">
        <v>3.7</v>
      </c>
      <c r="G1824">
        <v>3.34</v>
      </c>
      <c r="H1824" t="s">
        <v>10</v>
      </c>
    </row>
    <row r="1825" spans="1:8" x14ac:dyDescent="0.25">
      <c r="A1825">
        <v>1824</v>
      </c>
      <c r="B1825">
        <v>6.9</v>
      </c>
      <c r="C1825">
        <v>1.4</v>
      </c>
      <c r="D1825">
        <v>8.1</v>
      </c>
      <c r="E1825">
        <v>5.3</v>
      </c>
      <c r="F1825">
        <v>2.2999999999999998</v>
      </c>
      <c r="G1825">
        <v>3.42</v>
      </c>
      <c r="H1825" t="s">
        <v>8</v>
      </c>
    </row>
    <row r="1826" spans="1:8" x14ac:dyDescent="0.25">
      <c r="A1826">
        <v>1825</v>
      </c>
      <c r="B1826">
        <v>7.5</v>
      </c>
      <c r="C1826">
        <v>3.3</v>
      </c>
      <c r="D1826">
        <v>7</v>
      </c>
      <c r="E1826">
        <v>0.6</v>
      </c>
      <c r="F1826">
        <v>5.6</v>
      </c>
      <c r="G1826">
        <v>2.82</v>
      </c>
      <c r="H1826" t="s">
        <v>8</v>
      </c>
    </row>
    <row r="1827" spans="1:8" x14ac:dyDescent="0.25">
      <c r="A1827">
        <v>1826</v>
      </c>
      <c r="B1827">
        <v>8.6</v>
      </c>
      <c r="C1827">
        <v>3</v>
      </c>
      <c r="D1827">
        <v>5.3</v>
      </c>
      <c r="E1827">
        <v>1.3</v>
      </c>
      <c r="F1827">
        <v>5.8</v>
      </c>
      <c r="G1827">
        <v>3.06</v>
      </c>
      <c r="H1827" t="s">
        <v>10</v>
      </c>
    </row>
    <row r="1828" spans="1:8" x14ac:dyDescent="0.25">
      <c r="A1828">
        <v>1827</v>
      </c>
      <c r="B1828">
        <v>6.4</v>
      </c>
      <c r="C1828">
        <v>2.2000000000000002</v>
      </c>
      <c r="D1828">
        <v>5.7</v>
      </c>
      <c r="E1828">
        <v>0.8</v>
      </c>
      <c r="F1828">
        <v>8.9</v>
      </c>
      <c r="G1828">
        <v>2.89</v>
      </c>
      <c r="H1828" t="s">
        <v>10</v>
      </c>
    </row>
    <row r="1829" spans="1:8" x14ac:dyDescent="0.25">
      <c r="A1829">
        <v>1828</v>
      </c>
      <c r="B1829">
        <v>6.8</v>
      </c>
      <c r="C1829">
        <v>3.2</v>
      </c>
      <c r="D1829">
        <v>7.6</v>
      </c>
      <c r="E1829">
        <v>0.8</v>
      </c>
      <c r="F1829">
        <v>5.6</v>
      </c>
      <c r="G1829">
        <v>2.78</v>
      </c>
      <c r="H1829" t="s">
        <v>8</v>
      </c>
    </row>
    <row r="1830" spans="1:8" x14ac:dyDescent="0.25">
      <c r="A1830">
        <v>1829</v>
      </c>
      <c r="B1830">
        <v>8.6999999999999993</v>
      </c>
      <c r="C1830">
        <v>1.6</v>
      </c>
      <c r="D1830">
        <v>6.3</v>
      </c>
      <c r="E1830">
        <v>2.2999999999999998</v>
      </c>
      <c r="F1830">
        <v>5.0999999999999996</v>
      </c>
      <c r="G1830">
        <v>2.87</v>
      </c>
      <c r="H1830" t="s">
        <v>10</v>
      </c>
    </row>
    <row r="1831" spans="1:8" x14ac:dyDescent="0.25">
      <c r="A1831">
        <v>1830</v>
      </c>
      <c r="B1831">
        <v>6.2</v>
      </c>
      <c r="C1831">
        <v>1.6</v>
      </c>
      <c r="D1831">
        <v>5.0999999999999996</v>
      </c>
      <c r="E1831">
        <v>4.5999999999999996</v>
      </c>
      <c r="F1831">
        <v>6.5</v>
      </c>
      <c r="G1831">
        <v>2.92</v>
      </c>
      <c r="H1831" t="s">
        <v>10</v>
      </c>
    </row>
    <row r="1832" spans="1:8" x14ac:dyDescent="0.25">
      <c r="A1832">
        <v>1831</v>
      </c>
      <c r="B1832">
        <v>5.9</v>
      </c>
      <c r="C1832">
        <v>0.2</v>
      </c>
      <c r="D1832">
        <v>8.3000000000000007</v>
      </c>
      <c r="E1832">
        <v>4.5999999999999996</v>
      </c>
      <c r="F1832">
        <v>5</v>
      </c>
      <c r="G1832">
        <v>2.88</v>
      </c>
      <c r="H1832" t="s">
        <v>9</v>
      </c>
    </row>
    <row r="1833" spans="1:8" x14ac:dyDescent="0.25">
      <c r="A1833">
        <v>1832</v>
      </c>
      <c r="B1833">
        <v>6</v>
      </c>
      <c r="C1833">
        <v>2.9</v>
      </c>
      <c r="D1833">
        <v>8.5</v>
      </c>
      <c r="E1833">
        <v>1.5</v>
      </c>
      <c r="F1833">
        <v>5.0999999999999996</v>
      </c>
      <c r="G1833">
        <v>3.17</v>
      </c>
      <c r="H1833" t="s">
        <v>8</v>
      </c>
    </row>
    <row r="1834" spans="1:8" x14ac:dyDescent="0.25">
      <c r="A1834">
        <v>1833</v>
      </c>
      <c r="B1834">
        <v>9.5</v>
      </c>
      <c r="C1834">
        <v>0.4</v>
      </c>
      <c r="D1834">
        <v>9.9</v>
      </c>
      <c r="E1834">
        <v>3.6</v>
      </c>
      <c r="F1834">
        <v>0.6</v>
      </c>
      <c r="G1834">
        <v>3.5</v>
      </c>
      <c r="H1834" t="s">
        <v>10</v>
      </c>
    </row>
    <row r="1835" spans="1:8" x14ac:dyDescent="0.25">
      <c r="A1835">
        <v>1834</v>
      </c>
      <c r="B1835">
        <v>8.6</v>
      </c>
      <c r="C1835">
        <v>0.8</v>
      </c>
      <c r="D1835">
        <v>7.2</v>
      </c>
      <c r="E1835">
        <v>0.4</v>
      </c>
      <c r="F1835">
        <v>7</v>
      </c>
      <c r="G1835">
        <v>3.32</v>
      </c>
      <c r="H1835" t="s">
        <v>10</v>
      </c>
    </row>
    <row r="1836" spans="1:8" x14ac:dyDescent="0.25">
      <c r="A1836">
        <v>1835</v>
      </c>
      <c r="B1836">
        <v>6.9</v>
      </c>
      <c r="C1836">
        <v>3</v>
      </c>
      <c r="D1836">
        <v>6.9</v>
      </c>
      <c r="E1836">
        <v>2</v>
      </c>
      <c r="F1836">
        <v>5.2</v>
      </c>
      <c r="G1836">
        <v>3.23</v>
      </c>
      <c r="H1836" t="s">
        <v>8</v>
      </c>
    </row>
    <row r="1837" spans="1:8" x14ac:dyDescent="0.25">
      <c r="A1837">
        <v>1836</v>
      </c>
      <c r="B1837">
        <v>5.2</v>
      </c>
      <c r="C1837">
        <v>1.5</v>
      </c>
      <c r="D1837">
        <v>5.8</v>
      </c>
      <c r="E1837">
        <v>4.2</v>
      </c>
      <c r="F1837">
        <v>7.3</v>
      </c>
      <c r="G1837">
        <v>2.83</v>
      </c>
      <c r="H1837" t="s">
        <v>10</v>
      </c>
    </row>
    <row r="1838" spans="1:8" x14ac:dyDescent="0.25">
      <c r="A1838">
        <v>1837</v>
      </c>
      <c r="B1838">
        <v>5.5</v>
      </c>
      <c r="C1838">
        <v>2.7</v>
      </c>
      <c r="D1838">
        <v>6.4</v>
      </c>
      <c r="E1838">
        <v>1.2</v>
      </c>
      <c r="F1838">
        <v>8.1999999999999993</v>
      </c>
      <c r="G1838">
        <v>2.75</v>
      </c>
      <c r="H1838" t="s">
        <v>9</v>
      </c>
    </row>
    <row r="1839" spans="1:8" x14ac:dyDescent="0.25">
      <c r="A1839">
        <v>1838</v>
      </c>
      <c r="B1839">
        <v>7.4</v>
      </c>
      <c r="C1839">
        <v>2</v>
      </c>
      <c r="D1839">
        <v>6.6</v>
      </c>
      <c r="E1839">
        <v>0.8</v>
      </c>
      <c r="F1839">
        <v>7.2</v>
      </c>
      <c r="G1839">
        <v>3.1</v>
      </c>
      <c r="H1839" t="s">
        <v>8</v>
      </c>
    </row>
    <row r="1840" spans="1:8" x14ac:dyDescent="0.25">
      <c r="A1840">
        <v>1839</v>
      </c>
      <c r="B1840">
        <v>6.9</v>
      </c>
      <c r="C1840">
        <v>2.7</v>
      </c>
      <c r="D1840">
        <v>8.9</v>
      </c>
      <c r="E1840">
        <v>2.9</v>
      </c>
      <c r="F1840">
        <v>2.6</v>
      </c>
      <c r="G1840">
        <v>2.77</v>
      </c>
      <c r="H1840" t="s">
        <v>8</v>
      </c>
    </row>
    <row r="1841" spans="1:8" x14ac:dyDescent="0.25">
      <c r="A1841">
        <v>1840</v>
      </c>
      <c r="B1841">
        <v>6.4</v>
      </c>
      <c r="C1841">
        <v>0.6</v>
      </c>
      <c r="D1841">
        <v>6.2</v>
      </c>
      <c r="E1841">
        <v>1.3</v>
      </c>
      <c r="F1841">
        <v>9.5</v>
      </c>
      <c r="G1841">
        <v>3.04</v>
      </c>
      <c r="H1841" t="s">
        <v>8</v>
      </c>
    </row>
    <row r="1842" spans="1:8" x14ac:dyDescent="0.25">
      <c r="A1842">
        <v>1841</v>
      </c>
      <c r="B1842">
        <v>7.6</v>
      </c>
      <c r="C1842">
        <v>2.2999999999999998</v>
      </c>
      <c r="D1842">
        <v>9.6999999999999993</v>
      </c>
      <c r="E1842">
        <v>0.9</v>
      </c>
      <c r="F1842">
        <v>3.5</v>
      </c>
      <c r="G1842">
        <v>3.36</v>
      </c>
      <c r="H1842" t="s">
        <v>8</v>
      </c>
    </row>
    <row r="1843" spans="1:8" x14ac:dyDescent="0.25">
      <c r="A1843">
        <v>1842</v>
      </c>
      <c r="B1843">
        <v>7.8</v>
      </c>
      <c r="C1843">
        <v>1</v>
      </c>
      <c r="D1843">
        <v>6.3</v>
      </c>
      <c r="E1843">
        <v>0.2</v>
      </c>
      <c r="F1843">
        <v>8.6999999999999993</v>
      </c>
      <c r="G1843">
        <v>3.27</v>
      </c>
      <c r="H1843" t="s">
        <v>8</v>
      </c>
    </row>
    <row r="1844" spans="1:8" x14ac:dyDescent="0.25">
      <c r="A1844">
        <v>1843</v>
      </c>
      <c r="B1844">
        <v>6.5</v>
      </c>
      <c r="C1844">
        <v>3</v>
      </c>
      <c r="D1844">
        <v>5.2</v>
      </c>
      <c r="E1844">
        <v>1.3</v>
      </c>
      <c r="F1844">
        <v>8</v>
      </c>
      <c r="G1844">
        <v>3.17</v>
      </c>
      <c r="H1844" t="s">
        <v>10</v>
      </c>
    </row>
    <row r="1845" spans="1:8" x14ac:dyDescent="0.25">
      <c r="A1845">
        <v>1844</v>
      </c>
      <c r="B1845">
        <v>7.3</v>
      </c>
      <c r="C1845">
        <v>2.8</v>
      </c>
      <c r="D1845">
        <v>6.9</v>
      </c>
      <c r="E1845">
        <v>1</v>
      </c>
      <c r="F1845">
        <v>6</v>
      </c>
      <c r="G1845">
        <v>3.24</v>
      </c>
      <c r="H1845" t="s">
        <v>8</v>
      </c>
    </row>
    <row r="1846" spans="1:8" x14ac:dyDescent="0.25">
      <c r="A1846">
        <v>1845</v>
      </c>
      <c r="B1846">
        <v>7</v>
      </c>
      <c r="C1846">
        <v>2.2999999999999998</v>
      </c>
      <c r="D1846">
        <v>9.6999999999999993</v>
      </c>
      <c r="E1846">
        <v>0.3</v>
      </c>
      <c r="F1846">
        <v>4.7</v>
      </c>
      <c r="G1846">
        <v>2.64</v>
      </c>
      <c r="H1846" t="s">
        <v>8</v>
      </c>
    </row>
    <row r="1847" spans="1:8" x14ac:dyDescent="0.25">
      <c r="A1847">
        <v>1846</v>
      </c>
      <c r="B1847">
        <v>7.5</v>
      </c>
      <c r="C1847">
        <v>0.1</v>
      </c>
      <c r="D1847">
        <v>6.6</v>
      </c>
      <c r="E1847">
        <v>4.9000000000000004</v>
      </c>
      <c r="F1847">
        <v>4.9000000000000004</v>
      </c>
      <c r="G1847">
        <v>3.14</v>
      </c>
      <c r="H1847" t="s">
        <v>8</v>
      </c>
    </row>
    <row r="1848" spans="1:8" x14ac:dyDescent="0.25">
      <c r="A1848">
        <v>1847</v>
      </c>
      <c r="B1848">
        <v>7.8</v>
      </c>
      <c r="C1848">
        <v>1.8</v>
      </c>
      <c r="D1848">
        <v>6.4</v>
      </c>
      <c r="E1848">
        <v>1.8</v>
      </c>
      <c r="F1848">
        <v>6.2</v>
      </c>
      <c r="G1848">
        <v>3.39</v>
      </c>
      <c r="H1848" t="s">
        <v>8</v>
      </c>
    </row>
    <row r="1849" spans="1:8" x14ac:dyDescent="0.25">
      <c r="A1849">
        <v>1848</v>
      </c>
      <c r="B1849">
        <v>9.8000000000000007</v>
      </c>
      <c r="C1849">
        <v>1.8</v>
      </c>
      <c r="D1849">
        <v>7</v>
      </c>
      <c r="E1849">
        <v>4.5999999999999996</v>
      </c>
      <c r="F1849">
        <v>0.8</v>
      </c>
      <c r="G1849">
        <v>3.39</v>
      </c>
      <c r="H1849" t="s">
        <v>10</v>
      </c>
    </row>
    <row r="1850" spans="1:8" x14ac:dyDescent="0.25">
      <c r="A1850">
        <v>1849</v>
      </c>
      <c r="B1850">
        <v>7.1</v>
      </c>
      <c r="C1850">
        <v>2.2000000000000002</v>
      </c>
      <c r="D1850">
        <v>6.2</v>
      </c>
      <c r="E1850">
        <v>4.5</v>
      </c>
      <c r="F1850">
        <v>4</v>
      </c>
      <c r="G1850">
        <v>3.34</v>
      </c>
      <c r="H1850" t="s">
        <v>8</v>
      </c>
    </row>
    <row r="1851" spans="1:8" x14ac:dyDescent="0.25">
      <c r="A1851">
        <v>1850</v>
      </c>
      <c r="B1851">
        <v>8.9</v>
      </c>
      <c r="C1851">
        <v>0.9</v>
      </c>
      <c r="D1851">
        <v>8.6</v>
      </c>
      <c r="E1851">
        <v>4.5</v>
      </c>
      <c r="F1851">
        <v>1.1000000000000001</v>
      </c>
      <c r="G1851">
        <v>3.36</v>
      </c>
      <c r="H1851" t="s">
        <v>10</v>
      </c>
    </row>
    <row r="1852" spans="1:8" x14ac:dyDescent="0.25">
      <c r="A1852">
        <v>1851</v>
      </c>
      <c r="B1852">
        <v>6.7</v>
      </c>
      <c r="C1852">
        <v>0.7</v>
      </c>
      <c r="D1852">
        <v>5</v>
      </c>
      <c r="E1852">
        <v>2.7</v>
      </c>
      <c r="F1852">
        <v>8.9</v>
      </c>
      <c r="G1852">
        <v>3.15</v>
      </c>
      <c r="H1852" t="s">
        <v>10</v>
      </c>
    </row>
    <row r="1853" spans="1:8" x14ac:dyDescent="0.25">
      <c r="A1853">
        <v>1852</v>
      </c>
      <c r="B1853">
        <v>5.9</v>
      </c>
      <c r="C1853">
        <v>3.4</v>
      </c>
      <c r="D1853">
        <v>6.3</v>
      </c>
      <c r="E1853">
        <v>1.4</v>
      </c>
      <c r="F1853">
        <v>7</v>
      </c>
      <c r="G1853">
        <v>2.48</v>
      </c>
      <c r="H1853" t="s">
        <v>9</v>
      </c>
    </row>
    <row r="1854" spans="1:8" x14ac:dyDescent="0.25">
      <c r="A1854">
        <v>1853</v>
      </c>
      <c r="B1854">
        <v>7.4</v>
      </c>
      <c r="C1854">
        <v>2</v>
      </c>
      <c r="D1854">
        <v>6.1</v>
      </c>
      <c r="E1854">
        <v>1.6</v>
      </c>
      <c r="F1854">
        <v>6.9</v>
      </c>
      <c r="G1854">
        <v>3.22</v>
      </c>
      <c r="H1854" t="s">
        <v>8</v>
      </c>
    </row>
    <row r="1855" spans="1:8" x14ac:dyDescent="0.25">
      <c r="A1855">
        <v>1854</v>
      </c>
      <c r="B1855">
        <v>8.9</v>
      </c>
      <c r="C1855">
        <v>1.8</v>
      </c>
      <c r="D1855">
        <v>8.6</v>
      </c>
      <c r="E1855">
        <v>3.5</v>
      </c>
      <c r="F1855">
        <v>1.2</v>
      </c>
      <c r="G1855">
        <v>3.17</v>
      </c>
      <c r="H1855" t="s">
        <v>10</v>
      </c>
    </row>
    <row r="1856" spans="1:8" x14ac:dyDescent="0.25">
      <c r="A1856">
        <v>1855</v>
      </c>
      <c r="B1856">
        <v>5.7</v>
      </c>
      <c r="C1856">
        <v>3.9</v>
      </c>
      <c r="D1856">
        <v>9.1</v>
      </c>
      <c r="E1856">
        <v>1.1000000000000001</v>
      </c>
      <c r="F1856">
        <v>4.2</v>
      </c>
      <c r="G1856">
        <v>2.81</v>
      </c>
      <c r="H1856" t="s">
        <v>9</v>
      </c>
    </row>
    <row r="1857" spans="1:8" x14ac:dyDescent="0.25">
      <c r="A1857">
        <v>1856</v>
      </c>
      <c r="B1857">
        <v>5.7</v>
      </c>
      <c r="C1857">
        <v>3</v>
      </c>
      <c r="D1857">
        <v>7.3</v>
      </c>
      <c r="E1857">
        <v>4.7</v>
      </c>
      <c r="F1857">
        <v>3.3</v>
      </c>
      <c r="G1857">
        <v>2.82</v>
      </c>
      <c r="H1857" t="s">
        <v>9</v>
      </c>
    </row>
    <row r="1858" spans="1:8" x14ac:dyDescent="0.25">
      <c r="A1858">
        <v>1857</v>
      </c>
      <c r="B1858">
        <v>8.6999999999999993</v>
      </c>
      <c r="C1858">
        <v>2.4</v>
      </c>
      <c r="D1858">
        <v>8.4</v>
      </c>
      <c r="E1858">
        <v>0.1</v>
      </c>
      <c r="F1858">
        <v>4.4000000000000004</v>
      </c>
      <c r="G1858">
        <v>3.51</v>
      </c>
      <c r="H1858" t="s">
        <v>10</v>
      </c>
    </row>
    <row r="1859" spans="1:8" x14ac:dyDescent="0.25">
      <c r="A1859">
        <v>1858</v>
      </c>
      <c r="B1859">
        <v>5</v>
      </c>
      <c r="C1859">
        <v>0.1</v>
      </c>
      <c r="D1859">
        <v>9.3000000000000007</v>
      </c>
      <c r="E1859">
        <v>4.0999999999999996</v>
      </c>
      <c r="F1859">
        <v>5.5</v>
      </c>
      <c r="G1859">
        <v>2.4700000000000002</v>
      </c>
      <c r="H1859" t="s">
        <v>9</v>
      </c>
    </row>
    <row r="1860" spans="1:8" x14ac:dyDescent="0.25">
      <c r="A1860">
        <v>1859</v>
      </c>
      <c r="B1860">
        <v>6.3</v>
      </c>
      <c r="C1860">
        <v>2.8</v>
      </c>
      <c r="D1860">
        <v>9</v>
      </c>
      <c r="E1860">
        <v>1.8</v>
      </c>
      <c r="F1860">
        <v>4.0999999999999996</v>
      </c>
      <c r="G1860">
        <v>2.79</v>
      </c>
      <c r="H1860" t="s">
        <v>8</v>
      </c>
    </row>
    <row r="1861" spans="1:8" x14ac:dyDescent="0.25">
      <c r="A1861">
        <v>1860</v>
      </c>
      <c r="B1861">
        <v>7.5</v>
      </c>
      <c r="C1861">
        <v>3.1</v>
      </c>
      <c r="D1861">
        <v>6.1</v>
      </c>
      <c r="E1861">
        <v>1.6</v>
      </c>
      <c r="F1861">
        <v>5.7</v>
      </c>
      <c r="G1861">
        <v>3.07</v>
      </c>
      <c r="H1861" t="s">
        <v>8</v>
      </c>
    </row>
    <row r="1862" spans="1:8" x14ac:dyDescent="0.25">
      <c r="A1862">
        <v>1861</v>
      </c>
      <c r="B1862">
        <v>6.2</v>
      </c>
      <c r="C1862">
        <v>4</v>
      </c>
      <c r="D1862">
        <v>6</v>
      </c>
      <c r="E1862">
        <v>3.5</v>
      </c>
      <c r="F1862">
        <v>4.3</v>
      </c>
      <c r="G1862">
        <v>2.88</v>
      </c>
      <c r="H1862" t="s">
        <v>8</v>
      </c>
    </row>
    <row r="1863" spans="1:8" x14ac:dyDescent="0.25">
      <c r="A1863">
        <v>1862</v>
      </c>
      <c r="B1863">
        <v>8.1999999999999993</v>
      </c>
      <c r="C1863">
        <v>3</v>
      </c>
      <c r="D1863">
        <v>9.9</v>
      </c>
      <c r="E1863">
        <v>0.5</v>
      </c>
      <c r="F1863">
        <v>2.4</v>
      </c>
      <c r="G1863">
        <v>3.3</v>
      </c>
      <c r="H1863" t="s">
        <v>10</v>
      </c>
    </row>
    <row r="1864" spans="1:8" x14ac:dyDescent="0.25">
      <c r="A1864">
        <v>1863</v>
      </c>
      <c r="B1864">
        <v>8.8000000000000007</v>
      </c>
      <c r="C1864">
        <v>1.4</v>
      </c>
      <c r="D1864">
        <v>5.9</v>
      </c>
      <c r="E1864">
        <v>2.5</v>
      </c>
      <c r="F1864">
        <v>5.4</v>
      </c>
      <c r="G1864">
        <v>3.29</v>
      </c>
      <c r="H1864" t="s">
        <v>10</v>
      </c>
    </row>
    <row r="1865" spans="1:8" x14ac:dyDescent="0.25">
      <c r="A1865">
        <v>1864</v>
      </c>
      <c r="B1865">
        <v>7.7</v>
      </c>
      <c r="C1865">
        <v>4</v>
      </c>
      <c r="D1865">
        <v>7</v>
      </c>
      <c r="E1865">
        <v>3.3</v>
      </c>
      <c r="F1865">
        <v>2</v>
      </c>
      <c r="G1865">
        <v>3.44</v>
      </c>
      <c r="H1865" t="s">
        <v>8</v>
      </c>
    </row>
    <row r="1866" spans="1:8" x14ac:dyDescent="0.25">
      <c r="A1866">
        <v>1865</v>
      </c>
      <c r="B1866">
        <v>6.8</v>
      </c>
      <c r="C1866">
        <v>1.6</v>
      </c>
      <c r="D1866">
        <v>8.5</v>
      </c>
      <c r="E1866">
        <v>5.6</v>
      </c>
      <c r="F1866">
        <v>1.5</v>
      </c>
      <c r="G1866">
        <v>3.33</v>
      </c>
      <c r="H1866" t="s">
        <v>8</v>
      </c>
    </row>
    <row r="1867" spans="1:8" x14ac:dyDescent="0.25">
      <c r="A1867">
        <v>1866</v>
      </c>
      <c r="B1867">
        <v>5.4</v>
      </c>
      <c r="C1867">
        <v>0.8</v>
      </c>
      <c r="D1867">
        <v>7.5</v>
      </c>
      <c r="E1867">
        <v>0.1</v>
      </c>
      <c r="F1867">
        <v>10.199999999999999</v>
      </c>
      <c r="G1867">
        <v>2.86</v>
      </c>
      <c r="H1867" t="s">
        <v>9</v>
      </c>
    </row>
    <row r="1868" spans="1:8" x14ac:dyDescent="0.25">
      <c r="A1868">
        <v>1867</v>
      </c>
      <c r="B1868">
        <v>6.3</v>
      </c>
      <c r="C1868">
        <v>2.1</v>
      </c>
      <c r="D1868">
        <v>5.0999999999999996</v>
      </c>
      <c r="E1868">
        <v>1.6</v>
      </c>
      <c r="F1868">
        <v>8.9</v>
      </c>
      <c r="G1868">
        <v>3.49</v>
      </c>
      <c r="H1868" t="s">
        <v>10</v>
      </c>
    </row>
    <row r="1869" spans="1:8" x14ac:dyDescent="0.25">
      <c r="A1869">
        <v>1868</v>
      </c>
      <c r="B1869">
        <v>9.6</v>
      </c>
      <c r="C1869">
        <v>2.6</v>
      </c>
      <c r="D1869">
        <v>7.1</v>
      </c>
      <c r="E1869">
        <v>4.4000000000000004</v>
      </c>
      <c r="F1869">
        <v>0.3</v>
      </c>
      <c r="G1869">
        <v>3.54</v>
      </c>
      <c r="H1869" t="s">
        <v>10</v>
      </c>
    </row>
    <row r="1870" spans="1:8" x14ac:dyDescent="0.25">
      <c r="A1870">
        <v>1869</v>
      </c>
      <c r="B1870">
        <v>8.9</v>
      </c>
      <c r="C1870">
        <v>0.8</v>
      </c>
      <c r="D1870">
        <v>5.7</v>
      </c>
      <c r="E1870">
        <v>4.0999999999999996</v>
      </c>
      <c r="F1870">
        <v>4.5</v>
      </c>
      <c r="G1870">
        <v>3.62</v>
      </c>
      <c r="H1870" t="s">
        <v>10</v>
      </c>
    </row>
    <row r="1871" spans="1:8" x14ac:dyDescent="0.25">
      <c r="A1871">
        <v>1870</v>
      </c>
      <c r="B1871">
        <v>8.6999999999999993</v>
      </c>
      <c r="C1871">
        <v>2.5</v>
      </c>
      <c r="D1871">
        <v>9.9</v>
      </c>
      <c r="E1871">
        <v>1.5</v>
      </c>
      <c r="F1871">
        <v>1.4</v>
      </c>
      <c r="G1871">
        <v>3.36</v>
      </c>
      <c r="H1871" t="s">
        <v>10</v>
      </c>
    </row>
    <row r="1872" spans="1:8" x14ac:dyDescent="0.25">
      <c r="A1872">
        <v>1871</v>
      </c>
      <c r="B1872">
        <v>5.6</v>
      </c>
      <c r="C1872">
        <v>3.3</v>
      </c>
      <c r="D1872">
        <v>6.3</v>
      </c>
      <c r="E1872">
        <v>4.7</v>
      </c>
      <c r="F1872">
        <v>4.0999999999999996</v>
      </c>
      <c r="G1872">
        <v>2.85</v>
      </c>
      <c r="H1872" t="s">
        <v>9</v>
      </c>
    </row>
    <row r="1873" spans="1:8" x14ac:dyDescent="0.25">
      <c r="A1873">
        <v>1872</v>
      </c>
      <c r="B1873">
        <v>8</v>
      </c>
      <c r="C1873">
        <v>1.8</v>
      </c>
      <c r="D1873">
        <v>6.8</v>
      </c>
      <c r="E1873">
        <v>2.1</v>
      </c>
      <c r="F1873">
        <v>5.3</v>
      </c>
      <c r="G1873">
        <v>3.23</v>
      </c>
      <c r="H1873" t="s">
        <v>8</v>
      </c>
    </row>
    <row r="1874" spans="1:8" x14ac:dyDescent="0.25">
      <c r="A1874">
        <v>1873</v>
      </c>
      <c r="B1874">
        <v>8.1999999999999993</v>
      </c>
      <c r="C1874">
        <v>3</v>
      </c>
      <c r="D1874">
        <v>8.4</v>
      </c>
      <c r="E1874">
        <v>0.9</v>
      </c>
      <c r="F1874">
        <v>3.5</v>
      </c>
      <c r="G1874">
        <v>3.52</v>
      </c>
      <c r="H1874" t="s">
        <v>10</v>
      </c>
    </row>
    <row r="1875" spans="1:8" x14ac:dyDescent="0.25">
      <c r="A1875">
        <v>1874</v>
      </c>
      <c r="B1875">
        <v>7.4</v>
      </c>
      <c r="C1875">
        <v>2.1</v>
      </c>
      <c r="D1875">
        <v>8.9</v>
      </c>
      <c r="E1875">
        <v>3.7</v>
      </c>
      <c r="F1875">
        <v>1.9</v>
      </c>
      <c r="G1875">
        <v>3.1</v>
      </c>
      <c r="H1875" t="s">
        <v>8</v>
      </c>
    </row>
    <row r="1876" spans="1:8" x14ac:dyDescent="0.25">
      <c r="A1876">
        <v>1875</v>
      </c>
      <c r="B1876">
        <v>7</v>
      </c>
      <c r="C1876">
        <v>3.6</v>
      </c>
      <c r="D1876">
        <v>5.8</v>
      </c>
      <c r="E1876">
        <v>6</v>
      </c>
      <c r="F1876">
        <v>1.6</v>
      </c>
      <c r="G1876">
        <v>2.99</v>
      </c>
      <c r="H1876" t="s">
        <v>10</v>
      </c>
    </row>
    <row r="1877" spans="1:8" x14ac:dyDescent="0.25">
      <c r="A1877">
        <v>1876</v>
      </c>
      <c r="B1877">
        <v>8.6</v>
      </c>
      <c r="C1877">
        <v>3.2</v>
      </c>
      <c r="D1877">
        <v>9.3000000000000007</v>
      </c>
      <c r="E1877">
        <v>2.9</v>
      </c>
      <c r="F1877">
        <v>0</v>
      </c>
      <c r="G1877">
        <v>3.38</v>
      </c>
      <c r="H1877" t="s">
        <v>10</v>
      </c>
    </row>
    <row r="1878" spans="1:8" x14ac:dyDescent="0.25">
      <c r="A1878">
        <v>1877</v>
      </c>
      <c r="B1878">
        <v>6.5</v>
      </c>
      <c r="C1878">
        <v>2.8</v>
      </c>
      <c r="D1878">
        <v>5.6</v>
      </c>
      <c r="E1878">
        <v>2.4</v>
      </c>
      <c r="F1878">
        <v>6.7</v>
      </c>
      <c r="G1878">
        <v>2.9</v>
      </c>
      <c r="H1878" t="s">
        <v>10</v>
      </c>
    </row>
    <row r="1879" spans="1:8" x14ac:dyDescent="0.25">
      <c r="A1879">
        <v>1878</v>
      </c>
      <c r="B1879">
        <v>8</v>
      </c>
      <c r="C1879">
        <v>2</v>
      </c>
      <c r="D1879">
        <v>8.1999999999999993</v>
      </c>
      <c r="E1879">
        <v>5.6</v>
      </c>
      <c r="F1879">
        <v>0.2</v>
      </c>
      <c r="G1879">
        <v>3.4</v>
      </c>
      <c r="H1879" t="s">
        <v>8</v>
      </c>
    </row>
    <row r="1880" spans="1:8" x14ac:dyDescent="0.25">
      <c r="A1880">
        <v>1879</v>
      </c>
      <c r="B1880">
        <v>5.3</v>
      </c>
      <c r="C1880">
        <v>2.2999999999999998</v>
      </c>
      <c r="D1880">
        <v>9.3000000000000007</v>
      </c>
      <c r="E1880">
        <v>2.9</v>
      </c>
      <c r="F1880">
        <v>4.2</v>
      </c>
      <c r="G1880">
        <v>2.82</v>
      </c>
      <c r="H1880" t="s">
        <v>9</v>
      </c>
    </row>
    <row r="1881" spans="1:8" x14ac:dyDescent="0.25">
      <c r="A1881">
        <v>1880</v>
      </c>
      <c r="B1881">
        <v>6.7</v>
      </c>
      <c r="C1881">
        <v>0.6</v>
      </c>
      <c r="D1881">
        <v>9.1999999999999993</v>
      </c>
      <c r="E1881">
        <v>3.1</v>
      </c>
      <c r="F1881">
        <v>4.4000000000000004</v>
      </c>
      <c r="G1881">
        <v>2.85</v>
      </c>
      <c r="H1881" t="s">
        <v>8</v>
      </c>
    </row>
    <row r="1882" spans="1:8" x14ac:dyDescent="0.25">
      <c r="A1882">
        <v>1881</v>
      </c>
      <c r="B1882">
        <v>9.6999999999999993</v>
      </c>
      <c r="C1882">
        <v>3.2</v>
      </c>
      <c r="D1882">
        <v>8.5</v>
      </c>
      <c r="E1882">
        <v>0</v>
      </c>
      <c r="F1882">
        <v>2.6</v>
      </c>
      <c r="G1882">
        <v>3.19</v>
      </c>
      <c r="H1882" t="s">
        <v>10</v>
      </c>
    </row>
    <row r="1883" spans="1:8" x14ac:dyDescent="0.25">
      <c r="A1883">
        <v>1882</v>
      </c>
      <c r="B1883">
        <v>9.6</v>
      </c>
      <c r="C1883">
        <v>0.7</v>
      </c>
      <c r="D1883">
        <v>6.4</v>
      </c>
      <c r="E1883">
        <v>3.1</v>
      </c>
      <c r="F1883">
        <v>4.2</v>
      </c>
      <c r="G1883">
        <v>3.38</v>
      </c>
      <c r="H1883" t="s">
        <v>10</v>
      </c>
    </row>
    <row r="1884" spans="1:8" x14ac:dyDescent="0.25">
      <c r="A1884">
        <v>1883</v>
      </c>
      <c r="B1884">
        <v>6.3</v>
      </c>
      <c r="C1884">
        <v>0.8</v>
      </c>
      <c r="D1884">
        <v>8</v>
      </c>
      <c r="E1884">
        <v>0.5</v>
      </c>
      <c r="F1884">
        <v>8.4</v>
      </c>
      <c r="G1884">
        <v>2.91</v>
      </c>
      <c r="H1884" t="s">
        <v>8</v>
      </c>
    </row>
    <row r="1885" spans="1:8" x14ac:dyDescent="0.25">
      <c r="A1885">
        <v>1884</v>
      </c>
      <c r="B1885">
        <v>8.6</v>
      </c>
      <c r="C1885">
        <v>2.2000000000000002</v>
      </c>
      <c r="D1885">
        <v>7.1</v>
      </c>
      <c r="E1885">
        <v>3.4</v>
      </c>
      <c r="F1885">
        <v>2.7</v>
      </c>
      <c r="G1885">
        <v>3.18</v>
      </c>
      <c r="H1885" t="s">
        <v>10</v>
      </c>
    </row>
    <row r="1886" spans="1:8" x14ac:dyDescent="0.25">
      <c r="A1886">
        <v>1885</v>
      </c>
      <c r="B1886">
        <v>6.8</v>
      </c>
      <c r="C1886">
        <v>3.7</v>
      </c>
      <c r="D1886">
        <v>5.3</v>
      </c>
      <c r="E1886">
        <v>4</v>
      </c>
      <c r="F1886">
        <v>4.2</v>
      </c>
      <c r="G1886">
        <v>3.04</v>
      </c>
      <c r="H1886" t="s">
        <v>10</v>
      </c>
    </row>
    <row r="1887" spans="1:8" x14ac:dyDescent="0.25">
      <c r="A1887">
        <v>1886</v>
      </c>
      <c r="B1887">
        <v>5.9</v>
      </c>
      <c r="C1887">
        <v>1.2</v>
      </c>
      <c r="D1887">
        <v>8.6</v>
      </c>
      <c r="E1887">
        <v>0.5</v>
      </c>
      <c r="F1887">
        <v>7.8</v>
      </c>
      <c r="G1887">
        <v>2.92</v>
      </c>
      <c r="H1887" t="s">
        <v>9</v>
      </c>
    </row>
    <row r="1888" spans="1:8" x14ac:dyDescent="0.25">
      <c r="A1888">
        <v>1887</v>
      </c>
      <c r="B1888">
        <v>9.1</v>
      </c>
      <c r="C1888">
        <v>2.9</v>
      </c>
      <c r="D1888">
        <v>8.6</v>
      </c>
      <c r="E1888">
        <v>0.3</v>
      </c>
      <c r="F1888">
        <v>3.1</v>
      </c>
      <c r="G1888">
        <v>3.56</v>
      </c>
      <c r="H1888" t="s">
        <v>10</v>
      </c>
    </row>
    <row r="1889" spans="1:8" x14ac:dyDescent="0.25">
      <c r="A1889">
        <v>1888</v>
      </c>
      <c r="B1889">
        <v>9.1999999999999993</v>
      </c>
      <c r="C1889">
        <v>0.2</v>
      </c>
      <c r="D1889">
        <v>5.0999999999999996</v>
      </c>
      <c r="E1889">
        <v>2.2000000000000002</v>
      </c>
      <c r="F1889">
        <v>7.3</v>
      </c>
      <c r="G1889">
        <v>3.61</v>
      </c>
      <c r="H1889" t="s">
        <v>10</v>
      </c>
    </row>
    <row r="1890" spans="1:8" x14ac:dyDescent="0.25">
      <c r="A1890">
        <v>1889</v>
      </c>
      <c r="B1890">
        <v>5.7</v>
      </c>
      <c r="C1890">
        <v>2.2000000000000002</v>
      </c>
      <c r="D1890">
        <v>9.6</v>
      </c>
      <c r="E1890">
        <v>2.2999999999999998</v>
      </c>
      <c r="F1890">
        <v>4.2</v>
      </c>
      <c r="G1890">
        <v>2.98</v>
      </c>
      <c r="H1890" t="s">
        <v>9</v>
      </c>
    </row>
    <row r="1891" spans="1:8" x14ac:dyDescent="0.25">
      <c r="A1891">
        <v>1890</v>
      </c>
      <c r="B1891">
        <v>5.5</v>
      </c>
      <c r="C1891">
        <v>2.4</v>
      </c>
      <c r="D1891">
        <v>7.3</v>
      </c>
      <c r="E1891">
        <v>5.6</v>
      </c>
      <c r="F1891">
        <v>3.2</v>
      </c>
      <c r="G1891">
        <v>2.77</v>
      </c>
      <c r="H1891" t="s">
        <v>9</v>
      </c>
    </row>
    <row r="1892" spans="1:8" x14ac:dyDescent="0.25">
      <c r="A1892">
        <v>1891</v>
      </c>
      <c r="B1892">
        <v>5.6</v>
      </c>
      <c r="C1892">
        <v>0.8</v>
      </c>
      <c r="D1892">
        <v>5.0999999999999996</v>
      </c>
      <c r="E1892">
        <v>2.6</v>
      </c>
      <c r="F1892">
        <v>9.9</v>
      </c>
      <c r="G1892">
        <v>2.97</v>
      </c>
      <c r="H1892" t="s">
        <v>10</v>
      </c>
    </row>
    <row r="1893" spans="1:8" x14ac:dyDescent="0.25">
      <c r="A1893">
        <v>1892</v>
      </c>
      <c r="B1893">
        <v>8</v>
      </c>
      <c r="C1893">
        <v>2.5</v>
      </c>
      <c r="D1893">
        <v>7.7</v>
      </c>
      <c r="E1893">
        <v>0.5</v>
      </c>
      <c r="F1893">
        <v>5.3</v>
      </c>
      <c r="G1893">
        <v>3.12</v>
      </c>
      <c r="H1893" t="s">
        <v>8</v>
      </c>
    </row>
    <row r="1894" spans="1:8" x14ac:dyDescent="0.25">
      <c r="A1894">
        <v>1893</v>
      </c>
      <c r="B1894">
        <v>7.2</v>
      </c>
      <c r="C1894">
        <v>4</v>
      </c>
      <c r="D1894">
        <v>9.1999999999999993</v>
      </c>
      <c r="E1894">
        <v>3.2</v>
      </c>
      <c r="F1894">
        <v>0.4</v>
      </c>
      <c r="G1894">
        <v>2.95</v>
      </c>
      <c r="H1894" t="s">
        <v>8</v>
      </c>
    </row>
    <row r="1895" spans="1:8" x14ac:dyDescent="0.25">
      <c r="A1895">
        <v>1894</v>
      </c>
      <c r="B1895">
        <v>7.4</v>
      </c>
      <c r="C1895">
        <v>2.7</v>
      </c>
      <c r="D1895">
        <v>9.4</v>
      </c>
      <c r="E1895">
        <v>3.4</v>
      </c>
      <c r="F1895">
        <v>1.1000000000000001</v>
      </c>
      <c r="G1895">
        <v>3.04</v>
      </c>
      <c r="H1895" t="s">
        <v>8</v>
      </c>
    </row>
    <row r="1896" spans="1:8" x14ac:dyDescent="0.25">
      <c r="A1896">
        <v>1895</v>
      </c>
      <c r="B1896">
        <v>9.6999999999999993</v>
      </c>
      <c r="C1896">
        <v>0.2</v>
      </c>
      <c r="D1896">
        <v>5.0999999999999996</v>
      </c>
      <c r="E1896">
        <v>4</v>
      </c>
      <c r="F1896">
        <v>5</v>
      </c>
      <c r="G1896">
        <v>3.25</v>
      </c>
      <c r="H1896" t="s">
        <v>10</v>
      </c>
    </row>
    <row r="1897" spans="1:8" x14ac:dyDescent="0.25">
      <c r="A1897">
        <v>1896</v>
      </c>
      <c r="B1897">
        <v>6.7</v>
      </c>
      <c r="C1897">
        <v>1.1000000000000001</v>
      </c>
      <c r="D1897">
        <v>7.6</v>
      </c>
      <c r="E1897">
        <v>2.6</v>
      </c>
      <c r="F1897">
        <v>6</v>
      </c>
      <c r="G1897">
        <v>2.83</v>
      </c>
      <c r="H1897" t="s">
        <v>8</v>
      </c>
    </row>
    <row r="1898" spans="1:8" x14ac:dyDescent="0.25">
      <c r="A1898">
        <v>1897</v>
      </c>
      <c r="B1898">
        <v>7.6</v>
      </c>
      <c r="C1898">
        <v>2.7</v>
      </c>
      <c r="D1898">
        <v>6.9</v>
      </c>
      <c r="E1898">
        <v>1.5</v>
      </c>
      <c r="F1898">
        <v>5.3</v>
      </c>
      <c r="G1898">
        <v>3.05</v>
      </c>
      <c r="H1898" t="s">
        <v>8</v>
      </c>
    </row>
    <row r="1899" spans="1:8" x14ac:dyDescent="0.25">
      <c r="A1899">
        <v>1898</v>
      </c>
      <c r="B1899">
        <v>8.6999999999999993</v>
      </c>
      <c r="C1899">
        <v>3</v>
      </c>
      <c r="D1899">
        <v>8.3000000000000007</v>
      </c>
      <c r="E1899">
        <v>0.9</v>
      </c>
      <c r="F1899">
        <v>3.1</v>
      </c>
      <c r="G1899">
        <v>3.1</v>
      </c>
      <c r="H1899" t="s">
        <v>10</v>
      </c>
    </row>
    <row r="1900" spans="1:8" x14ac:dyDescent="0.25">
      <c r="A1900">
        <v>1899</v>
      </c>
      <c r="B1900">
        <v>7.9</v>
      </c>
      <c r="C1900">
        <v>2.2999999999999998</v>
      </c>
      <c r="D1900">
        <v>7.4</v>
      </c>
      <c r="E1900">
        <v>3.3</v>
      </c>
      <c r="F1900">
        <v>3.1</v>
      </c>
      <c r="G1900">
        <v>3.75</v>
      </c>
      <c r="H1900" t="s">
        <v>8</v>
      </c>
    </row>
    <row r="1901" spans="1:8" x14ac:dyDescent="0.25">
      <c r="A1901">
        <v>1900</v>
      </c>
      <c r="B1901">
        <v>8.6</v>
      </c>
      <c r="C1901">
        <v>0.4</v>
      </c>
      <c r="D1901">
        <v>8.6999999999999993</v>
      </c>
      <c r="E1901">
        <v>0.8</v>
      </c>
      <c r="F1901">
        <v>5.5</v>
      </c>
      <c r="G1901">
        <v>3.22</v>
      </c>
      <c r="H1901" t="s">
        <v>10</v>
      </c>
    </row>
    <row r="1902" spans="1:8" x14ac:dyDescent="0.25">
      <c r="A1902">
        <v>1901</v>
      </c>
      <c r="B1902">
        <v>5.3</v>
      </c>
      <c r="C1902">
        <v>3.9</v>
      </c>
      <c r="D1902">
        <v>9.8000000000000007</v>
      </c>
      <c r="E1902">
        <v>0.3</v>
      </c>
      <c r="F1902">
        <v>4.7</v>
      </c>
      <c r="G1902">
        <v>2.5299999999999998</v>
      </c>
      <c r="H1902" t="s">
        <v>9</v>
      </c>
    </row>
    <row r="1903" spans="1:8" x14ac:dyDescent="0.25">
      <c r="A1903">
        <v>1902</v>
      </c>
      <c r="B1903">
        <v>7.4</v>
      </c>
      <c r="C1903">
        <v>3.3</v>
      </c>
      <c r="D1903">
        <v>9.8000000000000007</v>
      </c>
      <c r="E1903">
        <v>2.2000000000000002</v>
      </c>
      <c r="F1903">
        <v>1.3</v>
      </c>
      <c r="G1903">
        <v>3.06</v>
      </c>
      <c r="H1903" t="s">
        <v>8</v>
      </c>
    </row>
    <row r="1904" spans="1:8" x14ac:dyDescent="0.25">
      <c r="A1904">
        <v>1903</v>
      </c>
      <c r="B1904">
        <v>6.8</v>
      </c>
      <c r="C1904">
        <v>2.4</v>
      </c>
      <c r="D1904">
        <v>6.6</v>
      </c>
      <c r="E1904">
        <v>5.5</v>
      </c>
      <c r="F1904">
        <v>2.7</v>
      </c>
      <c r="G1904">
        <v>3.05</v>
      </c>
      <c r="H1904" t="s">
        <v>8</v>
      </c>
    </row>
    <row r="1905" spans="1:8" x14ac:dyDescent="0.25">
      <c r="A1905">
        <v>1904</v>
      </c>
      <c r="B1905">
        <v>6.6</v>
      </c>
      <c r="C1905">
        <v>1.2</v>
      </c>
      <c r="D1905">
        <v>5.2</v>
      </c>
      <c r="E1905">
        <v>4.9000000000000004</v>
      </c>
      <c r="F1905">
        <v>6.1</v>
      </c>
      <c r="G1905">
        <v>3.2</v>
      </c>
      <c r="H1905" t="s">
        <v>10</v>
      </c>
    </row>
    <row r="1906" spans="1:8" x14ac:dyDescent="0.25">
      <c r="A1906">
        <v>1905</v>
      </c>
      <c r="B1906">
        <v>7.3</v>
      </c>
      <c r="C1906">
        <v>1.3</v>
      </c>
      <c r="D1906">
        <v>7.4</v>
      </c>
      <c r="E1906">
        <v>4.9000000000000004</v>
      </c>
      <c r="F1906">
        <v>3.1</v>
      </c>
      <c r="G1906">
        <v>2.83</v>
      </c>
      <c r="H1906" t="s">
        <v>8</v>
      </c>
    </row>
    <row r="1907" spans="1:8" x14ac:dyDescent="0.25">
      <c r="A1907">
        <v>1906</v>
      </c>
      <c r="B1907">
        <v>6.9</v>
      </c>
      <c r="C1907">
        <v>1.3</v>
      </c>
      <c r="D1907">
        <v>5.9</v>
      </c>
      <c r="E1907">
        <v>3.6</v>
      </c>
      <c r="F1907">
        <v>6.3</v>
      </c>
      <c r="G1907">
        <v>2.94</v>
      </c>
      <c r="H1907" t="s">
        <v>10</v>
      </c>
    </row>
    <row r="1908" spans="1:8" x14ac:dyDescent="0.25">
      <c r="A1908">
        <v>1907</v>
      </c>
      <c r="B1908">
        <v>7.4</v>
      </c>
      <c r="C1908">
        <v>3.5</v>
      </c>
      <c r="D1908">
        <v>5.2</v>
      </c>
      <c r="E1908">
        <v>3.9</v>
      </c>
      <c r="F1908">
        <v>4</v>
      </c>
      <c r="G1908">
        <v>3.26</v>
      </c>
      <c r="H1908" t="s">
        <v>10</v>
      </c>
    </row>
    <row r="1909" spans="1:8" x14ac:dyDescent="0.25">
      <c r="A1909">
        <v>1908</v>
      </c>
      <c r="B1909">
        <v>9.4</v>
      </c>
      <c r="C1909">
        <v>2.9</v>
      </c>
      <c r="D1909">
        <v>9.6</v>
      </c>
      <c r="E1909">
        <v>0.7</v>
      </c>
      <c r="F1909">
        <v>1.4</v>
      </c>
      <c r="G1909">
        <v>3.57</v>
      </c>
      <c r="H1909" t="s">
        <v>10</v>
      </c>
    </row>
    <row r="1910" spans="1:8" x14ac:dyDescent="0.25">
      <c r="A1910">
        <v>1909</v>
      </c>
      <c r="B1910">
        <v>7.5</v>
      </c>
      <c r="C1910">
        <v>0.1</v>
      </c>
      <c r="D1910">
        <v>5</v>
      </c>
      <c r="E1910">
        <v>1.4</v>
      </c>
      <c r="F1910">
        <v>10</v>
      </c>
      <c r="G1910">
        <v>3.07</v>
      </c>
      <c r="H1910" t="s">
        <v>10</v>
      </c>
    </row>
    <row r="1911" spans="1:8" x14ac:dyDescent="0.25">
      <c r="A1911">
        <v>1910</v>
      </c>
      <c r="B1911">
        <v>5.9</v>
      </c>
      <c r="C1911">
        <v>0.1</v>
      </c>
      <c r="D1911">
        <v>9.5</v>
      </c>
      <c r="E1911">
        <v>0</v>
      </c>
      <c r="F1911">
        <v>8.5</v>
      </c>
      <c r="G1911">
        <v>2.79</v>
      </c>
      <c r="H1911" t="s">
        <v>9</v>
      </c>
    </row>
    <row r="1912" spans="1:8" x14ac:dyDescent="0.25">
      <c r="A1912">
        <v>1911</v>
      </c>
      <c r="B1912">
        <v>8.6999999999999993</v>
      </c>
      <c r="C1912">
        <v>0.6</v>
      </c>
      <c r="D1912">
        <v>9.6</v>
      </c>
      <c r="E1912">
        <v>4.5999999999999996</v>
      </c>
      <c r="F1912">
        <v>0.5</v>
      </c>
      <c r="G1912">
        <v>3.57</v>
      </c>
      <c r="H1912" t="s">
        <v>10</v>
      </c>
    </row>
    <row r="1913" spans="1:8" x14ac:dyDescent="0.25">
      <c r="A1913">
        <v>1912</v>
      </c>
      <c r="B1913">
        <v>5</v>
      </c>
      <c r="C1913">
        <v>3.9</v>
      </c>
      <c r="D1913">
        <v>9.4</v>
      </c>
      <c r="E1913">
        <v>5.0999999999999996</v>
      </c>
      <c r="F1913">
        <v>0.6</v>
      </c>
      <c r="G1913">
        <v>2.98</v>
      </c>
      <c r="H1913" t="s">
        <v>9</v>
      </c>
    </row>
    <row r="1914" spans="1:8" x14ac:dyDescent="0.25">
      <c r="A1914">
        <v>1913</v>
      </c>
      <c r="B1914">
        <v>8.3000000000000007</v>
      </c>
      <c r="C1914">
        <v>1.4</v>
      </c>
      <c r="D1914">
        <v>9.5</v>
      </c>
      <c r="E1914">
        <v>1.4</v>
      </c>
      <c r="F1914">
        <v>3.4</v>
      </c>
      <c r="G1914">
        <v>3.06</v>
      </c>
      <c r="H1914" t="s">
        <v>10</v>
      </c>
    </row>
    <row r="1915" spans="1:8" x14ac:dyDescent="0.25">
      <c r="A1915">
        <v>1914</v>
      </c>
      <c r="B1915">
        <v>9.6</v>
      </c>
      <c r="C1915">
        <v>0.6</v>
      </c>
      <c r="D1915">
        <v>6.1</v>
      </c>
      <c r="E1915">
        <v>3.3</v>
      </c>
      <c r="F1915">
        <v>4.4000000000000004</v>
      </c>
      <c r="G1915">
        <v>3.47</v>
      </c>
      <c r="H1915" t="s">
        <v>10</v>
      </c>
    </row>
    <row r="1916" spans="1:8" x14ac:dyDescent="0.25">
      <c r="A1916">
        <v>1915</v>
      </c>
      <c r="B1916">
        <v>8.8000000000000007</v>
      </c>
      <c r="C1916">
        <v>2.5</v>
      </c>
      <c r="D1916">
        <v>6.2</v>
      </c>
      <c r="E1916">
        <v>0</v>
      </c>
      <c r="F1916">
        <v>6.5</v>
      </c>
      <c r="G1916">
        <v>3.29</v>
      </c>
      <c r="H1916" t="s">
        <v>10</v>
      </c>
    </row>
    <row r="1917" spans="1:8" x14ac:dyDescent="0.25">
      <c r="A1917">
        <v>1916</v>
      </c>
      <c r="B1917">
        <v>9.5</v>
      </c>
      <c r="C1917">
        <v>1.6</v>
      </c>
      <c r="D1917">
        <v>7.6</v>
      </c>
      <c r="E1917">
        <v>2.5</v>
      </c>
      <c r="F1917">
        <v>2.8</v>
      </c>
      <c r="G1917">
        <v>3.7</v>
      </c>
      <c r="H1917" t="s">
        <v>10</v>
      </c>
    </row>
    <row r="1918" spans="1:8" x14ac:dyDescent="0.25">
      <c r="A1918">
        <v>1917</v>
      </c>
      <c r="B1918">
        <v>7.2</v>
      </c>
      <c r="C1918">
        <v>3.1</v>
      </c>
      <c r="D1918">
        <v>7.6</v>
      </c>
      <c r="E1918">
        <v>1.9</v>
      </c>
      <c r="F1918">
        <v>4.2</v>
      </c>
      <c r="G1918">
        <v>2.79</v>
      </c>
      <c r="H1918" t="s">
        <v>8</v>
      </c>
    </row>
    <row r="1919" spans="1:8" x14ac:dyDescent="0.25">
      <c r="A1919">
        <v>1918</v>
      </c>
      <c r="B1919">
        <v>5.7</v>
      </c>
      <c r="C1919">
        <v>2.6</v>
      </c>
      <c r="D1919">
        <v>8.4</v>
      </c>
      <c r="E1919">
        <v>4.5</v>
      </c>
      <c r="F1919">
        <v>2.8</v>
      </c>
      <c r="G1919">
        <v>2.94</v>
      </c>
      <c r="H1919" t="s">
        <v>9</v>
      </c>
    </row>
    <row r="1920" spans="1:8" x14ac:dyDescent="0.25">
      <c r="A1920">
        <v>1919</v>
      </c>
      <c r="B1920">
        <v>7.5</v>
      </c>
      <c r="C1920">
        <v>3.6</v>
      </c>
      <c r="D1920">
        <v>9.6999999999999993</v>
      </c>
      <c r="E1920">
        <v>2.6</v>
      </c>
      <c r="F1920">
        <v>0.6</v>
      </c>
      <c r="G1920">
        <v>2.84</v>
      </c>
      <c r="H1920" t="s">
        <v>8</v>
      </c>
    </row>
    <row r="1921" spans="1:8" x14ac:dyDescent="0.25">
      <c r="A1921">
        <v>1920</v>
      </c>
      <c r="B1921">
        <v>9.9</v>
      </c>
      <c r="C1921">
        <v>1.1000000000000001</v>
      </c>
      <c r="D1921">
        <v>6</v>
      </c>
      <c r="E1921">
        <v>2.7</v>
      </c>
      <c r="F1921">
        <v>4.3</v>
      </c>
      <c r="G1921">
        <v>3.68</v>
      </c>
      <c r="H1921" t="s">
        <v>10</v>
      </c>
    </row>
    <row r="1922" spans="1:8" x14ac:dyDescent="0.25">
      <c r="A1922">
        <v>1921</v>
      </c>
      <c r="B1922">
        <v>5.3</v>
      </c>
      <c r="C1922">
        <v>3.9</v>
      </c>
      <c r="D1922">
        <v>7.9</v>
      </c>
      <c r="E1922">
        <v>3.3</v>
      </c>
      <c r="F1922">
        <v>3.6</v>
      </c>
      <c r="G1922">
        <v>2.79</v>
      </c>
      <c r="H1922" t="s">
        <v>9</v>
      </c>
    </row>
    <row r="1923" spans="1:8" x14ac:dyDescent="0.25">
      <c r="A1923">
        <v>1922</v>
      </c>
      <c r="B1923">
        <v>5.2</v>
      </c>
      <c r="C1923">
        <v>2.4</v>
      </c>
      <c r="D1923">
        <v>8.6</v>
      </c>
      <c r="E1923">
        <v>2.5</v>
      </c>
      <c r="F1923">
        <v>5.3</v>
      </c>
      <c r="G1923">
        <v>3.21</v>
      </c>
      <c r="H1923" t="s">
        <v>9</v>
      </c>
    </row>
    <row r="1924" spans="1:8" x14ac:dyDescent="0.25">
      <c r="A1924">
        <v>1923</v>
      </c>
      <c r="B1924">
        <v>8.8000000000000007</v>
      </c>
      <c r="C1924">
        <v>0.9</v>
      </c>
      <c r="D1924">
        <v>6.1</v>
      </c>
      <c r="E1924">
        <v>1</v>
      </c>
      <c r="F1924">
        <v>7.2</v>
      </c>
      <c r="G1924">
        <v>3.53</v>
      </c>
      <c r="H1924" t="s">
        <v>10</v>
      </c>
    </row>
    <row r="1925" spans="1:8" x14ac:dyDescent="0.25">
      <c r="A1925">
        <v>1924</v>
      </c>
      <c r="B1925">
        <v>9.1</v>
      </c>
      <c r="C1925">
        <v>1.5</v>
      </c>
      <c r="D1925">
        <v>7.9</v>
      </c>
      <c r="E1925">
        <v>4</v>
      </c>
      <c r="F1925">
        <v>1.5</v>
      </c>
      <c r="G1925">
        <v>3.29</v>
      </c>
      <c r="H1925" t="s">
        <v>10</v>
      </c>
    </row>
    <row r="1926" spans="1:8" x14ac:dyDescent="0.25">
      <c r="A1926">
        <v>1925</v>
      </c>
      <c r="B1926">
        <v>6.2</v>
      </c>
      <c r="C1926">
        <v>0.7</v>
      </c>
      <c r="D1926">
        <v>9.9</v>
      </c>
      <c r="E1926">
        <v>3.7</v>
      </c>
      <c r="F1926">
        <v>3.5</v>
      </c>
      <c r="G1926">
        <v>2.73</v>
      </c>
      <c r="H1926" t="s">
        <v>8</v>
      </c>
    </row>
    <row r="1927" spans="1:8" x14ac:dyDescent="0.25">
      <c r="A1927">
        <v>1926</v>
      </c>
      <c r="B1927">
        <v>6.3</v>
      </c>
      <c r="C1927">
        <v>2</v>
      </c>
      <c r="D1927">
        <v>6.6</v>
      </c>
      <c r="E1927">
        <v>1</v>
      </c>
      <c r="F1927">
        <v>8.1</v>
      </c>
      <c r="G1927">
        <v>3.09</v>
      </c>
      <c r="H1927" t="s">
        <v>8</v>
      </c>
    </row>
    <row r="1928" spans="1:8" x14ac:dyDescent="0.25">
      <c r="A1928">
        <v>1927</v>
      </c>
      <c r="B1928">
        <v>6.3</v>
      </c>
      <c r="C1928">
        <v>0.1</v>
      </c>
      <c r="D1928">
        <v>8.5</v>
      </c>
      <c r="E1928">
        <v>3</v>
      </c>
      <c r="F1928">
        <v>6.1</v>
      </c>
      <c r="G1928">
        <v>2.99</v>
      </c>
      <c r="H1928" t="s">
        <v>8</v>
      </c>
    </row>
    <row r="1929" spans="1:8" x14ac:dyDescent="0.25">
      <c r="A1929">
        <v>1928</v>
      </c>
      <c r="B1929">
        <v>5.5</v>
      </c>
      <c r="C1929">
        <v>3</v>
      </c>
      <c r="D1929">
        <v>5.0999999999999996</v>
      </c>
      <c r="E1929">
        <v>1.5</v>
      </c>
      <c r="F1929">
        <v>8.9</v>
      </c>
      <c r="G1929">
        <v>2.66</v>
      </c>
      <c r="H1929" t="s">
        <v>10</v>
      </c>
    </row>
    <row r="1930" spans="1:8" x14ac:dyDescent="0.25">
      <c r="A1930">
        <v>1929</v>
      </c>
      <c r="B1930">
        <v>9.5</v>
      </c>
      <c r="C1930">
        <v>2.9</v>
      </c>
      <c r="D1930">
        <v>5.4</v>
      </c>
      <c r="E1930">
        <v>4.9000000000000004</v>
      </c>
      <c r="F1930">
        <v>1.3</v>
      </c>
      <c r="G1930">
        <v>3.67</v>
      </c>
      <c r="H1930" t="s">
        <v>10</v>
      </c>
    </row>
    <row r="1931" spans="1:8" x14ac:dyDescent="0.25">
      <c r="A1931">
        <v>1930</v>
      </c>
      <c r="B1931">
        <v>8</v>
      </c>
      <c r="C1931">
        <v>2.7</v>
      </c>
      <c r="D1931">
        <v>10</v>
      </c>
      <c r="E1931">
        <v>0.8</v>
      </c>
      <c r="F1931">
        <v>2.5</v>
      </c>
      <c r="G1931">
        <v>3.2</v>
      </c>
      <c r="H1931" t="s">
        <v>8</v>
      </c>
    </row>
    <row r="1932" spans="1:8" x14ac:dyDescent="0.25">
      <c r="A1932">
        <v>1931</v>
      </c>
      <c r="B1932">
        <v>8.1</v>
      </c>
      <c r="C1932">
        <v>1.8</v>
      </c>
      <c r="D1932">
        <v>5.2</v>
      </c>
      <c r="E1932">
        <v>0.1</v>
      </c>
      <c r="F1932">
        <v>8.8000000000000007</v>
      </c>
      <c r="G1932">
        <v>3.28</v>
      </c>
      <c r="H1932" t="s">
        <v>10</v>
      </c>
    </row>
    <row r="1933" spans="1:8" x14ac:dyDescent="0.25">
      <c r="A1933">
        <v>1932</v>
      </c>
      <c r="B1933">
        <v>7.8</v>
      </c>
      <c r="C1933">
        <v>2.2000000000000002</v>
      </c>
      <c r="D1933">
        <v>5.2</v>
      </c>
      <c r="E1933">
        <v>2.8</v>
      </c>
      <c r="F1933">
        <v>6</v>
      </c>
      <c r="G1933">
        <v>3</v>
      </c>
      <c r="H1933" t="s">
        <v>10</v>
      </c>
    </row>
    <row r="1934" spans="1:8" x14ac:dyDescent="0.25">
      <c r="A1934">
        <v>1933</v>
      </c>
      <c r="B1934">
        <v>9.6</v>
      </c>
      <c r="C1934">
        <v>1.6</v>
      </c>
      <c r="D1934">
        <v>8.1</v>
      </c>
      <c r="E1934">
        <v>3.7</v>
      </c>
      <c r="F1934">
        <v>1</v>
      </c>
      <c r="G1934">
        <v>3.46</v>
      </c>
      <c r="H1934" t="s">
        <v>10</v>
      </c>
    </row>
    <row r="1935" spans="1:8" x14ac:dyDescent="0.25">
      <c r="A1935">
        <v>1934</v>
      </c>
      <c r="B1935">
        <v>9.3000000000000007</v>
      </c>
      <c r="C1935">
        <v>1.6</v>
      </c>
      <c r="D1935">
        <v>9.4</v>
      </c>
      <c r="E1935">
        <v>0.9</v>
      </c>
      <c r="F1935">
        <v>2.8</v>
      </c>
      <c r="G1935">
        <v>3.69</v>
      </c>
      <c r="H1935" t="s">
        <v>10</v>
      </c>
    </row>
    <row r="1936" spans="1:8" x14ac:dyDescent="0.25">
      <c r="A1936">
        <v>1935</v>
      </c>
      <c r="B1936">
        <v>6.4</v>
      </c>
      <c r="C1936">
        <v>0.2</v>
      </c>
      <c r="D1936">
        <v>9</v>
      </c>
      <c r="E1936">
        <v>2.5</v>
      </c>
      <c r="F1936">
        <v>5.9</v>
      </c>
      <c r="G1936">
        <v>2.81</v>
      </c>
      <c r="H1936" t="s">
        <v>8</v>
      </c>
    </row>
    <row r="1937" spans="1:8" x14ac:dyDescent="0.25">
      <c r="A1937">
        <v>1936</v>
      </c>
      <c r="B1937">
        <v>9.5</v>
      </c>
      <c r="C1937">
        <v>3.3</v>
      </c>
      <c r="D1937">
        <v>7.8</v>
      </c>
      <c r="E1937">
        <v>2.1</v>
      </c>
      <c r="F1937">
        <v>1.3</v>
      </c>
      <c r="G1937">
        <v>3.28</v>
      </c>
      <c r="H1937" t="s">
        <v>10</v>
      </c>
    </row>
    <row r="1938" spans="1:8" x14ac:dyDescent="0.25">
      <c r="A1938">
        <v>1937</v>
      </c>
      <c r="B1938">
        <v>7.4</v>
      </c>
      <c r="C1938">
        <v>1.6</v>
      </c>
      <c r="D1938">
        <v>9.6</v>
      </c>
      <c r="E1938">
        <v>0.7</v>
      </c>
      <c r="F1938">
        <v>4.7</v>
      </c>
      <c r="G1938">
        <v>2.75</v>
      </c>
      <c r="H1938" t="s">
        <v>8</v>
      </c>
    </row>
    <row r="1939" spans="1:8" x14ac:dyDescent="0.25">
      <c r="A1939">
        <v>1938</v>
      </c>
      <c r="B1939">
        <v>7.5</v>
      </c>
      <c r="C1939">
        <v>1.8</v>
      </c>
      <c r="D1939">
        <v>7.6</v>
      </c>
      <c r="E1939">
        <v>0.8</v>
      </c>
      <c r="F1939">
        <v>6.3</v>
      </c>
      <c r="G1939">
        <v>2.93</v>
      </c>
      <c r="H1939" t="s">
        <v>8</v>
      </c>
    </row>
    <row r="1940" spans="1:8" x14ac:dyDescent="0.25">
      <c r="A1940">
        <v>1939</v>
      </c>
      <c r="B1940">
        <v>7.6</v>
      </c>
      <c r="C1940">
        <v>1</v>
      </c>
      <c r="D1940">
        <v>5.9</v>
      </c>
      <c r="E1940">
        <v>0.4</v>
      </c>
      <c r="F1940">
        <v>9.1</v>
      </c>
      <c r="G1940">
        <v>3.06</v>
      </c>
      <c r="H1940" t="s">
        <v>10</v>
      </c>
    </row>
    <row r="1941" spans="1:8" x14ac:dyDescent="0.25">
      <c r="A1941">
        <v>1940</v>
      </c>
      <c r="B1941">
        <v>8.1</v>
      </c>
      <c r="C1941">
        <v>2.9</v>
      </c>
      <c r="D1941">
        <v>8.4</v>
      </c>
      <c r="E1941">
        <v>2.2000000000000002</v>
      </c>
      <c r="F1941">
        <v>2.4</v>
      </c>
      <c r="G1941">
        <v>3.52</v>
      </c>
      <c r="H1941" t="s">
        <v>10</v>
      </c>
    </row>
    <row r="1942" spans="1:8" x14ac:dyDescent="0.25">
      <c r="A1942">
        <v>1941</v>
      </c>
      <c r="B1942">
        <v>6.9</v>
      </c>
      <c r="C1942">
        <v>1.5</v>
      </c>
      <c r="D1942">
        <v>8.1999999999999993</v>
      </c>
      <c r="E1942">
        <v>3</v>
      </c>
      <c r="F1942">
        <v>4.4000000000000004</v>
      </c>
      <c r="G1942">
        <v>2.99</v>
      </c>
      <c r="H1942" t="s">
        <v>8</v>
      </c>
    </row>
    <row r="1943" spans="1:8" x14ac:dyDescent="0.25">
      <c r="A1943">
        <v>1942</v>
      </c>
      <c r="B1943">
        <v>8.1999999999999993</v>
      </c>
      <c r="C1943">
        <v>1.2</v>
      </c>
      <c r="D1943">
        <v>5.0999999999999996</v>
      </c>
      <c r="E1943">
        <v>5.3</v>
      </c>
      <c r="F1943">
        <v>4.2</v>
      </c>
      <c r="G1943">
        <v>3.19</v>
      </c>
      <c r="H1943" t="s">
        <v>10</v>
      </c>
    </row>
    <row r="1944" spans="1:8" x14ac:dyDescent="0.25">
      <c r="A1944">
        <v>1943</v>
      </c>
      <c r="B1944">
        <v>6.1</v>
      </c>
      <c r="C1944">
        <v>3.7</v>
      </c>
      <c r="D1944">
        <v>8.6</v>
      </c>
      <c r="E1944">
        <v>4.3</v>
      </c>
      <c r="F1944">
        <v>1.3</v>
      </c>
      <c r="G1944">
        <v>2.79</v>
      </c>
      <c r="H1944" t="s">
        <v>8</v>
      </c>
    </row>
    <row r="1945" spans="1:8" x14ac:dyDescent="0.25">
      <c r="A1945">
        <v>1944</v>
      </c>
      <c r="B1945">
        <v>7.6</v>
      </c>
      <c r="C1945">
        <v>0.7</v>
      </c>
      <c r="D1945">
        <v>6.5</v>
      </c>
      <c r="E1945">
        <v>1.9</v>
      </c>
      <c r="F1945">
        <v>7.3</v>
      </c>
      <c r="G1945">
        <v>3</v>
      </c>
      <c r="H1945" t="s">
        <v>8</v>
      </c>
    </row>
    <row r="1946" spans="1:8" x14ac:dyDescent="0.25">
      <c r="A1946">
        <v>1945</v>
      </c>
      <c r="B1946">
        <v>5.8</v>
      </c>
      <c r="C1946">
        <v>0.8</v>
      </c>
      <c r="D1946">
        <v>8.9</v>
      </c>
      <c r="E1946">
        <v>1</v>
      </c>
      <c r="F1946">
        <v>7.5</v>
      </c>
      <c r="G1946">
        <v>2.89</v>
      </c>
      <c r="H1946" t="s">
        <v>9</v>
      </c>
    </row>
    <row r="1947" spans="1:8" x14ac:dyDescent="0.25">
      <c r="A1947">
        <v>1946</v>
      </c>
      <c r="B1947">
        <v>9.9</v>
      </c>
      <c r="C1947">
        <v>1.3</v>
      </c>
      <c r="D1947">
        <v>5.6</v>
      </c>
      <c r="E1947">
        <v>3.4</v>
      </c>
      <c r="F1947">
        <v>3.8</v>
      </c>
      <c r="G1947">
        <v>3.43</v>
      </c>
      <c r="H1947" t="s">
        <v>10</v>
      </c>
    </row>
    <row r="1948" spans="1:8" x14ac:dyDescent="0.25">
      <c r="A1948">
        <v>1947</v>
      </c>
      <c r="B1948">
        <v>9.5</v>
      </c>
      <c r="C1948">
        <v>3.1</v>
      </c>
      <c r="D1948">
        <v>8.1</v>
      </c>
      <c r="E1948">
        <v>1</v>
      </c>
      <c r="F1948">
        <v>2.2999999999999998</v>
      </c>
      <c r="G1948">
        <v>3.25</v>
      </c>
      <c r="H1948" t="s">
        <v>10</v>
      </c>
    </row>
    <row r="1949" spans="1:8" x14ac:dyDescent="0.25">
      <c r="A1949">
        <v>1948</v>
      </c>
      <c r="B1949">
        <v>8.4</v>
      </c>
      <c r="C1949">
        <v>2.9</v>
      </c>
      <c r="D1949">
        <v>9.8000000000000007</v>
      </c>
      <c r="E1949">
        <v>0.8</v>
      </c>
      <c r="F1949">
        <v>2.1</v>
      </c>
      <c r="G1949">
        <v>3.28</v>
      </c>
      <c r="H1949" t="s">
        <v>10</v>
      </c>
    </row>
    <row r="1950" spans="1:8" x14ac:dyDescent="0.25">
      <c r="A1950">
        <v>1949</v>
      </c>
      <c r="B1950">
        <v>5.0999999999999996</v>
      </c>
      <c r="C1950">
        <v>2.2000000000000002</v>
      </c>
      <c r="D1950">
        <v>8.5</v>
      </c>
      <c r="E1950">
        <v>4.7</v>
      </c>
      <c r="F1950">
        <v>3.5</v>
      </c>
      <c r="G1950">
        <v>2.64</v>
      </c>
      <c r="H1950" t="s">
        <v>9</v>
      </c>
    </row>
    <row r="1951" spans="1:8" x14ac:dyDescent="0.25">
      <c r="A1951">
        <v>1950</v>
      </c>
      <c r="B1951">
        <v>7.6</v>
      </c>
      <c r="C1951">
        <v>1.3</v>
      </c>
      <c r="D1951">
        <v>9.3000000000000007</v>
      </c>
      <c r="E1951">
        <v>2.7</v>
      </c>
      <c r="F1951">
        <v>3.1</v>
      </c>
      <c r="G1951">
        <v>2.98</v>
      </c>
      <c r="H1951" t="s">
        <v>8</v>
      </c>
    </row>
    <row r="1952" spans="1:8" x14ac:dyDescent="0.25">
      <c r="A1952">
        <v>1951</v>
      </c>
      <c r="B1952">
        <v>9</v>
      </c>
      <c r="C1952">
        <v>2.2999999999999998</v>
      </c>
      <c r="D1952">
        <v>8.9</v>
      </c>
      <c r="E1952">
        <v>1.3</v>
      </c>
      <c r="F1952">
        <v>2.5</v>
      </c>
      <c r="G1952">
        <v>3.24</v>
      </c>
      <c r="H1952" t="s">
        <v>10</v>
      </c>
    </row>
    <row r="1953" spans="1:8" x14ac:dyDescent="0.25">
      <c r="A1953">
        <v>1952</v>
      </c>
      <c r="B1953">
        <v>7.7</v>
      </c>
      <c r="C1953">
        <v>0.9</v>
      </c>
      <c r="D1953">
        <v>7.4</v>
      </c>
      <c r="E1953">
        <v>1.9</v>
      </c>
      <c r="F1953">
        <v>6.1</v>
      </c>
      <c r="G1953">
        <v>3.31</v>
      </c>
      <c r="H1953" t="s">
        <v>8</v>
      </c>
    </row>
    <row r="1954" spans="1:8" x14ac:dyDescent="0.25">
      <c r="A1954">
        <v>1953</v>
      </c>
      <c r="B1954">
        <v>6.3</v>
      </c>
      <c r="C1954">
        <v>3.9</v>
      </c>
      <c r="D1954">
        <v>5.8</v>
      </c>
      <c r="E1954">
        <v>4.7</v>
      </c>
      <c r="F1954">
        <v>3.3</v>
      </c>
      <c r="G1954">
        <v>2.73</v>
      </c>
      <c r="H1954" t="s">
        <v>10</v>
      </c>
    </row>
    <row r="1955" spans="1:8" x14ac:dyDescent="0.25">
      <c r="A1955">
        <v>1954</v>
      </c>
      <c r="B1955">
        <v>5.2</v>
      </c>
      <c r="C1955">
        <v>1.6</v>
      </c>
      <c r="D1955">
        <v>9.6999999999999993</v>
      </c>
      <c r="E1955">
        <v>0.1</v>
      </c>
      <c r="F1955">
        <v>7.4</v>
      </c>
      <c r="G1955">
        <v>2.95</v>
      </c>
      <c r="H1955" t="s">
        <v>9</v>
      </c>
    </row>
    <row r="1956" spans="1:8" x14ac:dyDescent="0.25">
      <c r="A1956">
        <v>1955</v>
      </c>
      <c r="B1956">
        <v>7.9</v>
      </c>
      <c r="C1956">
        <v>2</v>
      </c>
      <c r="D1956">
        <v>9.4</v>
      </c>
      <c r="E1956">
        <v>0.4</v>
      </c>
      <c r="F1956">
        <v>4.3</v>
      </c>
      <c r="G1956">
        <v>3.42</v>
      </c>
      <c r="H1956" t="s">
        <v>8</v>
      </c>
    </row>
    <row r="1957" spans="1:8" x14ac:dyDescent="0.25">
      <c r="A1957">
        <v>1956</v>
      </c>
      <c r="B1957">
        <v>8.3000000000000007</v>
      </c>
      <c r="C1957">
        <v>3.8</v>
      </c>
      <c r="D1957">
        <v>9.1</v>
      </c>
      <c r="E1957">
        <v>0.1</v>
      </c>
      <c r="F1957">
        <v>2.7</v>
      </c>
      <c r="G1957">
        <v>3.48</v>
      </c>
      <c r="H1957" t="s">
        <v>10</v>
      </c>
    </row>
    <row r="1958" spans="1:8" x14ac:dyDescent="0.25">
      <c r="A1958">
        <v>1957</v>
      </c>
      <c r="B1958">
        <v>7.4</v>
      </c>
      <c r="C1958">
        <v>1.6</v>
      </c>
      <c r="D1958">
        <v>6.6</v>
      </c>
      <c r="E1958">
        <v>2.7</v>
      </c>
      <c r="F1958">
        <v>5.7</v>
      </c>
      <c r="G1958">
        <v>2.88</v>
      </c>
      <c r="H1958" t="s">
        <v>8</v>
      </c>
    </row>
    <row r="1959" spans="1:8" x14ac:dyDescent="0.25">
      <c r="A1959">
        <v>1958</v>
      </c>
      <c r="B1959">
        <v>9.9</v>
      </c>
      <c r="C1959">
        <v>0.4</v>
      </c>
      <c r="D1959">
        <v>9.6</v>
      </c>
      <c r="E1959">
        <v>2</v>
      </c>
      <c r="F1959">
        <v>2.1</v>
      </c>
      <c r="G1959">
        <v>3.09</v>
      </c>
      <c r="H1959" t="s">
        <v>10</v>
      </c>
    </row>
    <row r="1960" spans="1:8" x14ac:dyDescent="0.25">
      <c r="A1960">
        <v>1959</v>
      </c>
      <c r="B1960">
        <v>8.1</v>
      </c>
      <c r="C1960">
        <v>3.3</v>
      </c>
      <c r="D1960">
        <v>6.8</v>
      </c>
      <c r="E1960">
        <v>2.5</v>
      </c>
      <c r="F1960">
        <v>3.3</v>
      </c>
      <c r="G1960">
        <v>2.86</v>
      </c>
      <c r="H1960" t="s">
        <v>10</v>
      </c>
    </row>
    <row r="1961" spans="1:8" x14ac:dyDescent="0.25">
      <c r="A1961">
        <v>1960</v>
      </c>
      <c r="B1961">
        <v>9.6</v>
      </c>
      <c r="C1961">
        <v>3.3</v>
      </c>
      <c r="D1961">
        <v>5.5</v>
      </c>
      <c r="E1961">
        <v>0.6</v>
      </c>
      <c r="F1961">
        <v>5</v>
      </c>
      <c r="G1961">
        <v>3.19</v>
      </c>
      <c r="H1961" t="s">
        <v>10</v>
      </c>
    </row>
    <row r="1962" spans="1:8" x14ac:dyDescent="0.25">
      <c r="A1962">
        <v>1961</v>
      </c>
      <c r="B1962">
        <v>7.1</v>
      </c>
      <c r="C1962">
        <v>0.4</v>
      </c>
      <c r="D1962">
        <v>8.1</v>
      </c>
      <c r="E1962">
        <v>0.9</v>
      </c>
      <c r="F1962">
        <v>7.5</v>
      </c>
      <c r="G1962">
        <v>3.02</v>
      </c>
      <c r="H1962" t="s">
        <v>8</v>
      </c>
    </row>
    <row r="1963" spans="1:8" x14ac:dyDescent="0.25">
      <c r="A1963">
        <v>1962</v>
      </c>
      <c r="B1963">
        <v>6.6</v>
      </c>
      <c r="C1963">
        <v>2.7</v>
      </c>
      <c r="D1963">
        <v>7.4</v>
      </c>
      <c r="E1963">
        <v>5.9</v>
      </c>
      <c r="F1963">
        <v>1.4</v>
      </c>
      <c r="G1963">
        <v>2.99</v>
      </c>
      <c r="H1963" t="s">
        <v>8</v>
      </c>
    </row>
    <row r="1964" spans="1:8" x14ac:dyDescent="0.25">
      <c r="A1964">
        <v>1963</v>
      </c>
      <c r="B1964">
        <v>9.4</v>
      </c>
      <c r="C1964">
        <v>1.4</v>
      </c>
      <c r="D1964">
        <v>5.2</v>
      </c>
      <c r="E1964">
        <v>5.0999999999999996</v>
      </c>
      <c r="F1964">
        <v>2.9</v>
      </c>
      <c r="G1964">
        <v>3.59</v>
      </c>
      <c r="H1964" t="s">
        <v>10</v>
      </c>
    </row>
    <row r="1965" spans="1:8" x14ac:dyDescent="0.25">
      <c r="A1965">
        <v>1964</v>
      </c>
      <c r="B1965">
        <v>9.5</v>
      </c>
      <c r="C1965">
        <v>0.9</v>
      </c>
      <c r="D1965">
        <v>9.5</v>
      </c>
      <c r="E1965">
        <v>1.3</v>
      </c>
      <c r="F1965">
        <v>2.8</v>
      </c>
      <c r="G1965">
        <v>3.24</v>
      </c>
      <c r="H1965" t="s">
        <v>10</v>
      </c>
    </row>
    <row r="1966" spans="1:8" x14ac:dyDescent="0.25">
      <c r="A1966">
        <v>1965</v>
      </c>
      <c r="B1966">
        <v>9.9</v>
      </c>
      <c r="C1966">
        <v>1.1000000000000001</v>
      </c>
      <c r="D1966">
        <v>9.8000000000000007</v>
      </c>
      <c r="E1966">
        <v>0.2</v>
      </c>
      <c r="F1966">
        <v>3</v>
      </c>
      <c r="G1966">
        <v>3.54</v>
      </c>
      <c r="H1966" t="s">
        <v>10</v>
      </c>
    </row>
    <row r="1967" spans="1:8" x14ac:dyDescent="0.25">
      <c r="A1967">
        <v>1966</v>
      </c>
      <c r="B1967">
        <v>7.4</v>
      </c>
      <c r="C1967">
        <v>0.9</v>
      </c>
      <c r="D1967">
        <v>8.5</v>
      </c>
      <c r="E1967">
        <v>1.1000000000000001</v>
      </c>
      <c r="F1967">
        <v>6.1</v>
      </c>
      <c r="G1967">
        <v>3.48</v>
      </c>
      <c r="H1967" t="s">
        <v>8</v>
      </c>
    </row>
    <row r="1968" spans="1:8" x14ac:dyDescent="0.25">
      <c r="A1968">
        <v>1967</v>
      </c>
      <c r="B1968">
        <v>7.8</v>
      </c>
      <c r="C1968">
        <v>1</v>
      </c>
      <c r="D1968">
        <v>9.8000000000000007</v>
      </c>
      <c r="E1968">
        <v>0.2</v>
      </c>
      <c r="F1968">
        <v>5.2</v>
      </c>
      <c r="G1968">
        <v>3.04</v>
      </c>
      <c r="H1968" t="s">
        <v>8</v>
      </c>
    </row>
    <row r="1969" spans="1:8" x14ac:dyDescent="0.25">
      <c r="A1969">
        <v>1968</v>
      </c>
      <c r="B1969">
        <v>7.1</v>
      </c>
      <c r="C1969">
        <v>0.9</v>
      </c>
      <c r="D1969">
        <v>7.5</v>
      </c>
      <c r="E1969">
        <v>5.2</v>
      </c>
      <c r="F1969">
        <v>3.3</v>
      </c>
      <c r="G1969">
        <v>2.92</v>
      </c>
      <c r="H1969" t="s">
        <v>8</v>
      </c>
    </row>
    <row r="1970" spans="1:8" x14ac:dyDescent="0.25">
      <c r="A1970">
        <v>1969</v>
      </c>
      <c r="B1970">
        <v>8.6</v>
      </c>
      <c r="C1970">
        <v>2.2999999999999998</v>
      </c>
      <c r="D1970">
        <v>5.4</v>
      </c>
      <c r="E1970">
        <v>4.2</v>
      </c>
      <c r="F1970">
        <v>3.5</v>
      </c>
      <c r="G1970">
        <v>3.38</v>
      </c>
      <c r="H1970" t="s">
        <v>10</v>
      </c>
    </row>
    <row r="1971" spans="1:8" x14ac:dyDescent="0.25">
      <c r="A1971">
        <v>1970</v>
      </c>
      <c r="B1971">
        <v>6.3</v>
      </c>
      <c r="C1971">
        <v>1.7</v>
      </c>
      <c r="D1971">
        <v>6.8</v>
      </c>
      <c r="E1971">
        <v>5.2</v>
      </c>
      <c r="F1971">
        <v>4</v>
      </c>
      <c r="G1971">
        <v>2.84</v>
      </c>
      <c r="H1971" t="s">
        <v>8</v>
      </c>
    </row>
    <row r="1972" spans="1:8" x14ac:dyDescent="0.25">
      <c r="A1972">
        <v>1971</v>
      </c>
      <c r="B1972">
        <v>5.6</v>
      </c>
      <c r="C1972">
        <v>2.2999999999999998</v>
      </c>
      <c r="D1972">
        <v>5.7</v>
      </c>
      <c r="E1972">
        <v>4.2</v>
      </c>
      <c r="F1972">
        <v>6.2</v>
      </c>
      <c r="G1972">
        <v>2.81</v>
      </c>
      <c r="H1972" t="s">
        <v>10</v>
      </c>
    </row>
    <row r="1973" spans="1:8" x14ac:dyDescent="0.25">
      <c r="A1973">
        <v>1972</v>
      </c>
      <c r="B1973">
        <v>7.4</v>
      </c>
      <c r="C1973">
        <v>3.7</v>
      </c>
      <c r="D1973">
        <v>7.6</v>
      </c>
      <c r="E1973">
        <v>2.6</v>
      </c>
      <c r="F1973">
        <v>2.7</v>
      </c>
      <c r="G1973">
        <v>3.29</v>
      </c>
      <c r="H1973" t="s">
        <v>8</v>
      </c>
    </row>
    <row r="1974" spans="1:8" x14ac:dyDescent="0.25">
      <c r="A1974">
        <v>1973</v>
      </c>
      <c r="B1974">
        <v>7.9</v>
      </c>
      <c r="C1974">
        <v>2.8</v>
      </c>
      <c r="D1974">
        <v>5.5</v>
      </c>
      <c r="E1974">
        <v>4.9000000000000004</v>
      </c>
      <c r="F1974">
        <v>2.9</v>
      </c>
      <c r="G1974">
        <v>3.03</v>
      </c>
      <c r="H1974" t="s">
        <v>10</v>
      </c>
    </row>
    <row r="1975" spans="1:8" x14ac:dyDescent="0.25">
      <c r="A1975">
        <v>1974</v>
      </c>
      <c r="B1975">
        <v>8.9</v>
      </c>
      <c r="C1975">
        <v>1.5</v>
      </c>
      <c r="D1975">
        <v>5.5</v>
      </c>
      <c r="E1975">
        <v>3.8</v>
      </c>
      <c r="F1975">
        <v>4.3</v>
      </c>
      <c r="G1975">
        <v>3.31</v>
      </c>
      <c r="H1975" t="s">
        <v>10</v>
      </c>
    </row>
    <row r="1976" spans="1:8" x14ac:dyDescent="0.25">
      <c r="A1976">
        <v>1975</v>
      </c>
      <c r="B1976">
        <v>9.4</v>
      </c>
      <c r="C1976">
        <v>3.6</v>
      </c>
      <c r="D1976">
        <v>9.8000000000000007</v>
      </c>
      <c r="E1976">
        <v>1</v>
      </c>
      <c r="F1976">
        <v>0.2</v>
      </c>
      <c r="G1976">
        <v>3.32</v>
      </c>
      <c r="H1976" t="s">
        <v>10</v>
      </c>
    </row>
    <row r="1977" spans="1:8" x14ac:dyDescent="0.25">
      <c r="A1977">
        <v>1976</v>
      </c>
      <c r="B1977">
        <v>8</v>
      </c>
      <c r="C1977">
        <v>2.4</v>
      </c>
      <c r="D1977">
        <v>6.8</v>
      </c>
      <c r="E1977">
        <v>5.4</v>
      </c>
      <c r="F1977">
        <v>1.4</v>
      </c>
      <c r="G1977">
        <v>3.42</v>
      </c>
      <c r="H1977" t="s">
        <v>8</v>
      </c>
    </row>
    <row r="1978" spans="1:8" x14ac:dyDescent="0.25">
      <c r="A1978">
        <v>1977</v>
      </c>
      <c r="B1978">
        <v>7.5</v>
      </c>
      <c r="C1978">
        <v>1.9</v>
      </c>
      <c r="D1978">
        <v>10</v>
      </c>
      <c r="E1978">
        <v>2.2999999999999998</v>
      </c>
      <c r="F1978">
        <v>2.2999999999999998</v>
      </c>
      <c r="G1978">
        <v>3.14</v>
      </c>
      <c r="H1978" t="s">
        <v>8</v>
      </c>
    </row>
    <row r="1979" spans="1:8" x14ac:dyDescent="0.25">
      <c r="A1979">
        <v>1978</v>
      </c>
      <c r="B1979">
        <v>9.1</v>
      </c>
      <c r="C1979">
        <v>3.1</v>
      </c>
      <c r="D1979">
        <v>8.9</v>
      </c>
      <c r="E1979">
        <v>2.1</v>
      </c>
      <c r="F1979">
        <v>0.8</v>
      </c>
      <c r="G1979">
        <v>3.1</v>
      </c>
      <c r="H1979" t="s">
        <v>10</v>
      </c>
    </row>
    <row r="1980" spans="1:8" x14ac:dyDescent="0.25">
      <c r="A1980">
        <v>1979</v>
      </c>
      <c r="B1980">
        <v>6.3</v>
      </c>
      <c r="C1980">
        <v>3.4</v>
      </c>
      <c r="D1980">
        <v>9.5</v>
      </c>
      <c r="E1980">
        <v>0.9</v>
      </c>
      <c r="F1980">
        <v>3.9</v>
      </c>
      <c r="G1980">
        <v>2.97</v>
      </c>
      <c r="H1980" t="s">
        <v>8</v>
      </c>
    </row>
    <row r="1981" spans="1:8" x14ac:dyDescent="0.25">
      <c r="A1981">
        <v>1980</v>
      </c>
      <c r="B1981">
        <v>8.1999999999999993</v>
      </c>
      <c r="C1981">
        <v>2.2000000000000002</v>
      </c>
      <c r="D1981">
        <v>5.3</v>
      </c>
      <c r="E1981">
        <v>4.5</v>
      </c>
      <c r="F1981">
        <v>3.8</v>
      </c>
      <c r="G1981">
        <v>3.43</v>
      </c>
      <c r="H1981" t="s">
        <v>10</v>
      </c>
    </row>
    <row r="1982" spans="1:8" x14ac:dyDescent="0.25">
      <c r="A1982">
        <v>1981</v>
      </c>
      <c r="B1982">
        <v>7.5</v>
      </c>
      <c r="C1982">
        <v>2.6</v>
      </c>
      <c r="D1982">
        <v>7.5</v>
      </c>
      <c r="E1982">
        <v>3</v>
      </c>
      <c r="F1982">
        <v>3.4</v>
      </c>
      <c r="G1982">
        <v>3.02</v>
      </c>
      <c r="H1982" t="s">
        <v>8</v>
      </c>
    </row>
    <row r="1983" spans="1:8" x14ac:dyDescent="0.25">
      <c r="A1983">
        <v>1982</v>
      </c>
      <c r="B1983">
        <v>5.8</v>
      </c>
      <c r="C1983">
        <v>0.8</v>
      </c>
      <c r="D1983">
        <v>9.9</v>
      </c>
      <c r="E1983">
        <v>0.9</v>
      </c>
      <c r="F1983">
        <v>6.6</v>
      </c>
      <c r="G1983">
        <v>2.71</v>
      </c>
      <c r="H1983" t="s">
        <v>9</v>
      </c>
    </row>
    <row r="1984" spans="1:8" x14ac:dyDescent="0.25">
      <c r="A1984">
        <v>1983</v>
      </c>
      <c r="B1984">
        <v>6.3</v>
      </c>
      <c r="C1984">
        <v>2.4</v>
      </c>
      <c r="D1984">
        <v>8.1</v>
      </c>
      <c r="E1984">
        <v>0.9</v>
      </c>
      <c r="F1984">
        <v>6.3</v>
      </c>
      <c r="G1984">
        <v>3.07</v>
      </c>
      <c r="H1984" t="s">
        <v>8</v>
      </c>
    </row>
    <row r="1985" spans="1:8" x14ac:dyDescent="0.25">
      <c r="A1985">
        <v>1984</v>
      </c>
      <c r="B1985">
        <v>6.2</v>
      </c>
      <c r="C1985">
        <v>1.2</v>
      </c>
      <c r="D1985">
        <v>9.6999999999999993</v>
      </c>
      <c r="E1985">
        <v>5</v>
      </c>
      <c r="F1985">
        <v>1.9</v>
      </c>
      <c r="G1985">
        <v>3.06</v>
      </c>
      <c r="H1985" t="s">
        <v>8</v>
      </c>
    </row>
    <row r="1986" spans="1:8" x14ac:dyDescent="0.25">
      <c r="A1986">
        <v>1985</v>
      </c>
      <c r="B1986">
        <v>8.5</v>
      </c>
      <c r="C1986">
        <v>0.3</v>
      </c>
      <c r="D1986">
        <v>7.1</v>
      </c>
      <c r="E1986">
        <v>3.4</v>
      </c>
      <c r="F1986">
        <v>4.7</v>
      </c>
      <c r="G1986">
        <v>3.23</v>
      </c>
      <c r="H1986" t="s">
        <v>10</v>
      </c>
    </row>
    <row r="1987" spans="1:8" x14ac:dyDescent="0.25">
      <c r="A1987">
        <v>1986</v>
      </c>
      <c r="B1987">
        <v>8</v>
      </c>
      <c r="C1987">
        <v>1.3</v>
      </c>
      <c r="D1987">
        <v>8.9</v>
      </c>
      <c r="E1987">
        <v>4.9000000000000004</v>
      </c>
      <c r="F1987">
        <v>0.9</v>
      </c>
      <c r="G1987">
        <v>2.93</v>
      </c>
      <c r="H1987" t="s">
        <v>8</v>
      </c>
    </row>
    <row r="1988" spans="1:8" x14ac:dyDescent="0.25">
      <c r="A1988">
        <v>1987</v>
      </c>
      <c r="B1988">
        <v>6.6</v>
      </c>
      <c r="C1988">
        <v>3.4</v>
      </c>
      <c r="D1988">
        <v>5.5</v>
      </c>
      <c r="E1988">
        <v>5</v>
      </c>
      <c r="F1988">
        <v>3.5</v>
      </c>
      <c r="G1988">
        <v>2.9</v>
      </c>
      <c r="H1988" t="s">
        <v>10</v>
      </c>
    </row>
    <row r="1989" spans="1:8" x14ac:dyDescent="0.25">
      <c r="A1989">
        <v>1988</v>
      </c>
      <c r="B1989">
        <v>9.5</v>
      </c>
      <c r="C1989">
        <v>1.5</v>
      </c>
      <c r="D1989">
        <v>6.4</v>
      </c>
      <c r="E1989">
        <v>3</v>
      </c>
      <c r="F1989">
        <v>3.6</v>
      </c>
      <c r="G1989">
        <v>3.86</v>
      </c>
      <c r="H1989" t="s">
        <v>10</v>
      </c>
    </row>
    <row r="1990" spans="1:8" x14ac:dyDescent="0.25">
      <c r="A1990">
        <v>1989</v>
      </c>
      <c r="B1990">
        <v>7.3</v>
      </c>
      <c r="C1990">
        <v>1.4</v>
      </c>
      <c r="D1990">
        <v>8.5</v>
      </c>
      <c r="E1990">
        <v>4.5999999999999996</v>
      </c>
      <c r="F1990">
        <v>2.2000000000000002</v>
      </c>
      <c r="G1990">
        <v>3.28</v>
      </c>
      <c r="H1990" t="s">
        <v>8</v>
      </c>
    </row>
    <row r="1991" spans="1:8" x14ac:dyDescent="0.25">
      <c r="A1991">
        <v>1990</v>
      </c>
      <c r="B1991">
        <v>7</v>
      </c>
      <c r="C1991">
        <v>2.7</v>
      </c>
      <c r="D1991">
        <v>7.4</v>
      </c>
      <c r="E1991">
        <v>6</v>
      </c>
      <c r="F1991">
        <v>0.9</v>
      </c>
      <c r="G1991">
        <v>2.85</v>
      </c>
      <c r="H1991" t="s">
        <v>8</v>
      </c>
    </row>
    <row r="1992" spans="1:8" x14ac:dyDescent="0.25">
      <c r="A1992">
        <v>1991</v>
      </c>
      <c r="B1992">
        <v>8.6</v>
      </c>
      <c r="C1992">
        <v>3.8</v>
      </c>
      <c r="D1992">
        <v>9.1999999999999993</v>
      </c>
      <c r="E1992">
        <v>2.2000000000000002</v>
      </c>
      <c r="F1992">
        <v>0.2</v>
      </c>
      <c r="G1992">
        <v>3.26</v>
      </c>
      <c r="H1992" t="s">
        <v>10</v>
      </c>
    </row>
    <row r="1993" spans="1:8" x14ac:dyDescent="0.25">
      <c r="A1993">
        <v>1992</v>
      </c>
      <c r="B1993">
        <v>6.3</v>
      </c>
      <c r="C1993">
        <v>1.5</v>
      </c>
      <c r="D1993">
        <v>5.0999999999999996</v>
      </c>
      <c r="E1993">
        <v>3.1</v>
      </c>
      <c r="F1993">
        <v>8</v>
      </c>
      <c r="G1993">
        <v>3.21</v>
      </c>
      <c r="H1993" t="s">
        <v>10</v>
      </c>
    </row>
    <row r="1994" spans="1:8" x14ac:dyDescent="0.25">
      <c r="A1994">
        <v>1993</v>
      </c>
      <c r="B1994">
        <v>7.5</v>
      </c>
      <c r="C1994">
        <v>2.1</v>
      </c>
      <c r="D1994">
        <v>9.9</v>
      </c>
      <c r="E1994">
        <v>4.0999999999999996</v>
      </c>
      <c r="F1994">
        <v>0.4</v>
      </c>
      <c r="G1994">
        <v>3.04</v>
      </c>
      <c r="H1994" t="s">
        <v>8</v>
      </c>
    </row>
    <row r="1995" spans="1:8" x14ac:dyDescent="0.25">
      <c r="A1995">
        <v>1994</v>
      </c>
      <c r="B1995">
        <v>7.1</v>
      </c>
      <c r="C1995">
        <v>1.4</v>
      </c>
      <c r="D1995">
        <v>9</v>
      </c>
      <c r="E1995">
        <v>3.1</v>
      </c>
      <c r="F1995">
        <v>3.4</v>
      </c>
      <c r="G1995">
        <v>2.85</v>
      </c>
      <c r="H1995" t="s">
        <v>8</v>
      </c>
    </row>
    <row r="1996" spans="1:8" x14ac:dyDescent="0.25">
      <c r="A1996">
        <v>1995</v>
      </c>
      <c r="B1996">
        <v>7.9</v>
      </c>
      <c r="C1996">
        <v>3.4</v>
      </c>
      <c r="D1996">
        <v>9</v>
      </c>
      <c r="E1996">
        <v>0.5</v>
      </c>
      <c r="F1996">
        <v>3.2</v>
      </c>
      <c r="G1996">
        <v>3.08</v>
      </c>
      <c r="H1996" t="s">
        <v>8</v>
      </c>
    </row>
    <row r="1997" spans="1:8" x14ac:dyDescent="0.25">
      <c r="A1997">
        <v>1996</v>
      </c>
      <c r="B1997">
        <v>6.5</v>
      </c>
      <c r="C1997">
        <v>0.2</v>
      </c>
      <c r="D1997">
        <v>7.4</v>
      </c>
      <c r="E1997">
        <v>2.1</v>
      </c>
      <c r="F1997">
        <v>7.8</v>
      </c>
      <c r="G1997">
        <v>3.32</v>
      </c>
      <c r="H1997" t="s">
        <v>8</v>
      </c>
    </row>
    <row r="1998" spans="1:8" x14ac:dyDescent="0.25">
      <c r="A1998">
        <v>1997</v>
      </c>
      <c r="B1998">
        <v>6.3</v>
      </c>
      <c r="C1998">
        <v>2.8</v>
      </c>
      <c r="D1998">
        <v>8.8000000000000007</v>
      </c>
      <c r="E1998">
        <v>1.5</v>
      </c>
      <c r="F1998">
        <v>4.5999999999999996</v>
      </c>
      <c r="G1998">
        <v>2.65</v>
      </c>
      <c r="H1998" t="s">
        <v>8</v>
      </c>
    </row>
    <row r="1999" spans="1:8" x14ac:dyDescent="0.25">
      <c r="A1999">
        <v>1998</v>
      </c>
      <c r="B1999">
        <v>6.2</v>
      </c>
      <c r="C1999">
        <v>0</v>
      </c>
      <c r="D1999">
        <v>6.2</v>
      </c>
      <c r="E1999">
        <v>0.8</v>
      </c>
      <c r="F1999">
        <v>10.8</v>
      </c>
      <c r="G1999">
        <v>3.14</v>
      </c>
      <c r="H1999" t="s">
        <v>8</v>
      </c>
    </row>
    <row r="2000" spans="1:8" x14ac:dyDescent="0.25">
      <c r="A2000">
        <v>1999</v>
      </c>
      <c r="B2000">
        <v>8.1</v>
      </c>
      <c r="C2000">
        <v>0.7</v>
      </c>
      <c r="D2000">
        <v>7.6</v>
      </c>
      <c r="E2000">
        <v>3.5</v>
      </c>
      <c r="F2000">
        <v>4.0999999999999996</v>
      </c>
      <c r="G2000">
        <v>3.04</v>
      </c>
      <c r="H2000" t="s">
        <v>10</v>
      </c>
    </row>
    <row r="2001" spans="1:8" x14ac:dyDescent="0.25">
      <c r="A2001">
        <v>2000</v>
      </c>
      <c r="B2001">
        <v>9</v>
      </c>
      <c r="C2001">
        <v>1.7</v>
      </c>
      <c r="D2001">
        <v>7.3</v>
      </c>
      <c r="E2001">
        <v>3.1</v>
      </c>
      <c r="F2001">
        <v>2.9</v>
      </c>
      <c r="G2001">
        <v>3.58</v>
      </c>
      <c r="H2001" t="s">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24BB0-EA39-46C3-B9A2-1C55C95674ED}">
  <dimension ref="A1:M2001"/>
  <sheetViews>
    <sheetView topLeftCell="E2" workbookViewId="0">
      <selection activeCell="F5" sqref="F5"/>
    </sheetView>
  </sheetViews>
  <sheetFormatPr defaultRowHeight="15" x14ac:dyDescent="0.25"/>
  <cols>
    <col min="1" max="1" width="13.140625" bestFit="1" customWidth="1"/>
    <col min="2" max="2" width="23" bestFit="1" customWidth="1"/>
    <col min="3" max="3" width="31" bestFit="1" customWidth="1"/>
    <col min="4" max="4" width="23" bestFit="1" customWidth="1"/>
    <col min="5" max="5" width="23.140625" bestFit="1" customWidth="1"/>
    <col min="6" max="6" width="33.28515625" bestFit="1" customWidth="1"/>
    <col min="7" max="7" width="7" bestFit="1" customWidth="1"/>
    <col min="8" max="8" width="14.28515625" bestFit="1" customWidth="1"/>
    <col min="9" max="9" width="23.7109375" bestFit="1" customWidth="1"/>
    <col min="10" max="10" width="15.42578125" bestFit="1" customWidth="1"/>
    <col min="11" max="11" width="17.42578125" bestFit="1" customWidth="1"/>
    <col min="12" max="12" width="18.85546875" bestFit="1" customWidth="1"/>
    <col min="13" max="13" width="18.140625" bestFit="1" customWidth="1"/>
  </cols>
  <sheetData>
    <row r="1" spans="1:13" x14ac:dyDescent="0.25">
      <c r="A1" t="s">
        <v>0</v>
      </c>
      <c r="B1" t="s">
        <v>1</v>
      </c>
      <c r="C1" t="s">
        <v>2</v>
      </c>
      <c r="D1" t="s">
        <v>3</v>
      </c>
      <c r="E1" t="s">
        <v>4</v>
      </c>
      <c r="F1" t="s">
        <v>5</v>
      </c>
      <c r="G1" t="s">
        <v>6</v>
      </c>
      <c r="H1" t="s">
        <v>7</v>
      </c>
      <c r="I1" t="s">
        <v>11</v>
      </c>
      <c r="J1" t="s">
        <v>12</v>
      </c>
      <c r="K1" t="s">
        <v>49</v>
      </c>
      <c r="L1" t="s">
        <v>50</v>
      </c>
      <c r="M1" t="s">
        <v>63</v>
      </c>
    </row>
    <row r="2" spans="1:13" x14ac:dyDescent="0.25">
      <c r="A2">
        <v>1</v>
      </c>
      <c r="B2">
        <v>6.9</v>
      </c>
      <c r="C2">
        <v>3.8</v>
      </c>
      <c r="D2">
        <v>8.6999999999999993</v>
      </c>
      <c r="E2">
        <v>2.8</v>
      </c>
      <c r="F2">
        <v>1.8</v>
      </c>
      <c r="G2">
        <v>2.99</v>
      </c>
      <c r="H2" t="s">
        <v>8</v>
      </c>
      <c r="I2">
        <v>15.3</v>
      </c>
      <c r="J2" t="s">
        <v>13</v>
      </c>
      <c r="K2">
        <v>2.21</v>
      </c>
      <c r="L2" t="s">
        <v>52</v>
      </c>
      <c r="M2" s="8">
        <v>0.45</v>
      </c>
    </row>
    <row r="3" spans="1:13" x14ac:dyDescent="0.25">
      <c r="A3">
        <v>2</v>
      </c>
      <c r="B3">
        <v>5.3</v>
      </c>
      <c r="C3">
        <v>3.5</v>
      </c>
      <c r="D3">
        <v>8</v>
      </c>
      <c r="E3">
        <v>4.2</v>
      </c>
      <c r="F3">
        <v>3</v>
      </c>
      <c r="G3">
        <v>2.75</v>
      </c>
      <c r="H3" t="s">
        <v>9</v>
      </c>
      <c r="I3">
        <v>16</v>
      </c>
      <c r="J3" t="s">
        <v>13</v>
      </c>
      <c r="K3">
        <v>1</v>
      </c>
      <c r="L3" t="s">
        <v>51</v>
      </c>
      <c r="M3" s="8">
        <v>0.33</v>
      </c>
    </row>
    <row r="4" spans="1:13" x14ac:dyDescent="0.25">
      <c r="A4">
        <v>3</v>
      </c>
      <c r="B4">
        <v>5.0999999999999996</v>
      </c>
      <c r="C4">
        <v>3.9</v>
      </c>
      <c r="D4">
        <v>9.1999999999999993</v>
      </c>
      <c r="E4">
        <v>1.2</v>
      </c>
      <c r="F4">
        <v>4.5999999999999996</v>
      </c>
      <c r="G4">
        <v>2.67</v>
      </c>
      <c r="H4" t="s">
        <v>9</v>
      </c>
      <c r="I4">
        <v>14.799999999999999</v>
      </c>
      <c r="J4" t="s">
        <v>13</v>
      </c>
      <c r="K4">
        <v>1.74</v>
      </c>
      <c r="L4" t="s">
        <v>52</v>
      </c>
      <c r="M4" s="8">
        <v>0.34</v>
      </c>
    </row>
    <row r="5" spans="1:13" x14ac:dyDescent="0.25">
      <c r="A5">
        <v>4</v>
      </c>
      <c r="B5">
        <v>6.5</v>
      </c>
      <c r="C5">
        <v>2.1</v>
      </c>
      <c r="D5">
        <v>7.2</v>
      </c>
      <c r="E5">
        <v>1.7</v>
      </c>
      <c r="F5">
        <v>6.5</v>
      </c>
      <c r="G5">
        <v>2.88</v>
      </c>
      <c r="H5" t="s">
        <v>8</v>
      </c>
      <c r="I5">
        <v>16.799999999999997</v>
      </c>
      <c r="J5" t="s">
        <v>13</v>
      </c>
      <c r="K5">
        <v>2.66</v>
      </c>
      <c r="L5" t="s">
        <v>52</v>
      </c>
      <c r="M5" s="8">
        <v>0.39</v>
      </c>
    </row>
    <row r="6" spans="1:13" x14ac:dyDescent="0.25">
      <c r="A6">
        <v>5</v>
      </c>
      <c r="B6">
        <v>8.1</v>
      </c>
      <c r="C6">
        <v>0.6</v>
      </c>
      <c r="D6">
        <v>6.5</v>
      </c>
      <c r="E6">
        <v>2.2000000000000002</v>
      </c>
      <c r="F6">
        <v>6.6</v>
      </c>
      <c r="G6">
        <v>3.51</v>
      </c>
      <c r="H6" t="s">
        <v>10</v>
      </c>
      <c r="I6">
        <v>17.5</v>
      </c>
      <c r="J6" t="s">
        <v>14</v>
      </c>
      <c r="K6">
        <v>3.55</v>
      </c>
      <c r="L6" t="s">
        <v>52</v>
      </c>
      <c r="M6" s="8">
        <v>0.46</v>
      </c>
    </row>
    <row r="7" spans="1:13" x14ac:dyDescent="0.25">
      <c r="A7">
        <v>6</v>
      </c>
      <c r="B7">
        <v>6</v>
      </c>
      <c r="C7">
        <v>2.1</v>
      </c>
      <c r="D7">
        <v>8</v>
      </c>
      <c r="E7">
        <v>0.3</v>
      </c>
      <c r="F7">
        <v>7.6</v>
      </c>
      <c r="G7">
        <v>2.85</v>
      </c>
      <c r="H7" t="s">
        <v>8</v>
      </c>
      <c r="I7">
        <v>16</v>
      </c>
      <c r="J7" t="s">
        <v>13</v>
      </c>
      <c r="K7">
        <v>3.38</v>
      </c>
      <c r="L7" t="s">
        <v>52</v>
      </c>
      <c r="M7" s="8">
        <v>0.38</v>
      </c>
    </row>
    <row r="8" spans="1:13" x14ac:dyDescent="0.25">
      <c r="A8">
        <v>7</v>
      </c>
      <c r="B8">
        <v>8</v>
      </c>
      <c r="C8">
        <v>0.7</v>
      </c>
      <c r="D8">
        <v>5.3</v>
      </c>
      <c r="E8">
        <v>5.7</v>
      </c>
      <c r="F8">
        <v>4.3</v>
      </c>
      <c r="G8">
        <v>3.08</v>
      </c>
      <c r="H8" t="s">
        <v>10</v>
      </c>
      <c r="I8">
        <v>18.7</v>
      </c>
      <c r="J8" t="s">
        <v>15</v>
      </c>
      <c r="K8">
        <v>3.06</v>
      </c>
      <c r="L8" t="s">
        <v>52</v>
      </c>
      <c r="M8" s="8">
        <v>0.43</v>
      </c>
    </row>
    <row r="9" spans="1:13" x14ac:dyDescent="0.25">
      <c r="A9">
        <v>8</v>
      </c>
      <c r="B9">
        <v>8.4</v>
      </c>
      <c r="C9">
        <v>1.8</v>
      </c>
      <c r="D9">
        <v>5.6</v>
      </c>
      <c r="E9">
        <v>3</v>
      </c>
      <c r="F9">
        <v>5.2</v>
      </c>
      <c r="G9">
        <v>3.2</v>
      </c>
      <c r="H9" t="s">
        <v>10</v>
      </c>
      <c r="I9">
        <v>18.400000000000002</v>
      </c>
      <c r="J9" t="s">
        <v>15</v>
      </c>
      <c r="K9">
        <v>2.9</v>
      </c>
      <c r="L9" t="s">
        <v>52</v>
      </c>
      <c r="M9" s="8">
        <v>0.46</v>
      </c>
    </row>
    <row r="10" spans="1:13" x14ac:dyDescent="0.25">
      <c r="A10">
        <v>9</v>
      </c>
      <c r="B10">
        <v>5.2</v>
      </c>
      <c r="C10">
        <v>3.6</v>
      </c>
      <c r="D10">
        <v>6.3</v>
      </c>
      <c r="E10">
        <v>4</v>
      </c>
      <c r="F10">
        <v>4.9000000000000004</v>
      </c>
      <c r="G10">
        <v>2.82</v>
      </c>
      <c r="H10" t="s">
        <v>9</v>
      </c>
      <c r="I10">
        <v>17.700000000000003</v>
      </c>
      <c r="J10" t="s">
        <v>13</v>
      </c>
      <c r="K10">
        <v>0.75</v>
      </c>
      <c r="L10" t="s">
        <v>51</v>
      </c>
      <c r="M10" s="8">
        <v>0.28999999999999998</v>
      </c>
    </row>
    <row r="11" spans="1:13" x14ac:dyDescent="0.25">
      <c r="A11">
        <v>10</v>
      </c>
      <c r="B11">
        <v>7.7</v>
      </c>
      <c r="C11">
        <v>0.7</v>
      </c>
      <c r="D11">
        <v>9.8000000000000007</v>
      </c>
      <c r="E11">
        <v>4.5</v>
      </c>
      <c r="F11">
        <v>1.3</v>
      </c>
      <c r="G11">
        <v>2.76</v>
      </c>
      <c r="H11" t="s">
        <v>8</v>
      </c>
      <c r="I11">
        <v>14.200000000000001</v>
      </c>
      <c r="J11" t="s">
        <v>13</v>
      </c>
      <c r="K11">
        <v>3.23</v>
      </c>
      <c r="L11" t="s">
        <v>52</v>
      </c>
      <c r="M11" s="8">
        <v>0.54</v>
      </c>
    </row>
    <row r="12" spans="1:13" x14ac:dyDescent="0.25">
      <c r="A12">
        <v>11</v>
      </c>
      <c r="B12">
        <v>9.6999999999999993</v>
      </c>
      <c r="C12">
        <v>3.6</v>
      </c>
      <c r="D12">
        <v>8</v>
      </c>
      <c r="E12">
        <v>2.5</v>
      </c>
      <c r="F12">
        <v>0.2</v>
      </c>
      <c r="G12">
        <v>3.43</v>
      </c>
      <c r="H12" t="s">
        <v>10</v>
      </c>
      <c r="I12">
        <v>15.999999999999998</v>
      </c>
      <c r="J12" t="s">
        <v>15</v>
      </c>
      <c r="K12">
        <v>4.0599999999999996</v>
      </c>
      <c r="L12" t="s">
        <v>52</v>
      </c>
      <c r="M12" s="8">
        <v>0.61</v>
      </c>
    </row>
    <row r="13" spans="1:13" x14ac:dyDescent="0.25">
      <c r="A13">
        <v>12</v>
      </c>
      <c r="B13">
        <v>6.9</v>
      </c>
      <c r="C13">
        <v>1.1000000000000001</v>
      </c>
      <c r="D13">
        <v>9.1</v>
      </c>
      <c r="E13">
        <v>2.1</v>
      </c>
      <c r="F13">
        <v>4.8</v>
      </c>
      <c r="G13">
        <v>2.97</v>
      </c>
      <c r="H13" t="s">
        <v>8</v>
      </c>
      <c r="I13">
        <v>14.899999999999999</v>
      </c>
      <c r="J13" t="s">
        <v>13</v>
      </c>
      <c r="K13">
        <v>2.63</v>
      </c>
      <c r="L13" t="s">
        <v>52</v>
      </c>
      <c r="M13" s="8">
        <v>0.46</v>
      </c>
    </row>
    <row r="14" spans="1:13" x14ac:dyDescent="0.25">
      <c r="A14">
        <v>13</v>
      </c>
      <c r="B14">
        <v>6.4</v>
      </c>
      <c r="C14">
        <v>2.2000000000000002</v>
      </c>
      <c r="D14">
        <v>5.7</v>
      </c>
      <c r="E14">
        <v>4.8</v>
      </c>
      <c r="F14">
        <v>4.9000000000000004</v>
      </c>
      <c r="G14">
        <v>2.82</v>
      </c>
      <c r="H14" t="s">
        <v>10</v>
      </c>
      <c r="I14">
        <v>18.300000000000004</v>
      </c>
      <c r="J14" t="s">
        <v>13</v>
      </c>
      <c r="K14">
        <v>1.74</v>
      </c>
      <c r="L14" t="s">
        <v>52</v>
      </c>
      <c r="M14" s="8">
        <v>0.35</v>
      </c>
    </row>
    <row r="15" spans="1:13" x14ac:dyDescent="0.25">
      <c r="A15">
        <v>14</v>
      </c>
      <c r="B15">
        <v>5</v>
      </c>
      <c r="C15">
        <v>3.3</v>
      </c>
      <c r="D15">
        <v>8.5</v>
      </c>
      <c r="E15">
        <v>4.4000000000000004</v>
      </c>
      <c r="F15">
        <v>2.8</v>
      </c>
      <c r="G15">
        <v>2.87</v>
      </c>
      <c r="H15" t="s">
        <v>9</v>
      </c>
      <c r="I15">
        <v>15.5</v>
      </c>
      <c r="J15" t="s">
        <v>13</v>
      </c>
      <c r="K15">
        <v>1</v>
      </c>
      <c r="L15" t="s">
        <v>51</v>
      </c>
      <c r="M15" s="8">
        <v>0.32</v>
      </c>
    </row>
    <row r="16" spans="1:13" x14ac:dyDescent="0.25">
      <c r="A16">
        <v>15</v>
      </c>
      <c r="B16">
        <v>8.9</v>
      </c>
      <c r="C16">
        <v>0.3</v>
      </c>
      <c r="D16">
        <v>6.8</v>
      </c>
      <c r="E16">
        <v>0.7</v>
      </c>
      <c r="F16">
        <v>7.3</v>
      </c>
      <c r="G16">
        <v>3.4</v>
      </c>
      <c r="H16" t="s">
        <v>10</v>
      </c>
      <c r="I16">
        <v>17.2</v>
      </c>
      <c r="J16" t="s">
        <v>15</v>
      </c>
      <c r="K16">
        <v>4.4400000000000004</v>
      </c>
      <c r="L16" t="s">
        <v>52</v>
      </c>
      <c r="M16" s="8">
        <v>0.52</v>
      </c>
    </row>
    <row r="17" spans="1:13" x14ac:dyDescent="0.25">
      <c r="A17">
        <v>16</v>
      </c>
      <c r="B17">
        <v>6.7</v>
      </c>
      <c r="C17">
        <v>0.3</v>
      </c>
      <c r="D17">
        <v>6.6</v>
      </c>
      <c r="E17">
        <v>2</v>
      </c>
      <c r="F17">
        <v>8.4</v>
      </c>
      <c r="G17">
        <v>3.2</v>
      </c>
      <c r="H17" t="s">
        <v>8</v>
      </c>
      <c r="I17">
        <v>17.399999999999999</v>
      </c>
      <c r="J17" t="s">
        <v>15</v>
      </c>
      <c r="K17">
        <v>3.82</v>
      </c>
      <c r="L17" t="s">
        <v>52</v>
      </c>
      <c r="M17" s="8">
        <v>0.39</v>
      </c>
    </row>
    <row r="18" spans="1:13" x14ac:dyDescent="0.25">
      <c r="A18">
        <v>17</v>
      </c>
      <c r="B18">
        <v>8.6</v>
      </c>
      <c r="C18">
        <v>2.6</v>
      </c>
      <c r="D18">
        <v>9.4</v>
      </c>
      <c r="E18">
        <v>1.6</v>
      </c>
      <c r="F18">
        <v>1.8</v>
      </c>
      <c r="G18">
        <v>3.36</v>
      </c>
      <c r="H18" t="s">
        <v>10</v>
      </c>
      <c r="I18">
        <v>14.6</v>
      </c>
      <c r="J18" t="s">
        <v>15</v>
      </c>
      <c r="K18">
        <v>3.33</v>
      </c>
      <c r="L18" t="s">
        <v>52</v>
      </c>
      <c r="M18" s="8">
        <v>0.59</v>
      </c>
    </row>
    <row r="19" spans="1:13" x14ac:dyDescent="0.25">
      <c r="A19">
        <v>18</v>
      </c>
      <c r="B19">
        <v>8.8000000000000007</v>
      </c>
      <c r="C19">
        <v>2.2000000000000002</v>
      </c>
      <c r="D19">
        <v>8.9</v>
      </c>
      <c r="E19">
        <v>2</v>
      </c>
      <c r="F19">
        <v>2.1</v>
      </c>
      <c r="G19">
        <v>3.19</v>
      </c>
      <c r="H19" t="s">
        <v>10</v>
      </c>
      <c r="I19">
        <v>15.1</v>
      </c>
      <c r="J19" t="s">
        <v>15</v>
      </c>
      <c r="K19">
        <v>3.35</v>
      </c>
      <c r="L19" t="s">
        <v>52</v>
      </c>
      <c r="M19" s="8">
        <v>0.57999999999999996</v>
      </c>
    </row>
    <row r="20" spans="1:13" x14ac:dyDescent="0.25">
      <c r="A20">
        <v>19</v>
      </c>
      <c r="B20">
        <v>7.6</v>
      </c>
      <c r="C20">
        <v>1.7</v>
      </c>
      <c r="D20">
        <v>5.0999999999999996</v>
      </c>
      <c r="E20">
        <v>0.6</v>
      </c>
      <c r="F20">
        <v>9</v>
      </c>
      <c r="G20">
        <v>3.16</v>
      </c>
      <c r="H20" t="s">
        <v>10</v>
      </c>
      <c r="I20">
        <v>18.899999999999999</v>
      </c>
      <c r="J20" t="s">
        <v>15</v>
      </c>
      <c r="K20">
        <v>4.1900000000000004</v>
      </c>
      <c r="L20" t="s">
        <v>52</v>
      </c>
      <c r="M20" s="8">
        <v>0.4</v>
      </c>
    </row>
    <row r="21" spans="1:13" x14ac:dyDescent="0.25">
      <c r="A21">
        <v>20</v>
      </c>
      <c r="B21">
        <v>6.6</v>
      </c>
      <c r="C21">
        <v>2</v>
      </c>
      <c r="D21">
        <v>9.5</v>
      </c>
      <c r="E21">
        <v>1.5</v>
      </c>
      <c r="F21">
        <v>4.4000000000000004</v>
      </c>
      <c r="G21">
        <v>2.93</v>
      </c>
      <c r="H21" t="s">
        <v>8</v>
      </c>
      <c r="I21">
        <v>14.5</v>
      </c>
      <c r="J21" t="s">
        <v>13</v>
      </c>
      <c r="K21">
        <v>2.35</v>
      </c>
      <c r="L21" t="s">
        <v>52</v>
      </c>
      <c r="M21" s="8">
        <v>0.46</v>
      </c>
    </row>
    <row r="22" spans="1:13" x14ac:dyDescent="0.25">
      <c r="A22">
        <v>21</v>
      </c>
      <c r="B22">
        <v>7.1</v>
      </c>
      <c r="C22">
        <v>3</v>
      </c>
      <c r="D22">
        <v>6.1</v>
      </c>
      <c r="E22">
        <v>0.5</v>
      </c>
      <c r="F22">
        <v>7.3</v>
      </c>
      <c r="G22">
        <v>2.9</v>
      </c>
      <c r="H22" t="s">
        <v>8</v>
      </c>
      <c r="I22">
        <v>17.899999999999999</v>
      </c>
      <c r="J22" t="s">
        <v>13</v>
      </c>
      <c r="K22">
        <v>3.31</v>
      </c>
      <c r="L22" t="s">
        <v>52</v>
      </c>
      <c r="M22" s="8">
        <v>0.4</v>
      </c>
    </row>
    <row r="23" spans="1:13" x14ac:dyDescent="0.25">
      <c r="A23">
        <v>22</v>
      </c>
      <c r="B23">
        <v>9.6</v>
      </c>
      <c r="C23">
        <v>3.2</v>
      </c>
      <c r="D23">
        <v>8.1999999999999993</v>
      </c>
      <c r="E23">
        <v>2.6</v>
      </c>
      <c r="F23">
        <v>0.4</v>
      </c>
      <c r="G23">
        <v>3.34</v>
      </c>
      <c r="H23" t="s">
        <v>10</v>
      </c>
      <c r="I23">
        <v>15.8</v>
      </c>
      <c r="J23" t="s">
        <v>15</v>
      </c>
      <c r="K23">
        <v>3.95</v>
      </c>
      <c r="L23" t="s">
        <v>52</v>
      </c>
      <c r="M23" s="8">
        <v>0.61</v>
      </c>
    </row>
    <row r="24" spans="1:13" x14ac:dyDescent="0.25">
      <c r="A24">
        <v>23</v>
      </c>
      <c r="B24">
        <v>9</v>
      </c>
      <c r="C24">
        <v>0.7</v>
      </c>
      <c r="D24">
        <v>9.5</v>
      </c>
      <c r="E24">
        <v>2.6</v>
      </c>
      <c r="F24">
        <v>2.2000000000000002</v>
      </c>
      <c r="G24">
        <v>3.21</v>
      </c>
      <c r="H24" t="s">
        <v>10</v>
      </c>
      <c r="I24">
        <v>14.5</v>
      </c>
      <c r="J24" t="s">
        <v>15</v>
      </c>
      <c r="K24">
        <v>3.68</v>
      </c>
      <c r="L24" t="s">
        <v>52</v>
      </c>
      <c r="M24" s="8">
        <v>0.62</v>
      </c>
    </row>
    <row r="25" spans="1:13" x14ac:dyDescent="0.25">
      <c r="A25">
        <v>24</v>
      </c>
      <c r="B25">
        <v>6.1</v>
      </c>
      <c r="C25">
        <v>1.7</v>
      </c>
      <c r="D25">
        <v>9.1</v>
      </c>
      <c r="E25">
        <v>5.2</v>
      </c>
      <c r="F25">
        <v>1.9</v>
      </c>
      <c r="G25">
        <v>2.85</v>
      </c>
      <c r="H25" t="s">
        <v>8</v>
      </c>
      <c r="I25">
        <v>14.9</v>
      </c>
      <c r="J25" t="s">
        <v>13</v>
      </c>
      <c r="K25">
        <v>2.25</v>
      </c>
      <c r="L25" t="s">
        <v>52</v>
      </c>
      <c r="M25" s="8">
        <v>0.41</v>
      </c>
    </row>
    <row r="26" spans="1:13" x14ac:dyDescent="0.25">
      <c r="A26">
        <v>25</v>
      </c>
      <c r="B26">
        <v>5</v>
      </c>
      <c r="C26">
        <v>2</v>
      </c>
      <c r="D26">
        <v>7.1</v>
      </c>
      <c r="E26">
        <v>1.3</v>
      </c>
      <c r="F26">
        <v>8.6</v>
      </c>
      <c r="G26">
        <v>2.68</v>
      </c>
      <c r="H26" t="s">
        <v>9</v>
      </c>
      <c r="I26">
        <v>16.899999999999999</v>
      </c>
      <c r="J26" t="s">
        <v>13</v>
      </c>
      <c r="K26">
        <v>3.33</v>
      </c>
      <c r="L26" t="s">
        <v>52</v>
      </c>
      <c r="M26" s="8">
        <v>0.3</v>
      </c>
    </row>
    <row r="27" spans="1:13" x14ac:dyDescent="0.25">
      <c r="A27">
        <v>26</v>
      </c>
      <c r="B27">
        <v>9.6999999999999993</v>
      </c>
      <c r="C27">
        <v>1.3</v>
      </c>
      <c r="D27">
        <v>7.6</v>
      </c>
      <c r="E27">
        <v>3.8</v>
      </c>
      <c r="F27">
        <v>1.6</v>
      </c>
      <c r="G27">
        <v>3.29</v>
      </c>
      <c r="H27" t="s">
        <v>10</v>
      </c>
      <c r="I27">
        <v>16.400000000000002</v>
      </c>
      <c r="J27" t="s">
        <v>15</v>
      </c>
      <c r="K27">
        <v>3.9</v>
      </c>
      <c r="L27" t="s">
        <v>52</v>
      </c>
      <c r="M27" s="8">
        <v>0.59</v>
      </c>
    </row>
    <row r="28" spans="1:13" x14ac:dyDescent="0.25">
      <c r="A28">
        <v>27</v>
      </c>
      <c r="B28">
        <v>6.8</v>
      </c>
      <c r="C28">
        <v>3.9</v>
      </c>
      <c r="D28">
        <v>9.8000000000000007</v>
      </c>
      <c r="E28">
        <v>0.9</v>
      </c>
      <c r="F28">
        <v>2.6</v>
      </c>
      <c r="G28">
        <v>2.64</v>
      </c>
      <c r="H28" t="s">
        <v>8</v>
      </c>
      <c r="I28">
        <v>14.2</v>
      </c>
      <c r="J28" t="s">
        <v>13</v>
      </c>
      <c r="K28">
        <v>2.4900000000000002</v>
      </c>
      <c r="L28" t="s">
        <v>52</v>
      </c>
      <c r="M28" s="8">
        <v>0.48</v>
      </c>
    </row>
    <row r="29" spans="1:13" x14ac:dyDescent="0.25">
      <c r="A29">
        <v>28</v>
      </c>
      <c r="B29">
        <v>6.4</v>
      </c>
      <c r="C29">
        <v>0.1</v>
      </c>
      <c r="D29">
        <v>8</v>
      </c>
      <c r="E29">
        <v>3</v>
      </c>
      <c r="F29">
        <v>6.5</v>
      </c>
      <c r="G29">
        <v>2.95</v>
      </c>
      <c r="H29" t="s">
        <v>8</v>
      </c>
      <c r="I29">
        <v>16</v>
      </c>
      <c r="J29" t="s">
        <v>13</v>
      </c>
      <c r="K29">
        <v>3.07</v>
      </c>
      <c r="L29" t="s">
        <v>52</v>
      </c>
      <c r="M29" s="8">
        <v>0.4</v>
      </c>
    </row>
    <row r="30" spans="1:13" x14ac:dyDescent="0.25">
      <c r="A30">
        <v>29</v>
      </c>
      <c r="B30">
        <v>5.3</v>
      </c>
      <c r="C30">
        <v>1.1000000000000001</v>
      </c>
      <c r="D30">
        <v>9.5</v>
      </c>
      <c r="E30">
        <v>1.4</v>
      </c>
      <c r="F30">
        <v>6.7</v>
      </c>
      <c r="G30">
        <v>2.79</v>
      </c>
      <c r="H30" t="s">
        <v>9</v>
      </c>
      <c r="I30">
        <v>14.5</v>
      </c>
      <c r="J30" t="s">
        <v>13</v>
      </c>
      <c r="K30">
        <v>2.8</v>
      </c>
      <c r="L30" t="s">
        <v>52</v>
      </c>
      <c r="M30" s="8">
        <v>0.37</v>
      </c>
    </row>
    <row r="31" spans="1:13" x14ac:dyDescent="0.25">
      <c r="A31">
        <v>30</v>
      </c>
      <c r="B31">
        <v>9.9</v>
      </c>
      <c r="C31">
        <v>1</v>
      </c>
      <c r="D31">
        <v>8.4</v>
      </c>
      <c r="E31">
        <v>3.6</v>
      </c>
      <c r="F31">
        <v>1.1000000000000001</v>
      </c>
      <c r="G31">
        <v>3.25</v>
      </c>
      <c r="H31" t="s">
        <v>10</v>
      </c>
      <c r="I31">
        <v>15.6</v>
      </c>
      <c r="J31" t="s">
        <v>15</v>
      </c>
      <c r="K31">
        <v>4.18</v>
      </c>
      <c r="L31" t="s">
        <v>52</v>
      </c>
      <c r="M31" s="8">
        <v>0.63</v>
      </c>
    </row>
    <row r="32" spans="1:13" x14ac:dyDescent="0.25">
      <c r="A32">
        <v>31</v>
      </c>
      <c r="B32">
        <v>6.2</v>
      </c>
      <c r="C32">
        <v>2.9</v>
      </c>
      <c r="D32">
        <v>6.8</v>
      </c>
      <c r="E32">
        <v>3.8</v>
      </c>
      <c r="F32">
        <v>4.3</v>
      </c>
      <c r="G32">
        <v>3.05</v>
      </c>
      <c r="H32" t="s">
        <v>8</v>
      </c>
      <c r="I32">
        <v>17.2</v>
      </c>
      <c r="J32" t="s">
        <v>15</v>
      </c>
      <c r="K32">
        <v>1.39</v>
      </c>
      <c r="L32" t="s">
        <v>51</v>
      </c>
      <c r="M32" s="8">
        <v>0.36</v>
      </c>
    </row>
    <row r="33" spans="1:13" x14ac:dyDescent="0.25">
      <c r="A33">
        <v>32</v>
      </c>
      <c r="B33">
        <v>5.5</v>
      </c>
      <c r="C33">
        <v>3.3</v>
      </c>
      <c r="D33">
        <v>6.6</v>
      </c>
      <c r="E33">
        <v>1.1000000000000001</v>
      </c>
      <c r="F33">
        <v>7.5</v>
      </c>
      <c r="G33">
        <v>3.26</v>
      </c>
      <c r="H33" t="s">
        <v>9</v>
      </c>
      <c r="I33">
        <v>17.399999999999999</v>
      </c>
      <c r="J33" t="s">
        <v>15</v>
      </c>
      <c r="K33">
        <v>2.76</v>
      </c>
      <c r="L33" t="s">
        <v>52</v>
      </c>
      <c r="M33" s="8">
        <v>0.32</v>
      </c>
    </row>
    <row r="34" spans="1:13" x14ac:dyDescent="0.25">
      <c r="A34">
        <v>33</v>
      </c>
      <c r="B34">
        <v>5.2</v>
      </c>
      <c r="C34">
        <v>2.4</v>
      </c>
      <c r="D34">
        <v>8.4</v>
      </c>
      <c r="E34">
        <v>0.1</v>
      </c>
      <c r="F34">
        <v>7.9</v>
      </c>
      <c r="G34">
        <v>2.4700000000000002</v>
      </c>
      <c r="H34" t="s">
        <v>9</v>
      </c>
      <c r="I34">
        <v>15.6</v>
      </c>
      <c r="J34" t="s">
        <v>16</v>
      </c>
      <c r="K34">
        <v>3.39</v>
      </c>
      <c r="L34" t="s">
        <v>52</v>
      </c>
      <c r="M34" s="8">
        <v>0.33</v>
      </c>
    </row>
    <row r="35" spans="1:13" x14ac:dyDescent="0.25">
      <c r="A35">
        <v>34</v>
      </c>
      <c r="B35">
        <v>8.1999999999999993</v>
      </c>
      <c r="C35">
        <v>0.7</v>
      </c>
      <c r="D35">
        <v>8.5</v>
      </c>
      <c r="E35">
        <v>2.2999999999999998</v>
      </c>
      <c r="F35">
        <v>4.3</v>
      </c>
      <c r="G35">
        <v>3.24</v>
      </c>
      <c r="H35" t="s">
        <v>10</v>
      </c>
      <c r="I35">
        <v>15.5</v>
      </c>
      <c r="J35" t="s">
        <v>15</v>
      </c>
      <c r="K35">
        <v>3.24</v>
      </c>
      <c r="L35" t="s">
        <v>52</v>
      </c>
      <c r="M35" s="8">
        <v>0.53</v>
      </c>
    </row>
    <row r="36" spans="1:13" x14ac:dyDescent="0.25">
      <c r="A36">
        <v>35</v>
      </c>
      <c r="B36">
        <v>9.6999999999999993</v>
      </c>
      <c r="C36">
        <v>0.6</v>
      </c>
      <c r="D36">
        <v>6.7</v>
      </c>
      <c r="E36">
        <v>0.7</v>
      </c>
      <c r="F36">
        <v>6.3</v>
      </c>
      <c r="G36">
        <v>3.62</v>
      </c>
      <c r="H36" t="s">
        <v>10</v>
      </c>
      <c r="I36">
        <v>17.299999999999997</v>
      </c>
      <c r="J36" t="s">
        <v>14</v>
      </c>
      <c r="K36">
        <v>4.46</v>
      </c>
      <c r="L36" t="s">
        <v>52</v>
      </c>
      <c r="M36" s="8">
        <v>0.56000000000000005</v>
      </c>
    </row>
    <row r="37" spans="1:13" x14ac:dyDescent="0.25">
      <c r="A37">
        <v>36</v>
      </c>
      <c r="B37">
        <v>9.1</v>
      </c>
      <c r="C37">
        <v>2.2000000000000002</v>
      </c>
      <c r="D37">
        <v>7.6</v>
      </c>
      <c r="E37">
        <v>1.2</v>
      </c>
      <c r="F37">
        <v>3.9</v>
      </c>
      <c r="G37">
        <v>3.12</v>
      </c>
      <c r="H37" t="s">
        <v>10</v>
      </c>
      <c r="I37">
        <v>16.399999999999999</v>
      </c>
      <c r="J37" t="s">
        <v>15</v>
      </c>
      <c r="K37">
        <v>3.51</v>
      </c>
      <c r="L37" t="s">
        <v>52</v>
      </c>
      <c r="M37" s="8">
        <v>0.55000000000000004</v>
      </c>
    </row>
    <row r="38" spans="1:13" x14ac:dyDescent="0.25">
      <c r="A38">
        <v>37</v>
      </c>
      <c r="B38">
        <v>5.5</v>
      </c>
      <c r="C38">
        <v>3.6</v>
      </c>
      <c r="D38">
        <v>9.5</v>
      </c>
      <c r="E38">
        <v>3.4</v>
      </c>
      <c r="F38">
        <v>2</v>
      </c>
      <c r="G38">
        <v>2.58</v>
      </c>
      <c r="H38" t="s">
        <v>9</v>
      </c>
      <c r="I38">
        <v>14.5</v>
      </c>
      <c r="J38" t="s">
        <v>13</v>
      </c>
      <c r="K38">
        <v>1.44</v>
      </c>
      <c r="L38" t="s">
        <v>51</v>
      </c>
      <c r="M38" s="8">
        <v>0.38</v>
      </c>
    </row>
    <row r="39" spans="1:13" x14ac:dyDescent="0.25">
      <c r="A39">
        <v>38</v>
      </c>
      <c r="B39">
        <v>8.6</v>
      </c>
      <c r="C39">
        <v>3.6</v>
      </c>
      <c r="D39">
        <v>9.4</v>
      </c>
      <c r="E39">
        <v>1.9</v>
      </c>
      <c r="F39">
        <v>0.5</v>
      </c>
      <c r="G39">
        <v>3.03</v>
      </c>
      <c r="H39" t="s">
        <v>10</v>
      </c>
      <c r="I39">
        <v>14.6</v>
      </c>
      <c r="J39" t="s">
        <v>15</v>
      </c>
      <c r="K39">
        <v>3.54</v>
      </c>
      <c r="L39" t="s">
        <v>52</v>
      </c>
      <c r="M39" s="8">
        <v>0.59</v>
      </c>
    </row>
    <row r="40" spans="1:13" x14ac:dyDescent="0.25">
      <c r="A40">
        <v>39</v>
      </c>
      <c r="B40">
        <v>8.1999999999999993</v>
      </c>
      <c r="C40">
        <v>0.3</v>
      </c>
      <c r="D40">
        <v>5.8</v>
      </c>
      <c r="E40">
        <v>5.4</v>
      </c>
      <c r="F40">
        <v>4.3</v>
      </c>
      <c r="G40">
        <v>3.29</v>
      </c>
      <c r="H40" t="s">
        <v>10</v>
      </c>
      <c r="I40">
        <v>18.2</v>
      </c>
      <c r="J40" t="s">
        <v>15</v>
      </c>
      <c r="K40">
        <v>3.27</v>
      </c>
      <c r="L40" t="s">
        <v>52</v>
      </c>
      <c r="M40" s="8">
        <v>0.45</v>
      </c>
    </row>
    <row r="41" spans="1:13" x14ac:dyDescent="0.25">
      <c r="A41">
        <v>40</v>
      </c>
      <c r="B41">
        <v>5</v>
      </c>
      <c r="C41">
        <v>0.6</v>
      </c>
      <c r="D41">
        <v>7.7</v>
      </c>
      <c r="E41">
        <v>4.2</v>
      </c>
      <c r="F41">
        <v>6.5</v>
      </c>
      <c r="G41">
        <v>2.61</v>
      </c>
      <c r="H41" t="s">
        <v>9</v>
      </c>
      <c r="I41">
        <v>16.3</v>
      </c>
      <c r="J41" t="s">
        <v>13</v>
      </c>
      <c r="K41">
        <v>2.5099999999999998</v>
      </c>
      <c r="L41" t="s">
        <v>52</v>
      </c>
      <c r="M41" s="8">
        <v>0.31</v>
      </c>
    </row>
    <row r="42" spans="1:13" x14ac:dyDescent="0.25">
      <c r="A42">
        <v>41</v>
      </c>
      <c r="B42">
        <v>8.3000000000000007</v>
      </c>
      <c r="C42">
        <v>0.9</v>
      </c>
      <c r="D42">
        <v>8.6</v>
      </c>
      <c r="E42">
        <v>1.4</v>
      </c>
      <c r="F42">
        <v>4.8</v>
      </c>
      <c r="G42">
        <v>3.48</v>
      </c>
      <c r="H42" t="s">
        <v>10</v>
      </c>
      <c r="I42">
        <v>15.400000000000002</v>
      </c>
      <c r="J42" t="s">
        <v>15</v>
      </c>
      <c r="K42">
        <v>3.44</v>
      </c>
      <c r="L42" t="s">
        <v>52</v>
      </c>
      <c r="M42" s="8">
        <v>0.54</v>
      </c>
    </row>
    <row r="43" spans="1:13" x14ac:dyDescent="0.25">
      <c r="A43">
        <v>42</v>
      </c>
      <c r="B43">
        <v>8.1999999999999993</v>
      </c>
      <c r="C43">
        <v>3.4</v>
      </c>
      <c r="D43">
        <v>8.3000000000000007</v>
      </c>
      <c r="E43">
        <v>2.2999999999999998</v>
      </c>
      <c r="F43">
        <v>1.8</v>
      </c>
      <c r="G43">
        <v>3.07</v>
      </c>
      <c r="H43" t="s">
        <v>10</v>
      </c>
      <c r="I43">
        <v>15.7</v>
      </c>
      <c r="J43" t="s">
        <v>15</v>
      </c>
      <c r="K43">
        <v>2.93</v>
      </c>
      <c r="L43" t="s">
        <v>52</v>
      </c>
      <c r="M43" s="8">
        <v>0.52</v>
      </c>
    </row>
    <row r="44" spans="1:13" x14ac:dyDescent="0.25">
      <c r="A44">
        <v>43</v>
      </c>
      <c r="B44">
        <v>5.5</v>
      </c>
      <c r="C44">
        <v>1.5</v>
      </c>
      <c r="D44">
        <v>6.3</v>
      </c>
      <c r="E44">
        <v>1.5</v>
      </c>
      <c r="F44">
        <v>9.1999999999999993</v>
      </c>
      <c r="G44">
        <v>2.81</v>
      </c>
      <c r="H44" t="s">
        <v>9</v>
      </c>
      <c r="I44">
        <v>17.7</v>
      </c>
      <c r="J44" t="s">
        <v>13</v>
      </c>
      <c r="K44">
        <v>3.7</v>
      </c>
      <c r="L44" t="s">
        <v>52</v>
      </c>
      <c r="M44" s="8">
        <v>0.31</v>
      </c>
    </row>
    <row r="45" spans="1:13" x14ac:dyDescent="0.25">
      <c r="A45">
        <v>44</v>
      </c>
      <c r="B45">
        <v>9.5</v>
      </c>
      <c r="C45">
        <v>2.5</v>
      </c>
      <c r="D45">
        <v>9</v>
      </c>
      <c r="E45">
        <v>1.5</v>
      </c>
      <c r="F45">
        <v>1.5</v>
      </c>
      <c r="G45">
        <v>3.49</v>
      </c>
      <c r="H45" t="s">
        <v>10</v>
      </c>
      <c r="I45">
        <v>15</v>
      </c>
      <c r="J45" t="s">
        <v>15</v>
      </c>
      <c r="K45">
        <v>3.86</v>
      </c>
      <c r="L45" t="s">
        <v>52</v>
      </c>
      <c r="M45" s="8">
        <v>0.63</v>
      </c>
    </row>
    <row r="46" spans="1:13" x14ac:dyDescent="0.25">
      <c r="A46">
        <v>45</v>
      </c>
      <c r="B46">
        <v>7.9</v>
      </c>
      <c r="C46">
        <v>2</v>
      </c>
      <c r="D46">
        <v>6</v>
      </c>
      <c r="E46">
        <v>4.3</v>
      </c>
      <c r="F46">
        <v>3.8</v>
      </c>
      <c r="G46">
        <v>2.97</v>
      </c>
      <c r="H46" t="s">
        <v>8</v>
      </c>
      <c r="I46">
        <v>18</v>
      </c>
      <c r="J46" t="s">
        <v>13</v>
      </c>
      <c r="K46">
        <v>2.4700000000000002</v>
      </c>
      <c r="L46" t="s">
        <v>52</v>
      </c>
      <c r="M46" s="8">
        <v>0.44</v>
      </c>
    </row>
    <row r="47" spans="1:13" x14ac:dyDescent="0.25">
      <c r="A47">
        <v>46</v>
      </c>
      <c r="B47">
        <v>9.6999999999999993</v>
      </c>
      <c r="C47">
        <v>3.8</v>
      </c>
      <c r="D47">
        <v>9.6</v>
      </c>
      <c r="E47">
        <v>0.3</v>
      </c>
      <c r="F47">
        <v>0.6</v>
      </c>
      <c r="G47">
        <v>3.55</v>
      </c>
      <c r="H47" t="s">
        <v>10</v>
      </c>
      <c r="I47">
        <v>14.4</v>
      </c>
      <c r="J47" t="s">
        <v>14</v>
      </c>
      <c r="K47">
        <v>4.3600000000000003</v>
      </c>
      <c r="L47" t="s">
        <v>52</v>
      </c>
      <c r="M47" s="8">
        <v>0.67</v>
      </c>
    </row>
    <row r="48" spans="1:13" x14ac:dyDescent="0.25">
      <c r="A48">
        <v>47</v>
      </c>
      <c r="B48">
        <v>5.0999999999999996</v>
      </c>
      <c r="C48">
        <v>3.7</v>
      </c>
      <c r="D48">
        <v>7.1</v>
      </c>
      <c r="E48">
        <v>5.8</v>
      </c>
      <c r="F48">
        <v>2.2999999999999998</v>
      </c>
      <c r="G48">
        <v>2.6</v>
      </c>
      <c r="H48" t="s">
        <v>9</v>
      </c>
      <c r="I48">
        <v>16.900000000000002</v>
      </c>
      <c r="J48" t="s">
        <v>13</v>
      </c>
      <c r="K48">
        <v>1.55</v>
      </c>
      <c r="L48" t="s">
        <v>52</v>
      </c>
      <c r="M48" s="8">
        <v>0.3</v>
      </c>
    </row>
    <row r="49" spans="1:13" x14ac:dyDescent="0.25">
      <c r="A49">
        <v>48</v>
      </c>
      <c r="B49">
        <v>9.3000000000000007</v>
      </c>
      <c r="C49">
        <v>1.3</v>
      </c>
      <c r="D49">
        <v>5.8</v>
      </c>
      <c r="E49">
        <v>3.3</v>
      </c>
      <c r="F49">
        <v>4.3</v>
      </c>
      <c r="G49">
        <v>3.09</v>
      </c>
      <c r="H49" t="s">
        <v>10</v>
      </c>
      <c r="I49">
        <v>18.200000000000003</v>
      </c>
      <c r="J49" t="s">
        <v>15</v>
      </c>
      <c r="K49">
        <v>3.4</v>
      </c>
      <c r="L49" t="s">
        <v>52</v>
      </c>
      <c r="M49" s="8">
        <v>0.51</v>
      </c>
    </row>
    <row r="50" spans="1:13" x14ac:dyDescent="0.25">
      <c r="A50">
        <v>49</v>
      </c>
      <c r="B50">
        <v>9.6999999999999993</v>
      </c>
      <c r="C50">
        <v>2.8</v>
      </c>
      <c r="D50">
        <v>7.9</v>
      </c>
      <c r="E50">
        <v>0.3</v>
      </c>
      <c r="F50">
        <v>3.3</v>
      </c>
      <c r="G50">
        <v>3.47</v>
      </c>
      <c r="H50" t="s">
        <v>10</v>
      </c>
      <c r="I50">
        <v>16.100000000000001</v>
      </c>
      <c r="J50" t="s">
        <v>15</v>
      </c>
      <c r="K50">
        <v>4</v>
      </c>
      <c r="L50" t="s">
        <v>52</v>
      </c>
      <c r="M50" s="8">
        <v>0.6</v>
      </c>
    </row>
    <row r="51" spans="1:13" x14ac:dyDescent="0.25">
      <c r="A51">
        <v>50</v>
      </c>
      <c r="B51">
        <v>9.4</v>
      </c>
      <c r="C51">
        <v>3</v>
      </c>
      <c r="D51">
        <v>8.5</v>
      </c>
      <c r="E51">
        <v>2.2000000000000002</v>
      </c>
      <c r="F51">
        <v>0.9</v>
      </c>
      <c r="G51">
        <v>3.18</v>
      </c>
      <c r="H51" t="s">
        <v>10</v>
      </c>
      <c r="I51">
        <v>15.500000000000002</v>
      </c>
      <c r="J51" t="s">
        <v>15</v>
      </c>
      <c r="K51">
        <v>3.78</v>
      </c>
      <c r="L51" t="s">
        <v>52</v>
      </c>
      <c r="M51" s="8">
        <v>0.61</v>
      </c>
    </row>
    <row r="52" spans="1:13" x14ac:dyDescent="0.25">
      <c r="A52">
        <v>51</v>
      </c>
      <c r="B52">
        <v>6.8</v>
      </c>
      <c r="C52">
        <v>1.2</v>
      </c>
      <c r="D52">
        <v>9</v>
      </c>
      <c r="E52">
        <v>4.9000000000000004</v>
      </c>
      <c r="F52">
        <v>2.1</v>
      </c>
      <c r="G52">
        <v>3.12</v>
      </c>
      <c r="H52" t="s">
        <v>8</v>
      </c>
      <c r="I52">
        <v>15</v>
      </c>
      <c r="J52" t="s">
        <v>15</v>
      </c>
      <c r="K52">
        <v>2.57</v>
      </c>
      <c r="L52" t="s">
        <v>52</v>
      </c>
      <c r="M52" s="8">
        <v>0.45</v>
      </c>
    </row>
    <row r="53" spans="1:13" x14ac:dyDescent="0.25">
      <c r="A53">
        <v>52</v>
      </c>
      <c r="B53">
        <v>9</v>
      </c>
      <c r="C53">
        <v>2.6</v>
      </c>
      <c r="D53">
        <v>8.5</v>
      </c>
      <c r="E53">
        <v>3.1</v>
      </c>
      <c r="F53">
        <v>0.8</v>
      </c>
      <c r="G53">
        <v>4</v>
      </c>
      <c r="H53" t="s">
        <v>10</v>
      </c>
      <c r="I53">
        <v>15.5</v>
      </c>
      <c r="J53" t="s">
        <v>14</v>
      </c>
      <c r="K53">
        <v>3.56</v>
      </c>
      <c r="L53" t="s">
        <v>52</v>
      </c>
      <c r="M53" s="8">
        <v>0.57999999999999996</v>
      </c>
    </row>
    <row r="54" spans="1:13" x14ac:dyDescent="0.25">
      <c r="A54">
        <v>53</v>
      </c>
      <c r="B54">
        <v>9.5</v>
      </c>
      <c r="C54">
        <v>1.4</v>
      </c>
      <c r="D54">
        <v>6.9</v>
      </c>
      <c r="E54">
        <v>0.6</v>
      </c>
      <c r="F54">
        <v>5.6</v>
      </c>
      <c r="G54">
        <v>3.33</v>
      </c>
      <c r="H54" t="s">
        <v>10</v>
      </c>
      <c r="I54">
        <v>17.100000000000001</v>
      </c>
      <c r="J54" t="s">
        <v>15</v>
      </c>
      <c r="K54">
        <v>4.12</v>
      </c>
      <c r="L54" t="s">
        <v>52</v>
      </c>
      <c r="M54" s="8">
        <v>0.56000000000000005</v>
      </c>
    </row>
    <row r="55" spans="1:13" x14ac:dyDescent="0.25">
      <c r="A55">
        <v>54</v>
      </c>
      <c r="B55">
        <v>7.3</v>
      </c>
      <c r="C55">
        <v>2.2000000000000002</v>
      </c>
      <c r="D55">
        <v>6.4</v>
      </c>
      <c r="E55">
        <v>3.5</v>
      </c>
      <c r="F55">
        <v>4.5999999999999996</v>
      </c>
      <c r="G55">
        <v>3.11</v>
      </c>
      <c r="H55" t="s">
        <v>8</v>
      </c>
      <c r="I55">
        <v>17.600000000000001</v>
      </c>
      <c r="J55" t="s">
        <v>15</v>
      </c>
      <c r="K55">
        <v>2.17</v>
      </c>
      <c r="L55" t="s">
        <v>52</v>
      </c>
      <c r="M55" s="8">
        <v>0.41</v>
      </c>
    </row>
    <row r="56" spans="1:13" x14ac:dyDescent="0.25">
      <c r="A56">
        <v>55</v>
      </c>
      <c r="B56">
        <v>5.2</v>
      </c>
      <c r="C56">
        <v>0.1</v>
      </c>
      <c r="D56">
        <v>9.1</v>
      </c>
      <c r="E56">
        <v>2.2000000000000002</v>
      </c>
      <c r="F56">
        <v>7.4</v>
      </c>
      <c r="G56">
        <v>2.79</v>
      </c>
      <c r="H56" t="s">
        <v>9</v>
      </c>
      <c r="I56">
        <v>14.9</v>
      </c>
      <c r="J56" t="s">
        <v>13</v>
      </c>
      <c r="K56">
        <v>3.22</v>
      </c>
      <c r="L56" t="s">
        <v>52</v>
      </c>
      <c r="M56" s="8">
        <v>0.35</v>
      </c>
    </row>
    <row r="57" spans="1:13" x14ac:dyDescent="0.25">
      <c r="A57">
        <v>56</v>
      </c>
      <c r="B57">
        <v>8.8000000000000007</v>
      </c>
      <c r="C57">
        <v>0.9</v>
      </c>
      <c r="D57">
        <v>8.1</v>
      </c>
      <c r="E57">
        <v>0.5</v>
      </c>
      <c r="F57">
        <v>5.7</v>
      </c>
      <c r="G57">
        <v>3.1</v>
      </c>
      <c r="H57" t="s">
        <v>10</v>
      </c>
      <c r="I57">
        <v>15.900000000000002</v>
      </c>
      <c r="J57" t="s">
        <v>15</v>
      </c>
      <c r="K57">
        <v>3.99</v>
      </c>
      <c r="L57" t="s">
        <v>52</v>
      </c>
      <c r="M57" s="8">
        <v>0.55000000000000004</v>
      </c>
    </row>
    <row r="58" spans="1:13" x14ac:dyDescent="0.25">
      <c r="A58">
        <v>57</v>
      </c>
      <c r="B58">
        <v>5.3</v>
      </c>
      <c r="C58">
        <v>2.1</v>
      </c>
      <c r="D58">
        <v>7.7</v>
      </c>
      <c r="E58">
        <v>3.8</v>
      </c>
      <c r="F58">
        <v>5.0999999999999996</v>
      </c>
      <c r="G58">
        <v>2.39</v>
      </c>
      <c r="H58" t="s">
        <v>9</v>
      </c>
      <c r="I58">
        <v>16.299999999999997</v>
      </c>
      <c r="J58" t="s">
        <v>16</v>
      </c>
      <c r="K58">
        <v>1.48</v>
      </c>
      <c r="L58" t="s">
        <v>51</v>
      </c>
      <c r="M58" s="8">
        <v>0.33</v>
      </c>
    </row>
    <row r="59" spans="1:13" x14ac:dyDescent="0.25">
      <c r="A59">
        <v>58</v>
      </c>
      <c r="B59">
        <v>9</v>
      </c>
      <c r="C59">
        <v>1.1000000000000001</v>
      </c>
      <c r="D59">
        <v>7.2</v>
      </c>
      <c r="E59">
        <v>0.5</v>
      </c>
      <c r="F59">
        <v>6.2</v>
      </c>
      <c r="G59">
        <v>3.39</v>
      </c>
      <c r="H59" t="s">
        <v>10</v>
      </c>
      <c r="I59">
        <v>16.8</v>
      </c>
      <c r="J59" t="s">
        <v>15</v>
      </c>
      <c r="K59">
        <v>4.0999999999999996</v>
      </c>
      <c r="L59" t="s">
        <v>52</v>
      </c>
      <c r="M59" s="8">
        <v>0.54</v>
      </c>
    </row>
    <row r="60" spans="1:13" x14ac:dyDescent="0.25">
      <c r="A60">
        <v>59</v>
      </c>
      <c r="B60">
        <v>5.0999999999999996</v>
      </c>
      <c r="C60">
        <v>3.9</v>
      </c>
      <c r="D60">
        <v>9.1999999999999993</v>
      </c>
      <c r="E60">
        <v>4</v>
      </c>
      <c r="F60">
        <v>1.8</v>
      </c>
      <c r="G60">
        <v>2.52</v>
      </c>
      <c r="H60" t="s">
        <v>9</v>
      </c>
      <c r="I60">
        <v>14.8</v>
      </c>
      <c r="J60" t="s">
        <v>13</v>
      </c>
      <c r="K60">
        <v>1.38</v>
      </c>
      <c r="L60" t="s">
        <v>51</v>
      </c>
      <c r="M60" s="8">
        <v>0.34</v>
      </c>
    </row>
    <row r="61" spans="1:13" x14ac:dyDescent="0.25">
      <c r="A61">
        <v>60</v>
      </c>
      <c r="B61">
        <v>5.8</v>
      </c>
      <c r="C61">
        <v>1</v>
      </c>
      <c r="D61">
        <v>7.7</v>
      </c>
      <c r="E61">
        <v>4.3</v>
      </c>
      <c r="F61">
        <v>5.2</v>
      </c>
      <c r="G61">
        <v>2.8</v>
      </c>
      <c r="H61" t="s">
        <v>9</v>
      </c>
      <c r="I61">
        <v>16.3</v>
      </c>
      <c r="J61" t="s">
        <v>13</v>
      </c>
      <c r="K61">
        <v>2.14</v>
      </c>
      <c r="L61" t="s">
        <v>52</v>
      </c>
      <c r="M61" s="8">
        <v>0.36</v>
      </c>
    </row>
    <row r="62" spans="1:13" x14ac:dyDescent="0.25">
      <c r="A62">
        <v>61</v>
      </c>
      <c r="B62">
        <v>8.3000000000000007</v>
      </c>
      <c r="C62">
        <v>1.1000000000000001</v>
      </c>
      <c r="D62">
        <v>9.8000000000000007</v>
      </c>
      <c r="E62">
        <v>3.5</v>
      </c>
      <c r="F62">
        <v>1.3</v>
      </c>
      <c r="G62">
        <v>3.67</v>
      </c>
      <c r="H62" t="s">
        <v>10</v>
      </c>
      <c r="I62">
        <v>14.200000000000001</v>
      </c>
      <c r="J62" t="s">
        <v>14</v>
      </c>
      <c r="K62">
        <v>3.35</v>
      </c>
      <c r="L62" t="s">
        <v>52</v>
      </c>
      <c r="M62" s="8">
        <v>0.57999999999999996</v>
      </c>
    </row>
    <row r="63" spans="1:13" x14ac:dyDescent="0.25">
      <c r="A63">
        <v>62</v>
      </c>
      <c r="B63">
        <v>7.1</v>
      </c>
      <c r="C63">
        <v>1</v>
      </c>
      <c r="D63">
        <v>6.8</v>
      </c>
      <c r="E63">
        <v>4.5</v>
      </c>
      <c r="F63">
        <v>4.5999999999999996</v>
      </c>
      <c r="G63">
        <v>3.27</v>
      </c>
      <c r="H63" t="s">
        <v>8</v>
      </c>
      <c r="I63">
        <v>17.2</v>
      </c>
      <c r="J63" t="s">
        <v>15</v>
      </c>
      <c r="K63">
        <v>2.5099999999999998</v>
      </c>
      <c r="L63" t="s">
        <v>52</v>
      </c>
      <c r="M63" s="8">
        <v>0.41</v>
      </c>
    </row>
    <row r="64" spans="1:13" x14ac:dyDescent="0.25">
      <c r="A64">
        <v>63</v>
      </c>
      <c r="B64">
        <v>5.0999999999999996</v>
      </c>
      <c r="C64">
        <v>0.5</v>
      </c>
      <c r="D64">
        <v>5.2</v>
      </c>
      <c r="E64">
        <v>0.2</v>
      </c>
      <c r="F64">
        <v>13</v>
      </c>
      <c r="G64">
        <v>2.85</v>
      </c>
      <c r="H64" t="s">
        <v>10</v>
      </c>
      <c r="I64">
        <v>18.8</v>
      </c>
      <c r="J64" t="s">
        <v>13</v>
      </c>
      <c r="K64">
        <v>5.97</v>
      </c>
      <c r="L64" t="s">
        <v>52</v>
      </c>
      <c r="M64" s="8">
        <v>0.27</v>
      </c>
    </row>
    <row r="65" spans="1:13" x14ac:dyDescent="0.25">
      <c r="A65">
        <v>64</v>
      </c>
      <c r="B65">
        <v>7.4</v>
      </c>
      <c r="C65">
        <v>0.4</v>
      </c>
      <c r="D65">
        <v>7.5</v>
      </c>
      <c r="E65">
        <v>2.8</v>
      </c>
      <c r="F65">
        <v>5.9</v>
      </c>
      <c r="G65">
        <v>3.26</v>
      </c>
      <c r="H65" t="s">
        <v>8</v>
      </c>
      <c r="I65">
        <v>16.5</v>
      </c>
      <c r="J65" t="s">
        <v>15</v>
      </c>
      <c r="K65">
        <v>3.14</v>
      </c>
      <c r="L65" t="s">
        <v>52</v>
      </c>
      <c r="M65" s="8">
        <v>0.45</v>
      </c>
    </row>
    <row r="66" spans="1:13" x14ac:dyDescent="0.25">
      <c r="A66">
        <v>65</v>
      </c>
      <c r="B66">
        <v>5.9</v>
      </c>
      <c r="C66">
        <v>1.7</v>
      </c>
      <c r="D66">
        <v>7</v>
      </c>
      <c r="E66">
        <v>3.7</v>
      </c>
      <c r="F66">
        <v>5.7</v>
      </c>
      <c r="G66">
        <v>2.8</v>
      </c>
      <c r="H66" t="s">
        <v>9</v>
      </c>
      <c r="I66">
        <v>17</v>
      </c>
      <c r="J66" t="s">
        <v>13</v>
      </c>
      <c r="K66">
        <v>1.97</v>
      </c>
      <c r="L66" t="s">
        <v>52</v>
      </c>
      <c r="M66" s="8">
        <v>0.35</v>
      </c>
    </row>
    <row r="67" spans="1:13" x14ac:dyDescent="0.25">
      <c r="A67">
        <v>66</v>
      </c>
      <c r="B67">
        <v>6.9</v>
      </c>
      <c r="C67">
        <v>2.5</v>
      </c>
      <c r="D67">
        <v>7.5</v>
      </c>
      <c r="E67">
        <v>5.0999999999999996</v>
      </c>
      <c r="F67">
        <v>2</v>
      </c>
      <c r="G67">
        <v>3.06</v>
      </c>
      <c r="H67" t="s">
        <v>8</v>
      </c>
      <c r="I67">
        <v>16.5</v>
      </c>
      <c r="J67" t="s">
        <v>15</v>
      </c>
      <c r="K67">
        <v>2.2999999999999998</v>
      </c>
      <c r="L67" t="s">
        <v>52</v>
      </c>
      <c r="M67" s="8">
        <v>0.42</v>
      </c>
    </row>
    <row r="68" spans="1:13" x14ac:dyDescent="0.25">
      <c r="A68">
        <v>67</v>
      </c>
      <c r="B68">
        <v>8.3000000000000007</v>
      </c>
      <c r="C68">
        <v>0.7</v>
      </c>
      <c r="D68">
        <v>5.4</v>
      </c>
      <c r="E68">
        <v>3.9</v>
      </c>
      <c r="F68">
        <v>5.7</v>
      </c>
      <c r="G68">
        <v>3.26</v>
      </c>
      <c r="H68" t="s">
        <v>10</v>
      </c>
      <c r="I68">
        <v>18.600000000000001</v>
      </c>
      <c r="J68" t="s">
        <v>15</v>
      </c>
      <c r="K68">
        <v>3.19</v>
      </c>
      <c r="L68" t="s">
        <v>52</v>
      </c>
      <c r="M68" s="8">
        <v>0.45</v>
      </c>
    </row>
    <row r="69" spans="1:13" x14ac:dyDescent="0.25">
      <c r="A69">
        <v>68</v>
      </c>
      <c r="B69">
        <v>9.6999999999999993</v>
      </c>
      <c r="C69">
        <v>2.2999999999999998</v>
      </c>
      <c r="D69">
        <v>6.9</v>
      </c>
      <c r="E69">
        <v>3.3</v>
      </c>
      <c r="F69">
        <v>1.8</v>
      </c>
      <c r="G69">
        <v>3.38</v>
      </c>
      <c r="H69" t="s">
        <v>10</v>
      </c>
      <c r="I69">
        <v>17.100000000000001</v>
      </c>
      <c r="J69" t="s">
        <v>15</v>
      </c>
      <c r="K69">
        <v>3.67</v>
      </c>
      <c r="L69" t="s">
        <v>52</v>
      </c>
      <c r="M69" s="8">
        <v>0.56999999999999995</v>
      </c>
    </row>
    <row r="70" spans="1:13" x14ac:dyDescent="0.25">
      <c r="A70">
        <v>69</v>
      </c>
      <c r="B70">
        <v>7.3</v>
      </c>
      <c r="C70">
        <v>2.2000000000000002</v>
      </c>
      <c r="D70">
        <v>9.6999999999999993</v>
      </c>
      <c r="E70">
        <v>1.9</v>
      </c>
      <c r="F70">
        <v>2.9</v>
      </c>
      <c r="G70">
        <v>3.15</v>
      </c>
      <c r="H70" t="s">
        <v>8</v>
      </c>
      <c r="I70">
        <v>14.3</v>
      </c>
      <c r="J70" t="s">
        <v>15</v>
      </c>
      <c r="K70">
        <v>2.52</v>
      </c>
      <c r="L70" t="s">
        <v>52</v>
      </c>
      <c r="M70" s="8">
        <v>0.51</v>
      </c>
    </row>
    <row r="71" spans="1:13" x14ac:dyDescent="0.25">
      <c r="A71">
        <v>70</v>
      </c>
      <c r="B71">
        <v>5.4</v>
      </c>
      <c r="C71">
        <v>1.3</v>
      </c>
      <c r="D71">
        <v>9.1999999999999993</v>
      </c>
      <c r="E71">
        <v>0.1</v>
      </c>
      <c r="F71">
        <v>8</v>
      </c>
      <c r="G71">
        <v>2.69</v>
      </c>
      <c r="H71" t="s">
        <v>9</v>
      </c>
      <c r="I71">
        <v>14.8</v>
      </c>
      <c r="J71" t="s">
        <v>13</v>
      </c>
      <c r="K71">
        <v>3.66</v>
      </c>
      <c r="L71" t="s">
        <v>52</v>
      </c>
      <c r="M71" s="8">
        <v>0.36</v>
      </c>
    </row>
    <row r="72" spans="1:13" x14ac:dyDescent="0.25">
      <c r="A72">
        <v>71</v>
      </c>
      <c r="B72">
        <v>9.1</v>
      </c>
      <c r="C72">
        <v>1.1000000000000001</v>
      </c>
      <c r="D72">
        <v>5.6</v>
      </c>
      <c r="E72">
        <v>4.2</v>
      </c>
      <c r="F72">
        <v>4</v>
      </c>
      <c r="G72">
        <v>3.54</v>
      </c>
      <c r="H72" t="s">
        <v>10</v>
      </c>
      <c r="I72">
        <v>18.399999999999999</v>
      </c>
      <c r="J72" t="s">
        <v>14</v>
      </c>
      <c r="K72">
        <v>3.32</v>
      </c>
      <c r="L72" t="s">
        <v>52</v>
      </c>
      <c r="M72" s="8">
        <v>0.49</v>
      </c>
    </row>
    <row r="73" spans="1:13" x14ac:dyDescent="0.25">
      <c r="A73">
        <v>72</v>
      </c>
      <c r="B73">
        <v>8.6999999999999993</v>
      </c>
      <c r="C73">
        <v>3.2</v>
      </c>
      <c r="D73">
        <v>6.4</v>
      </c>
      <c r="E73">
        <v>1</v>
      </c>
      <c r="F73">
        <v>4.7</v>
      </c>
      <c r="G73">
        <v>3.37</v>
      </c>
      <c r="H73" t="s">
        <v>10</v>
      </c>
      <c r="I73">
        <v>17.599999999999998</v>
      </c>
      <c r="J73" t="s">
        <v>15</v>
      </c>
      <c r="K73">
        <v>3.24</v>
      </c>
      <c r="L73" t="s">
        <v>52</v>
      </c>
      <c r="M73" s="8">
        <v>0.49</v>
      </c>
    </row>
    <row r="74" spans="1:13" x14ac:dyDescent="0.25">
      <c r="A74">
        <v>73</v>
      </c>
      <c r="B74">
        <v>8.8000000000000007</v>
      </c>
      <c r="C74">
        <v>3.2</v>
      </c>
      <c r="D74">
        <v>10</v>
      </c>
      <c r="E74">
        <v>0.8</v>
      </c>
      <c r="F74">
        <v>1.2</v>
      </c>
      <c r="G74">
        <v>3.58</v>
      </c>
      <c r="H74" t="s">
        <v>10</v>
      </c>
      <c r="I74">
        <v>14</v>
      </c>
      <c r="J74" t="s">
        <v>14</v>
      </c>
      <c r="K74">
        <v>3.69</v>
      </c>
      <c r="L74" t="s">
        <v>52</v>
      </c>
      <c r="M74" s="8">
        <v>0.63</v>
      </c>
    </row>
    <row r="75" spans="1:13" x14ac:dyDescent="0.25">
      <c r="A75">
        <v>74</v>
      </c>
      <c r="B75">
        <v>6.7</v>
      </c>
      <c r="C75">
        <v>3.7</v>
      </c>
      <c r="D75">
        <v>9.3000000000000007</v>
      </c>
      <c r="E75">
        <v>1.8</v>
      </c>
      <c r="F75">
        <v>2.5</v>
      </c>
      <c r="G75">
        <v>2.89</v>
      </c>
      <c r="H75" t="s">
        <v>8</v>
      </c>
      <c r="I75">
        <v>14.700000000000001</v>
      </c>
      <c r="J75" t="s">
        <v>13</v>
      </c>
      <c r="K75">
        <v>2.16</v>
      </c>
      <c r="L75" t="s">
        <v>52</v>
      </c>
      <c r="M75" s="8">
        <v>0.46</v>
      </c>
    </row>
    <row r="76" spans="1:13" x14ac:dyDescent="0.25">
      <c r="A76">
        <v>75</v>
      </c>
      <c r="B76">
        <v>8.8000000000000007</v>
      </c>
      <c r="C76">
        <v>3</v>
      </c>
      <c r="D76">
        <v>5.5</v>
      </c>
      <c r="E76">
        <v>5.4</v>
      </c>
      <c r="F76">
        <v>1.3</v>
      </c>
      <c r="G76">
        <v>3.58</v>
      </c>
      <c r="H76" t="s">
        <v>10</v>
      </c>
      <c r="I76">
        <v>18.500000000000004</v>
      </c>
      <c r="J76" t="s">
        <v>14</v>
      </c>
      <c r="K76">
        <v>3.25</v>
      </c>
      <c r="L76" t="s">
        <v>52</v>
      </c>
      <c r="M76" s="8">
        <v>0.48</v>
      </c>
    </row>
    <row r="77" spans="1:13" x14ac:dyDescent="0.25">
      <c r="A77">
        <v>76</v>
      </c>
      <c r="B77">
        <v>6.6</v>
      </c>
      <c r="C77">
        <v>3.6</v>
      </c>
      <c r="D77">
        <v>6.9</v>
      </c>
      <c r="E77">
        <v>0.1</v>
      </c>
      <c r="F77">
        <v>6.8</v>
      </c>
      <c r="G77">
        <v>2.99</v>
      </c>
      <c r="H77" t="s">
        <v>8</v>
      </c>
      <c r="I77">
        <v>17.099999999999998</v>
      </c>
      <c r="J77" t="s">
        <v>13</v>
      </c>
      <c r="K77">
        <v>3.14</v>
      </c>
      <c r="L77" t="s">
        <v>52</v>
      </c>
      <c r="M77" s="8">
        <v>0.39</v>
      </c>
    </row>
    <row r="78" spans="1:13" x14ac:dyDescent="0.25">
      <c r="A78">
        <v>77</v>
      </c>
      <c r="B78">
        <v>9.5</v>
      </c>
      <c r="C78">
        <v>0.4</v>
      </c>
      <c r="D78">
        <v>6.6</v>
      </c>
      <c r="E78">
        <v>5.7</v>
      </c>
      <c r="F78">
        <v>1.8</v>
      </c>
      <c r="G78">
        <v>3.44</v>
      </c>
      <c r="H78" t="s">
        <v>10</v>
      </c>
      <c r="I78">
        <v>17.400000000000002</v>
      </c>
      <c r="J78" t="s">
        <v>15</v>
      </c>
      <c r="K78">
        <v>4.0999999999999996</v>
      </c>
      <c r="L78" t="s">
        <v>52</v>
      </c>
      <c r="M78" s="8">
        <v>0.55000000000000004</v>
      </c>
    </row>
    <row r="79" spans="1:13" x14ac:dyDescent="0.25">
      <c r="A79">
        <v>78</v>
      </c>
      <c r="B79">
        <v>8.1999999999999993</v>
      </c>
      <c r="C79">
        <v>1.8</v>
      </c>
      <c r="D79">
        <v>6.5</v>
      </c>
      <c r="E79">
        <v>2</v>
      </c>
      <c r="F79">
        <v>5.5</v>
      </c>
      <c r="G79">
        <v>3.35</v>
      </c>
      <c r="H79" t="s">
        <v>10</v>
      </c>
      <c r="I79">
        <v>17.5</v>
      </c>
      <c r="J79" t="s">
        <v>15</v>
      </c>
      <c r="K79">
        <v>3.06</v>
      </c>
      <c r="L79" t="s">
        <v>52</v>
      </c>
      <c r="M79" s="8">
        <v>0.47</v>
      </c>
    </row>
    <row r="80" spans="1:13" x14ac:dyDescent="0.25">
      <c r="A80">
        <v>79</v>
      </c>
      <c r="B80">
        <v>8.4</v>
      </c>
      <c r="C80">
        <v>3</v>
      </c>
      <c r="D80">
        <v>9</v>
      </c>
      <c r="E80">
        <v>2.8</v>
      </c>
      <c r="F80">
        <v>0.8</v>
      </c>
      <c r="G80">
        <v>3.26</v>
      </c>
      <c r="H80" t="s">
        <v>10</v>
      </c>
      <c r="I80">
        <v>15</v>
      </c>
      <c r="J80" t="s">
        <v>15</v>
      </c>
      <c r="K80">
        <v>3.26</v>
      </c>
      <c r="L80" t="s">
        <v>52</v>
      </c>
      <c r="M80" s="8">
        <v>0.56000000000000005</v>
      </c>
    </row>
    <row r="81" spans="1:13" x14ac:dyDescent="0.25">
      <c r="A81">
        <v>80</v>
      </c>
      <c r="B81">
        <v>5.3</v>
      </c>
      <c r="C81">
        <v>2.2000000000000002</v>
      </c>
      <c r="D81">
        <v>7.2</v>
      </c>
      <c r="E81">
        <v>5.3</v>
      </c>
      <c r="F81">
        <v>4</v>
      </c>
      <c r="G81">
        <v>2.62</v>
      </c>
      <c r="H81" t="s">
        <v>9</v>
      </c>
      <c r="I81">
        <v>16.8</v>
      </c>
      <c r="J81" t="s">
        <v>13</v>
      </c>
      <c r="K81">
        <v>1.47</v>
      </c>
      <c r="L81" t="s">
        <v>51</v>
      </c>
      <c r="M81" s="8">
        <v>0.32</v>
      </c>
    </row>
    <row r="82" spans="1:13" x14ac:dyDescent="0.25">
      <c r="A82">
        <v>81</v>
      </c>
      <c r="B82">
        <v>6.8</v>
      </c>
      <c r="C82">
        <v>0.5</v>
      </c>
      <c r="D82">
        <v>5.7</v>
      </c>
      <c r="E82">
        <v>4.5999999999999996</v>
      </c>
      <c r="F82">
        <v>6.4</v>
      </c>
      <c r="G82">
        <v>2.86</v>
      </c>
      <c r="H82" t="s">
        <v>10</v>
      </c>
      <c r="I82">
        <v>18.299999999999997</v>
      </c>
      <c r="J82" t="s">
        <v>13</v>
      </c>
      <c r="K82">
        <v>2.88</v>
      </c>
      <c r="L82" t="s">
        <v>52</v>
      </c>
      <c r="M82" s="8">
        <v>0.37</v>
      </c>
    </row>
    <row r="83" spans="1:13" x14ac:dyDescent="0.25">
      <c r="A83">
        <v>82</v>
      </c>
      <c r="B83">
        <v>5.4</v>
      </c>
      <c r="C83">
        <v>2.8</v>
      </c>
      <c r="D83">
        <v>5.4</v>
      </c>
      <c r="E83">
        <v>4.9000000000000004</v>
      </c>
      <c r="F83">
        <v>5.5</v>
      </c>
      <c r="G83">
        <v>2.86</v>
      </c>
      <c r="H83" t="s">
        <v>10</v>
      </c>
      <c r="I83">
        <v>18.600000000000001</v>
      </c>
      <c r="J83" t="s">
        <v>13</v>
      </c>
      <c r="K83">
        <v>1.26</v>
      </c>
      <c r="L83" t="s">
        <v>51</v>
      </c>
      <c r="M83" s="8">
        <v>0.28999999999999998</v>
      </c>
    </row>
    <row r="84" spans="1:13" x14ac:dyDescent="0.25">
      <c r="A84">
        <v>83</v>
      </c>
      <c r="B84">
        <v>8.5</v>
      </c>
      <c r="C84">
        <v>0.3</v>
      </c>
      <c r="D84">
        <v>5.4</v>
      </c>
      <c r="E84">
        <v>5.9</v>
      </c>
      <c r="F84">
        <v>3.9</v>
      </c>
      <c r="G84">
        <v>2.99</v>
      </c>
      <c r="H84" t="s">
        <v>10</v>
      </c>
      <c r="I84">
        <v>18.600000000000001</v>
      </c>
      <c r="J84" t="s">
        <v>13</v>
      </c>
      <c r="K84">
        <v>3.46</v>
      </c>
      <c r="L84" t="s">
        <v>52</v>
      </c>
      <c r="M84" s="8">
        <v>0.46</v>
      </c>
    </row>
    <row r="85" spans="1:13" x14ac:dyDescent="0.25">
      <c r="A85">
        <v>84</v>
      </c>
      <c r="B85">
        <v>9.1</v>
      </c>
      <c r="C85">
        <v>3.8</v>
      </c>
      <c r="D85">
        <v>9.9</v>
      </c>
      <c r="E85">
        <v>0.9</v>
      </c>
      <c r="F85">
        <v>0.3</v>
      </c>
      <c r="G85">
        <v>3.08</v>
      </c>
      <c r="H85" t="s">
        <v>10</v>
      </c>
      <c r="I85">
        <v>14.1</v>
      </c>
      <c r="J85" t="s">
        <v>15</v>
      </c>
      <c r="K85">
        <v>4.0199999999999996</v>
      </c>
      <c r="L85" t="s">
        <v>52</v>
      </c>
      <c r="M85" s="8">
        <v>0.65</v>
      </c>
    </row>
    <row r="86" spans="1:13" x14ac:dyDescent="0.25">
      <c r="A86">
        <v>85</v>
      </c>
      <c r="B86">
        <v>6.9</v>
      </c>
      <c r="C86">
        <v>0.3</v>
      </c>
      <c r="D86">
        <v>8.9</v>
      </c>
      <c r="E86">
        <v>3.4</v>
      </c>
      <c r="F86">
        <v>4.5</v>
      </c>
      <c r="G86">
        <v>3.21</v>
      </c>
      <c r="H86" t="s">
        <v>8</v>
      </c>
      <c r="I86">
        <v>15.1</v>
      </c>
      <c r="J86" t="s">
        <v>15</v>
      </c>
      <c r="K86">
        <v>2.74</v>
      </c>
      <c r="L86" t="s">
        <v>52</v>
      </c>
      <c r="M86" s="8">
        <v>0.46</v>
      </c>
    </row>
    <row r="87" spans="1:13" x14ac:dyDescent="0.25">
      <c r="A87">
        <v>86</v>
      </c>
      <c r="B87">
        <v>5.6</v>
      </c>
      <c r="C87">
        <v>2</v>
      </c>
      <c r="D87">
        <v>5.0999999999999996</v>
      </c>
      <c r="E87">
        <v>2.8</v>
      </c>
      <c r="F87">
        <v>8.5</v>
      </c>
      <c r="G87">
        <v>2.81</v>
      </c>
      <c r="H87" t="s">
        <v>10</v>
      </c>
      <c r="I87">
        <v>18.899999999999999</v>
      </c>
      <c r="J87" t="s">
        <v>13</v>
      </c>
      <c r="K87">
        <v>2.95</v>
      </c>
      <c r="L87" t="s">
        <v>52</v>
      </c>
      <c r="M87" s="8">
        <v>0.3</v>
      </c>
    </row>
    <row r="88" spans="1:13" x14ac:dyDescent="0.25">
      <c r="A88">
        <v>87</v>
      </c>
      <c r="B88">
        <v>5.3</v>
      </c>
      <c r="C88">
        <v>0.5</v>
      </c>
      <c r="D88">
        <v>5.6</v>
      </c>
      <c r="E88">
        <v>3.9</v>
      </c>
      <c r="F88">
        <v>8.6999999999999993</v>
      </c>
      <c r="G88">
        <v>2.9</v>
      </c>
      <c r="H88" t="s">
        <v>10</v>
      </c>
      <c r="I88">
        <v>18.399999999999999</v>
      </c>
      <c r="J88" t="s">
        <v>13</v>
      </c>
      <c r="K88">
        <v>3.4</v>
      </c>
      <c r="L88" t="s">
        <v>52</v>
      </c>
      <c r="M88" s="8">
        <v>0.28999999999999998</v>
      </c>
    </row>
    <row r="89" spans="1:13" x14ac:dyDescent="0.25">
      <c r="A89">
        <v>88</v>
      </c>
      <c r="B89">
        <v>9.8000000000000007</v>
      </c>
      <c r="C89">
        <v>1.5</v>
      </c>
      <c r="D89">
        <v>6.4</v>
      </c>
      <c r="E89">
        <v>5.2</v>
      </c>
      <c r="F89">
        <v>1.1000000000000001</v>
      </c>
      <c r="G89">
        <v>3.78</v>
      </c>
      <c r="H89" t="s">
        <v>10</v>
      </c>
      <c r="I89">
        <v>17.600000000000001</v>
      </c>
      <c r="J89" t="s">
        <v>14</v>
      </c>
      <c r="K89">
        <v>4.05</v>
      </c>
      <c r="L89" t="s">
        <v>52</v>
      </c>
      <c r="M89" s="8">
        <v>0.56000000000000005</v>
      </c>
    </row>
    <row r="90" spans="1:13" x14ac:dyDescent="0.25">
      <c r="A90">
        <v>89</v>
      </c>
      <c r="B90">
        <v>6.1</v>
      </c>
      <c r="C90">
        <v>3.9</v>
      </c>
      <c r="D90">
        <v>5.0999999999999996</v>
      </c>
      <c r="E90">
        <v>5.8</v>
      </c>
      <c r="F90">
        <v>3.1</v>
      </c>
      <c r="G90">
        <v>2.96</v>
      </c>
      <c r="H90" t="s">
        <v>10</v>
      </c>
      <c r="I90">
        <v>18.900000000000002</v>
      </c>
      <c r="J90" t="s">
        <v>13</v>
      </c>
      <c r="K90">
        <v>1.46</v>
      </c>
      <c r="L90" t="s">
        <v>51</v>
      </c>
      <c r="M90" s="8">
        <v>0.32</v>
      </c>
    </row>
    <row r="91" spans="1:13" x14ac:dyDescent="0.25">
      <c r="A91">
        <v>90</v>
      </c>
      <c r="B91">
        <v>5.4</v>
      </c>
      <c r="C91">
        <v>2.2000000000000002</v>
      </c>
      <c r="D91">
        <v>9.8000000000000007</v>
      </c>
      <c r="E91">
        <v>3.1</v>
      </c>
      <c r="F91">
        <v>3.5</v>
      </c>
      <c r="G91">
        <v>2.81</v>
      </c>
      <c r="H91" t="s">
        <v>9</v>
      </c>
      <c r="I91">
        <v>14.200000000000001</v>
      </c>
      <c r="J91" t="s">
        <v>13</v>
      </c>
      <c r="K91">
        <v>1.35</v>
      </c>
      <c r="L91" t="s">
        <v>51</v>
      </c>
      <c r="M91" s="8">
        <v>0.38</v>
      </c>
    </row>
    <row r="92" spans="1:13" x14ac:dyDescent="0.25">
      <c r="A92">
        <v>91</v>
      </c>
      <c r="B92">
        <v>8.1</v>
      </c>
      <c r="C92">
        <v>2.8</v>
      </c>
      <c r="D92">
        <v>7.3</v>
      </c>
      <c r="E92">
        <v>3.6</v>
      </c>
      <c r="F92">
        <v>2.2000000000000002</v>
      </c>
      <c r="G92">
        <v>3.39</v>
      </c>
      <c r="H92" t="s">
        <v>10</v>
      </c>
      <c r="I92">
        <v>16.7</v>
      </c>
      <c r="J92" t="s">
        <v>15</v>
      </c>
      <c r="K92">
        <v>2.68</v>
      </c>
      <c r="L92" t="s">
        <v>52</v>
      </c>
      <c r="M92" s="8">
        <v>0.49</v>
      </c>
    </row>
    <row r="93" spans="1:13" x14ac:dyDescent="0.25">
      <c r="A93">
        <v>92</v>
      </c>
      <c r="B93">
        <v>5.2</v>
      </c>
      <c r="C93">
        <v>1.1000000000000001</v>
      </c>
      <c r="D93">
        <v>9.8000000000000007</v>
      </c>
      <c r="E93">
        <v>5.3</v>
      </c>
      <c r="F93">
        <v>2.6</v>
      </c>
      <c r="G93">
        <v>2.82</v>
      </c>
      <c r="H93" t="s">
        <v>9</v>
      </c>
      <c r="I93">
        <v>14.200000000000001</v>
      </c>
      <c r="J93" t="s">
        <v>13</v>
      </c>
      <c r="K93">
        <v>2.06</v>
      </c>
      <c r="L93" t="s">
        <v>52</v>
      </c>
      <c r="M93" s="8">
        <v>0.37</v>
      </c>
    </row>
    <row r="94" spans="1:13" x14ac:dyDescent="0.25">
      <c r="A94">
        <v>93</v>
      </c>
      <c r="B94">
        <v>7.3</v>
      </c>
      <c r="C94">
        <v>2.5</v>
      </c>
      <c r="D94">
        <v>6.4</v>
      </c>
      <c r="E94">
        <v>1.1000000000000001</v>
      </c>
      <c r="F94">
        <v>6.7</v>
      </c>
      <c r="G94">
        <v>2.67</v>
      </c>
      <c r="H94" t="s">
        <v>8</v>
      </c>
      <c r="I94">
        <v>17.600000000000001</v>
      </c>
      <c r="J94" t="s">
        <v>13</v>
      </c>
      <c r="K94">
        <v>3.07</v>
      </c>
      <c r="L94" t="s">
        <v>52</v>
      </c>
      <c r="M94" s="8">
        <v>0.41</v>
      </c>
    </row>
    <row r="95" spans="1:13" x14ac:dyDescent="0.25">
      <c r="A95">
        <v>94</v>
      </c>
      <c r="B95">
        <v>7.9</v>
      </c>
      <c r="C95">
        <v>0.3</v>
      </c>
      <c r="D95">
        <v>9.9</v>
      </c>
      <c r="E95">
        <v>5.8</v>
      </c>
      <c r="F95">
        <v>0.1</v>
      </c>
      <c r="G95">
        <v>3.08</v>
      </c>
      <c r="H95" t="s">
        <v>8</v>
      </c>
      <c r="I95">
        <v>14.1</v>
      </c>
      <c r="J95" t="s">
        <v>15</v>
      </c>
      <c r="K95">
        <v>3.93</v>
      </c>
      <c r="L95" t="s">
        <v>52</v>
      </c>
      <c r="M95" s="8">
        <v>0.56000000000000005</v>
      </c>
    </row>
    <row r="96" spans="1:13" x14ac:dyDescent="0.25">
      <c r="A96">
        <v>95</v>
      </c>
      <c r="B96">
        <v>8.5</v>
      </c>
      <c r="C96">
        <v>2.1</v>
      </c>
      <c r="D96">
        <v>6.5</v>
      </c>
      <c r="E96">
        <v>4.9000000000000004</v>
      </c>
      <c r="F96">
        <v>2</v>
      </c>
      <c r="G96">
        <v>3.1</v>
      </c>
      <c r="H96" t="s">
        <v>10</v>
      </c>
      <c r="I96">
        <v>17.5</v>
      </c>
      <c r="J96" t="s">
        <v>15</v>
      </c>
      <c r="K96">
        <v>3.06</v>
      </c>
      <c r="L96" t="s">
        <v>52</v>
      </c>
      <c r="M96" s="8">
        <v>0.49</v>
      </c>
    </row>
    <row r="97" spans="1:13" x14ac:dyDescent="0.25">
      <c r="A97">
        <v>96</v>
      </c>
      <c r="B97">
        <v>9.6</v>
      </c>
      <c r="C97">
        <v>3.3</v>
      </c>
      <c r="D97">
        <v>9.6999999999999993</v>
      </c>
      <c r="E97">
        <v>1</v>
      </c>
      <c r="F97">
        <v>0.4</v>
      </c>
      <c r="G97">
        <v>3.54</v>
      </c>
      <c r="H97" t="s">
        <v>10</v>
      </c>
      <c r="I97">
        <v>14.299999999999999</v>
      </c>
      <c r="J97" t="s">
        <v>14</v>
      </c>
      <c r="K97">
        <v>4.21</v>
      </c>
      <c r="L97" t="s">
        <v>52</v>
      </c>
      <c r="M97" s="8">
        <v>0.67</v>
      </c>
    </row>
    <row r="98" spans="1:13" x14ac:dyDescent="0.25">
      <c r="A98">
        <v>97</v>
      </c>
      <c r="B98">
        <v>8.1</v>
      </c>
      <c r="C98">
        <v>1.7</v>
      </c>
      <c r="D98">
        <v>9.6999999999999993</v>
      </c>
      <c r="E98">
        <v>3.9</v>
      </c>
      <c r="F98">
        <v>0.6</v>
      </c>
      <c r="G98">
        <v>3.45</v>
      </c>
      <c r="H98" t="s">
        <v>10</v>
      </c>
      <c r="I98">
        <v>14.299999999999999</v>
      </c>
      <c r="J98" t="s">
        <v>15</v>
      </c>
      <c r="K98">
        <v>3.31</v>
      </c>
      <c r="L98" t="s">
        <v>52</v>
      </c>
      <c r="M98" s="8">
        <v>0.56999999999999995</v>
      </c>
    </row>
    <row r="99" spans="1:13" x14ac:dyDescent="0.25">
      <c r="A99">
        <v>98</v>
      </c>
      <c r="B99">
        <v>9.9</v>
      </c>
      <c r="C99">
        <v>0.6</v>
      </c>
      <c r="D99">
        <v>8</v>
      </c>
      <c r="E99">
        <v>2.1</v>
      </c>
      <c r="F99">
        <v>3.4</v>
      </c>
      <c r="G99">
        <v>3.39</v>
      </c>
      <c r="H99" t="s">
        <v>10</v>
      </c>
      <c r="I99">
        <v>16</v>
      </c>
      <c r="J99" t="s">
        <v>15</v>
      </c>
      <c r="K99">
        <v>4.0999999999999996</v>
      </c>
      <c r="L99" t="s">
        <v>52</v>
      </c>
      <c r="M99" s="8">
        <v>0.62</v>
      </c>
    </row>
    <row r="100" spans="1:13" x14ac:dyDescent="0.25">
      <c r="A100">
        <v>99</v>
      </c>
      <c r="B100">
        <v>9.8000000000000007</v>
      </c>
      <c r="C100">
        <v>3.4</v>
      </c>
      <c r="D100">
        <v>9.1999999999999993</v>
      </c>
      <c r="E100">
        <v>0.7</v>
      </c>
      <c r="F100">
        <v>0.9</v>
      </c>
      <c r="G100">
        <v>3.15</v>
      </c>
      <c r="H100" t="s">
        <v>10</v>
      </c>
      <c r="I100">
        <v>14.8</v>
      </c>
      <c r="J100" t="s">
        <v>15</v>
      </c>
      <c r="K100">
        <v>4.25</v>
      </c>
      <c r="L100" t="s">
        <v>52</v>
      </c>
      <c r="M100" s="8">
        <v>0.66</v>
      </c>
    </row>
    <row r="101" spans="1:13" x14ac:dyDescent="0.25">
      <c r="A101">
        <v>100</v>
      </c>
      <c r="B101">
        <v>5.3</v>
      </c>
      <c r="C101">
        <v>3.5</v>
      </c>
      <c r="D101">
        <v>9.1</v>
      </c>
      <c r="E101">
        <v>6</v>
      </c>
      <c r="F101">
        <v>0.1</v>
      </c>
      <c r="G101">
        <v>2.68</v>
      </c>
      <c r="H101" t="s">
        <v>9</v>
      </c>
      <c r="I101">
        <v>14.9</v>
      </c>
      <c r="J101" t="s">
        <v>13</v>
      </c>
      <c r="K101">
        <v>2.64</v>
      </c>
      <c r="L101" t="s">
        <v>52</v>
      </c>
      <c r="M101" s="8">
        <v>0.36</v>
      </c>
    </row>
    <row r="102" spans="1:13" x14ac:dyDescent="0.25">
      <c r="A102">
        <v>101</v>
      </c>
      <c r="B102">
        <v>10</v>
      </c>
      <c r="C102">
        <v>2.2000000000000002</v>
      </c>
      <c r="D102">
        <v>8.8000000000000007</v>
      </c>
      <c r="E102">
        <v>2.8</v>
      </c>
      <c r="F102">
        <v>0.2</v>
      </c>
      <c r="G102">
        <v>3.41</v>
      </c>
      <c r="H102" t="s">
        <v>10</v>
      </c>
      <c r="I102">
        <v>15.2</v>
      </c>
      <c r="J102" t="s">
        <v>15</v>
      </c>
      <c r="K102">
        <v>4.28</v>
      </c>
      <c r="L102" t="s">
        <v>52</v>
      </c>
      <c r="M102" s="8">
        <v>0.66</v>
      </c>
    </row>
    <row r="103" spans="1:13" x14ac:dyDescent="0.25">
      <c r="A103">
        <v>102</v>
      </c>
      <c r="B103">
        <v>7.3</v>
      </c>
      <c r="C103">
        <v>0.5</v>
      </c>
      <c r="D103">
        <v>9.8000000000000007</v>
      </c>
      <c r="E103">
        <v>3.6</v>
      </c>
      <c r="F103">
        <v>2.8</v>
      </c>
      <c r="G103">
        <v>3.22</v>
      </c>
      <c r="H103" t="s">
        <v>8</v>
      </c>
      <c r="I103">
        <v>14.2</v>
      </c>
      <c r="J103" t="s">
        <v>15</v>
      </c>
      <c r="K103">
        <v>2.82</v>
      </c>
      <c r="L103" t="s">
        <v>52</v>
      </c>
      <c r="M103" s="8">
        <v>0.51</v>
      </c>
    </row>
    <row r="104" spans="1:13" x14ac:dyDescent="0.25">
      <c r="A104">
        <v>103</v>
      </c>
      <c r="B104">
        <v>6.1</v>
      </c>
      <c r="C104">
        <v>2.7</v>
      </c>
      <c r="D104">
        <v>8.1</v>
      </c>
      <c r="E104">
        <v>2.1</v>
      </c>
      <c r="F104">
        <v>5</v>
      </c>
      <c r="G104">
        <v>2.98</v>
      </c>
      <c r="H104" t="s">
        <v>8</v>
      </c>
      <c r="I104">
        <v>15.9</v>
      </c>
      <c r="J104" t="s">
        <v>13</v>
      </c>
      <c r="K104">
        <v>1.89</v>
      </c>
      <c r="L104" t="s">
        <v>52</v>
      </c>
      <c r="M104" s="8">
        <v>0.38</v>
      </c>
    </row>
    <row r="105" spans="1:13" x14ac:dyDescent="0.25">
      <c r="A105">
        <v>104</v>
      </c>
      <c r="B105">
        <v>7.6</v>
      </c>
      <c r="C105">
        <v>3.1</v>
      </c>
      <c r="D105">
        <v>7.6</v>
      </c>
      <c r="E105">
        <v>4.9000000000000004</v>
      </c>
      <c r="F105">
        <v>0.8</v>
      </c>
      <c r="G105">
        <v>2.99</v>
      </c>
      <c r="H105" t="s">
        <v>8</v>
      </c>
      <c r="I105">
        <v>16.399999999999999</v>
      </c>
      <c r="J105" t="s">
        <v>13</v>
      </c>
      <c r="K105">
        <v>2.87</v>
      </c>
      <c r="L105" t="s">
        <v>52</v>
      </c>
      <c r="M105" s="8">
        <v>0.46</v>
      </c>
    </row>
    <row r="106" spans="1:13" x14ac:dyDescent="0.25">
      <c r="A106">
        <v>105</v>
      </c>
      <c r="B106">
        <v>7.8</v>
      </c>
      <c r="C106">
        <v>2.2000000000000002</v>
      </c>
      <c r="D106">
        <v>9.4</v>
      </c>
      <c r="E106">
        <v>1.9</v>
      </c>
      <c r="F106">
        <v>2.7</v>
      </c>
      <c r="G106">
        <v>3.3</v>
      </c>
      <c r="H106" t="s">
        <v>8</v>
      </c>
      <c r="I106">
        <v>14.600000000000001</v>
      </c>
      <c r="J106" t="s">
        <v>15</v>
      </c>
      <c r="K106">
        <v>2.79</v>
      </c>
      <c r="L106" t="s">
        <v>52</v>
      </c>
      <c r="M106" s="8">
        <v>0.53</v>
      </c>
    </row>
    <row r="107" spans="1:13" x14ac:dyDescent="0.25">
      <c r="A107">
        <v>106</v>
      </c>
      <c r="B107">
        <v>8.5</v>
      </c>
      <c r="C107">
        <v>0.9</v>
      </c>
      <c r="D107">
        <v>5.7</v>
      </c>
      <c r="E107">
        <v>0.1</v>
      </c>
      <c r="F107">
        <v>8.8000000000000007</v>
      </c>
      <c r="G107">
        <v>3.55</v>
      </c>
      <c r="H107" t="s">
        <v>10</v>
      </c>
      <c r="I107">
        <v>18.3</v>
      </c>
      <c r="J107" t="s">
        <v>14</v>
      </c>
      <c r="K107">
        <v>4.72</v>
      </c>
      <c r="L107" t="s">
        <v>52</v>
      </c>
      <c r="M107" s="8">
        <v>0.46</v>
      </c>
    </row>
    <row r="108" spans="1:13" x14ac:dyDescent="0.25">
      <c r="A108">
        <v>107</v>
      </c>
      <c r="B108">
        <v>6.8</v>
      </c>
      <c r="C108">
        <v>2.4</v>
      </c>
      <c r="D108">
        <v>7</v>
      </c>
      <c r="E108">
        <v>2.6</v>
      </c>
      <c r="F108">
        <v>5.2</v>
      </c>
      <c r="G108">
        <v>2.97</v>
      </c>
      <c r="H108" t="s">
        <v>8</v>
      </c>
      <c r="I108">
        <v>17</v>
      </c>
      <c r="J108" t="s">
        <v>13</v>
      </c>
      <c r="K108">
        <v>2.13</v>
      </c>
      <c r="L108" t="s">
        <v>52</v>
      </c>
      <c r="M108" s="8">
        <v>0.4</v>
      </c>
    </row>
    <row r="109" spans="1:13" x14ac:dyDescent="0.25">
      <c r="A109">
        <v>108</v>
      </c>
      <c r="B109">
        <v>7.6</v>
      </c>
      <c r="C109">
        <v>3.1</v>
      </c>
      <c r="D109">
        <v>7</v>
      </c>
      <c r="E109">
        <v>3.7</v>
      </c>
      <c r="F109">
        <v>2.6</v>
      </c>
      <c r="G109">
        <v>3.28</v>
      </c>
      <c r="H109" t="s">
        <v>8</v>
      </c>
      <c r="I109">
        <v>17</v>
      </c>
      <c r="J109" t="s">
        <v>15</v>
      </c>
      <c r="K109">
        <v>2.2799999999999998</v>
      </c>
      <c r="L109" t="s">
        <v>52</v>
      </c>
      <c r="M109" s="8">
        <v>0.45</v>
      </c>
    </row>
    <row r="110" spans="1:13" x14ac:dyDescent="0.25">
      <c r="A110">
        <v>109</v>
      </c>
      <c r="B110">
        <v>9.3000000000000007</v>
      </c>
      <c r="C110">
        <v>3.8</v>
      </c>
      <c r="D110">
        <v>5.7</v>
      </c>
      <c r="E110">
        <v>4.8</v>
      </c>
      <c r="F110">
        <v>0.4</v>
      </c>
      <c r="G110">
        <v>3.05</v>
      </c>
      <c r="H110" t="s">
        <v>10</v>
      </c>
      <c r="I110">
        <v>18.3</v>
      </c>
      <c r="J110" t="s">
        <v>15</v>
      </c>
      <c r="K110">
        <v>3.67</v>
      </c>
      <c r="L110" t="s">
        <v>52</v>
      </c>
      <c r="M110" s="8">
        <v>0.51</v>
      </c>
    </row>
    <row r="111" spans="1:13" x14ac:dyDescent="0.25">
      <c r="A111">
        <v>110</v>
      </c>
      <c r="B111">
        <v>7.3</v>
      </c>
      <c r="C111">
        <v>3.9</v>
      </c>
      <c r="D111">
        <v>7.5</v>
      </c>
      <c r="E111">
        <v>1.7</v>
      </c>
      <c r="F111">
        <v>3.6</v>
      </c>
      <c r="G111">
        <v>3.08</v>
      </c>
      <c r="H111" t="s">
        <v>8</v>
      </c>
      <c r="I111">
        <v>16.5</v>
      </c>
      <c r="J111" t="s">
        <v>15</v>
      </c>
      <c r="K111">
        <v>2.33</v>
      </c>
      <c r="L111" t="s">
        <v>52</v>
      </c>
      <c r="M111" s="8">
        <v>0.44</v>
      </c>
    </row>
    <row r="112" spans="1:13" x14ac:dyDescent="0.25">
      <c r="A112">
        <v>111</v>
      </c>
      <c r="B112">
        <v>8.1999999999999993</v>
      </c>
      <c r="C112">
        <v>1</v>
      </c>
      <c r="D112">
        <v>5.4</v>
      </c>
      <c r="E112">
        <v>0.8</v>
      </c>
      <c r="F112">
        <v>8.6</v>
      </c>
      <c r="G112">
        <v>3.3</v>
      </c>
      <c r="H112" t="s">
        <v>10</v>
      </c>
      <c r="I112">
        <v>18.600000000000001</v>
      </c>
      <c r="J112" t="s">
        <v>15</v>
      </c>
      <c r="K112">
        <v>4.33</v>
      </c>
      <c r="L112" t="s">
        <v>52</v>
      </c>
      <c r="M112" s="8">
        <v>0.44</v>
      </c>
    </row>
    <row r="113" spans="1:13" x14ac:dyDescent="0.25">
      <c r="A113">
        <v>112</v>
      </c>
      <c r="B113">
        <v>5.9</v>
      </c>
      <c r="C113">
        <v>1.4</v>
      </c>
      <c r="D113">
        <v>9.5</v>
      </c>
      <c r="E113">
        <v>2.8</v>
      </c>
      <c r="F113">
        <v>4.4000000000000004</v>
      </c>
      <c r="G113">
        <v>2.7</v>
      </c>
      <c r="H113" t="s">
        <v>9</v>
      </c>
      <c r="I113">
        <v>14.500000000000002</v>
      </c>
      <c r="J113" t="s">
        <v>13</v>
      </c>
      <c r="K113">
        <v>1.95</v>
      </c>
      <c r="L113" t="s">
        <v>52</v>
      </c>
      <c r="M113" s="8">
        <v>0.41</v>
      </c>
    </row>
    <row r="114" spans="1:13" x14ac:dyDescent="0.25">
      <c r="A114">
        <v>113</v>
      </c>
      <c r="B114">
        <v>8.3000000000000007</v>
      </c>
      <c r="C114">
        <v>0.7</v>
      </c>
      <c r="D114">
        <v>6</v>
      </c>
      <c r="E114">
        <v>0.2</v>
      </c>
      <c r="F114">
        <v>8.8000000000000007</v>
      </c>
      <c r="G114">
        <v>3.14</v>
      </c>
      <c r="H114" t="s">
        <v>10</v>
      </c>
      <c r="I114">
        <v>18</v>
      </c>
      <c r="J114" t="s">
        <v>15</v>
      </c>
      <c r="K114">
        <v>4.6900000000000004</v>
      </c>
      <c r="L114" t="s">
        <v>52</v>
      </c>
      <c r="M114" s="8">
        <v>0.46</v>
      </c>
    </row>
    <row r="115" spans="1:13" x14ac:dyDescent="0.25">
      <c r="A115">
        <v>114</v>
      </c>
      <c r="B115">
        <v>5.9</v>
      </c>
      <c r="C115">
        <v>0.4</v>
      </c>
      <c r="D115">
        <v>5.6</v>
      </c>
      <c r="E115">
        <v>2.8</v>
      </c>
      <c r="F115">
        <v>9.3000000000000007</v>
      </c>
      <c r="G115">
        <v>2.73</v>
      </c>
      <c r="H115" t="s">
        <v>10</v>
      </c>
      <c r="I115">
        <v>18.400000000000002</v>
      </c>
      <c r="J115" t="s">
        <v>13</v>
      </c>
      <c r="K115">
        <v>3.86</v>
      </c>
      <c r="L115" t="s">
        <v>52</v>
      </c>
      <c r="M115" s="8">
        <v>0.32</v>
      </c>
    </row>
    <row r="116" spans="1:13" x14ac:dyDescent="0.25">
      <c r="A116">
        <v>115</v>
      </c>
      <c r="B116">
        <v>6</v>
      </c>
      <c r="C116">
        <v>1.5</v>
      </c>
      <c r="D116">
        <v>7.5</v>
      </c>
      <c r="E116">
        <v>4.0999999999999996</v>
      </c>
      <c r="F116">
        <v>4.9000000000000004</v>
      </c>
      <c r="G116">
        <v>2.76</v>
      </c>
      <c r="H116" t="s">
        <v>8</v>
      </c>
      <c r="I116">
        <v>16.5</v>
      </c>
      <c r="J116" t="s">
        <v>13</v>
      </c>
      <c r="K116">
        <v>1.92</v>
      </c>
      <c r="L116" t="s">
        <v>52</v>
      </c>
      <c r="M116" s="8">
        <v>0.36</v>
      </c>
    </row>
    <row r="117" spans="1:13" x14ac:dyDescent="0.25">
      <c r="A117">
        <v>116</v>
      </c>
      <c r="B117">
        <v>9.4</v>
      </c>
      <c r="C117">
        <v>3.7</v>
      </c>
      <c r="D117">
        <v>5.3</v>
      </c>
      <c r="E117">
        <v>1.6</v>
      </c>
      <c r="F117">
        <v>4</v>
      </c>
      <c r="G117">
        <v>3.45</v>
      </c>
      <c r="H117" t="s">
        <v>10</v>
      </c>
      <c r="I117">
        <v>18.700000000000003</v>
      </c>
      <c r="J117" t="s">
        <v>15</v>
      </c>
      <c r="K117">
        <v>3.33</v>
      </c>
      <c r="L117" t="s">
        <v>52</v>
      </c>
      <c r="M117" s="8">
        <v>0.5</v>
      </c>
    </row>
    <row r="118" spans="1:13" x14ac:dyDescent="0.25">
      <c r="A118">
        <v>117</v>
      </c>
      <c r="B118">
        <v>9</v>
      </c>
      <c r="C118">
        <v>3</v>
      </c>
      <c r="D118">
        <v>5.9</v>
      </c>
      <c r="E118">
        <v>1.3</v>
      </c>
      <c r="F118">
        <v>4.8</v>
      </c>
      <c r="G118">
        <v>3.29</v>
      </c>
      <c r="H118" t="s">
        <v>10</v>
      </c>
      <c r="I118">
        <v>18.100000000000001</v>
      </c>
      <c r="J118" t="s">
        <v>15</v>
      </c>
      <c r="K118">
        <v>3.31</v>
      </c>
      <c r="L118" t="s">
        <v>52</v>
      </c>
      <c r="M118" s="8">
        <v>0.5</v>
      </c>
    </row>
    <row r="119" spans="1:13" x14ac:dyDescent="0.25">
      <c r="A119">
        <v>118</v>
      </c>
      <c r="B119">
        <v>8.1</v>
      </c>
      <c r="C119">
        <v>1.5</v>
      </c>
      <c r="D119">
        <v>7.3</v>
      </c>
      <c r="E119">
        <v>4.5</v>
      </c>
      <c r="F119">
        <v>2.6</v>
      </c>
      <c r="G119">
        <v>2.75</v>
      </c>
      <c r="H119" t="s">
        <v>10</v>
      </c>
      <c r="I119">
        <v>16.7</v>
      </c>
      <c r="J119" t="s">
        <v>13</v>
      </c>
      <c r="K119">
        <v>2.9</v>
      </c>
      <c r="L119" t="s">
        <v>52</v>
      </c>
      <c r="M119" s="8">
        <v>0.49</v>
      </c>
    </row>
    <row r="120" spans="1:13" x14ac:dyDescent="0.25">
      <c r="A120">
        <v>119</v>
      </c>
      <c r="B120">
        <v>5.2</v>
      </c>
      <c r="C120">
        <v>1</v>
      </c>
      <c r="D120">
        <v>8.6</v>
      </c>
      <c r="E120">
        <v>5.4</v>
      </c>
      <c r="F120">
        <v>3.8</v>
      </c>
      <c r="G120">
        <v>3.4</v>
      </c>
      <c r="H120" t="s">
        <v>9</v>
      </c>
      <c r="I120">
        <v>15.400000000000002</v>
      </c>
      <c r="J120" t="s">
        <v>15</v>
      </c>
      <c r="K120">
        <v>2.0299999999999998</v>
      </c>
      <c r="L120" t="s">
        <v>52</v>
      </c>
      <c r="M120" s="8">
        <v>0.34</v>
      </c>
    </row>
    <row r="121" spans="1:13" x14ac:dyDescent="0.25">
      <c r="A121">
        <v>120</v>
      </c>
      <c r="B121">
        <v>5.5</v>
      </c>
      <c r="C121">
        <v>1.8</v>
      </c>
      <c r="D121">
        <v>7.7</v>
      </c>
      <c r="E121">
        <v>1.5</v>
      </c>
      <c r="F121">
        <v>7.5</v>
      </c>
      <c r="G121">
        <v>3.05</v>
      </c>
      <c r="H121" t="s">
        <v>9</v>
      </c>
      <c r="I121">
        <v>16.3</v>
      </c>
      <c r="J121" t="s">
        <v>15</v>
      </c>
      <c r="K121">
        <v>2.92</v>
      </c>
      <c r="L121" t="s">
        <v>52</v>
      </c>
      <c r="M121" s="8">
        <v>0.34</v>
      </c>
    </row>
    <row r="122" spans="1:13" x14ac:dyDescent="0.25">
      <c r="A122">
        <v>121</v>
      </c>
      <c r="B122">
        <v>6.3</v>
      </c>
      <c r="C122">
        <v>1.5</v>
      </c>
      <c r="D122">
        <v>5.0999999999999996</v>
      </c>
      <c r="E122">
        <v>1.9</v>
      </c>
      <c r="F122">
        <v>9.1999999999999993</v>
      </c>
      <c r="G122">
        <v>2.82</v>
      </c>
      <c r="H122" t="s">
        <v>10</v>
      </c>
      <c r="I122">
        <v>18.899999999999999</v>
      </c>
      <c r="J122" t="s">
        <v>13</v>
      </c>
      <c r="K122">
        <v>3.69</v>
      </c>
      <c r="L122" t="s">
        <v>52</v>
      </c>
      <c r="M122" s="8">
        <v>0.33</v>
      </c>
    </row>
    <row r="123" spans="1:13" x14ac:dyDescent="0.25">
      <c r="A123">
        <v>122</v>
      </c>
      <c r="B123">
        <v>5.6</v>
      </c>
      <c r="C123">
        <v>3.6</v>
      </c>
      <c r="D123">
        <v>8</v>
      </c>
      <c r="E123">
        <v>4.0999999999999996</v>
      </c>
      <c r="F123">
        <v>2.7</v>
      </c>
      <c r="G123">
        <v>2.62</v>
      </c>
      <c r="H123" t="s">
        <v>9</v>
      </c>
      <c r="I123">
        <v>16</v>
      </c>
      <c r="J123" t="s">
        <v>13</v>
      </c>
      <c r="K123">
        <v>1.21</v>
      </c>
      <c r="L123" t="s">
        <v>51</v>
      </c>
      <c r="M123" s="8">
        <v>0.35</v>
      </c>
    </row>
    <row r="124" spans="1:13" x14ac:dyDescent="0.25">
      <c r="A124">
        <v>123</v>
      </c>
      <c r="B124">
        <v>8.9</v>
      </c>
      <c r="C124">
        <v>2</v>
      </c>
      <c r="D124">
        <v>5.4</v>
      </c>
      <c r="E124">
        <v>3.2</v>
      </c>
      <c r="F124">
        <v>4.5</v>
      </c>
      <c r="G124">
        <v>3.64</v>
      </c>
      <c r="H124" t="s">
        <v>10</v>
      </c>
      <c r="I124">
        <v>18.600000000000001</v>
      </c>
      <c r="J124" t="s">
        <v>14</v>
      </c>
      <c r="K124">
        <v>3.01</v>
      </c>
      <c r="L124" t="s">
        <v>52</v>
      </c>
      <c r="M124" s="8">
        <v>0.48</v>
      </c>
    </row>
    <row r="125" spans="1:13" x14ac:dyDescent="0.25">
      <c r="A125">
        <v>124</v>
      </c>
      <c r="B125">
        <v>7.2</v>
      </c>
      <c r="C125">
        <v>0.5</v>
      </c>
      <c r="D125">
        <v>6.4</v>
      </c>
      <c r="E125">
        <v>2.2000000000000002</v>
      </c>
      <c r="F125">
        <v>7.7</v>
      </c>
      <c r="G125">
        <v>3.19</v>
      </c>
      <c r="H125" t="s">
        <v>8</v>
      </c>
      <c r="I125">
        <v>17.600000000000001</v>
      </c>
      <c r="J125" t="s">
        <v>15</v>
      </c>
      <c r="K125">
        <v>3.6</v>
      </c>
      <c r="L125" t="s">
        <v>52</v>
      </c>
      <c r="M125" s="8">
        <v>0.41</v>
      </c>
    </row>
    <row r="126" spans="1:13" x14ac:dyDescent="0.25">
      <c r="A126">
        <v>125</v>
      </c>
      <c r="B126">
        <v>8.1999999999999993</v>
      </c>
      <c r="C126">
        <v>2.2999999999999998</v>
      </c>
      <c r="D126">
        <v>6.8</v>
      </c>
      <c r="E126">
        <v>5.9</v>
      </c>
      <c r="F126">
        <v>0.8</v>
      </c>
      <c r="G126">
        <v>2.95</v>
      </c>
      <c r="H126" t="s">
        <v>10</v>
      </c>
      <c r="I126">
        <v>17.2</v>
      </c>
      <c r="J126" t="s">
        <v>13</v>
      </c>
      <c r="K126">
        <v>3.37</v>
      </c>
      <c r="L126" t="s">
        <v>52</v>
      </c>
      <c r="M126" s="8">
        <v>0.48</v>
      </c>
    </row>
    <row r="127" spans="1:13" x14ac:dyDescent="0.25">
      <c r="A127">
        <v>126</v>
      </c>
      <c r="B127">
        <v>5.5</v>
      </c>
      <c r="C127">
        <v>0.6</v>
      </c>
      <c r="D127">
        <v>6.2</v>
      </c>
      <c r="E127">
        <v>1</v>
      </c>
      <c r="F127">
        <v>10.7</v>
      </c>
      <c r="G127">
        <v>2.94</v>
      </c>
      <c r="H127" t="s">
        <v>9</v>
      </c>
      <c r="I127">
        <v>17.799999999999997</v>
      </c>
      <c r="J127" t="s">
        <v>13</v>
      </c>
      <c r="K127">
        <v>4.72</v>
      </c>
      <c r="L127" t="s">
        <v>52</v>
      </c>
      <c r="M127" s="8">
        <v>0.31</v>
      </c>
    </row>
    <row r="128" spans="1:13" x14ac:dyDescent="0.25">
      <c r="A128">
        <v>127</v>
      </c>
      <c r="B128">
        <v>5.9</v>
      </c>
      <c r="C128">
        <v>1.1000000000000001</v>
      </c>
      <c r="D128">
        <v>5.9</v>
      </c>
      <c r="E128">
        <v>5.4</v>
      </c>
      <c r="F128">
        <v>5.7</v>
      </c>
      <c r="G128">
        <v>2.89</v>
      </c>
      <c r="H128" t="s">
        <v>10</v>
      </c>
      <c r="I128">
        <v>18.100000000000001</v>
      </c>
      <c r="J128" t="s">
        <v>13</v>
      </c>
      <c r="K128">
        <v>2.29</v>
      </c>
      <c r="L128" t="s">
        <v>52</v>
      </c>
      <c r="M128" s="8">
        <v>0.33</v>
      </c>
    </row>
    <row r="129" spans="1:13" x14ac:dyDescent="0.25">
      <c r="A129">
        <v>128</v>
      </c>
      <c r="B129">
        <v>7.1</v>
      </c>
      <c r="C129">
        <v>3.9</v>
      </c>
      <c r="D129">
        <v>5.6</v>
      </c>
      <c r="E129">
        <v>2.4</v>
      </c>
      <c r="F129">
        <v>5</v>
      </c>
      <c r="G129">
        <v>2.9</v>
      </c>
      <c r="H129" t="s">
        <v>10</v>
      </c>
      <c r="I129">
        <v>18.399999999999999</v>
      </c>
      <c r="J129" t="s">
        <v>13</v>
      </c>
      <c r="K129">
        <v>1.98</v>
      </c>
      <c r="L129" t="s">
        <v>52</v>
      </c>
      <c r="M129" s="8">
        <v>0.39</v>
      </c>
    </row>
    <row r="130" spans="1:13" x14ac:dyDescent="0.25">
      <c r="A130">
        <v>129</v>
      </c>
      <c r="B130">
        <v>9.8000000000000007</v>
      </c>
      <c r="C130">
        <v>3.5</v>
      </c>
      <c r="D130">
        <v>9.1</v>
      </c>
      <c r="E130">
        <v>0.4</v>
      </c>
      <c r="F130">
        <v>1.2</v>
      </c>
      <c r="G130">
        <v>3.57</v>
      </c>
      <c r="H130" t="s">
        <v>10</v>
      </c>
      <c r="I130">
        <v>14.9</v>
      </c>
      <c r="J130" t="s">
        <v>14</v>
      </c>
      <c r="K130">
        <v>4.26</v>
      </c>
      <c r="L130" t="s">
        <v>52</v>
      </c>
      <c r="M130" s="8">
        <v>0.66</v>
      </c>
    </row>
    <row r="131" spans="1:13" x14ac:dyDescent="0.25">
      <c r="A131">
        <v>130</v>
      </c>
      <c r="B131">
        <v>9.6</v>
      </c>
      <c r="C131">
        <v>2.2000000000000002</v>
      </c>
      <c r="D131">
        <v>7.9</v>
      </c>
      <c r="E131">
        <v>1.2</v>
      </c>
      <c r="F131">
        <v>3.1</v>
      </c>
      <c r="G131">
        <v>3.24</v>
      </c>
      <c r="H131" t="s">
        <v>10</v>
      </c>
      <c r="I131">
        <v>16.100000000000001</v>
      </c>
      <c r="J131" t="s">
        <v>15</v>
      </c>
      <c r="K131">
        <v>3.8</v>
      </c>
      <c r="L131" t="s">
        <v>52</v>
      </c>
      <c r="M131" s="8">
        <v>0.6</v>
      </c>
    </row>
    <row r="132" spans="1:13" x14ac:dyDescent="0.25">
      <c r="A132">
        <v>131</v>
      </c>
      <c r="B132">
        <v>8.8000000000000007</v>
      </c>
      <c r="C132">
        <v>0.7</v>
      </c>
      <c r="D132">
        <v>6.6</v>
      </c>
      <c r="E132">
        <v>2.6</v>
      </c>
      <c r="F132">
        <v>5.3</v>
      </c>
      <c r="G132">
        <v>2.99</v>
      </c>
      <c r="H132" t="s">
        <v>10</v>
      </c>
      <c r="I132">
        <v>17.399999999999999</v>
      </c>
      <c r="J132" t="s">
        <v>13</v>
      </c>
      <c r="K132">
        <v>3.52</v>
      </c>
      <c r="L132" t="s">
        <v>52</v>
      </c>
      <c r="M132" s="8">
        <v>0.51</v>
      </c>
    </row>
    <row r="133" spans="1:13" x14ac:dyDescent="0.25">
      <c r="A133">
        <v>132</v>
      </c>
      <c r="B133">
        <v>5.6</v>
      </c>
      <c r="C133">
        <v>2.4</v>
      </c>
      <c r="D133">
        <v>6.4</v>
      </c>
      <c r="E133">
        <v>3.5</v>
      </c>
      <c r="F133">
        <v>6.1</v>
      </c>
      <c r="G133">
        <v>2.85</v>
      </c>
      <c r="H133" t="s">
        <v>9</v>
      </c>
      <c r="I133">
        <v>17.600000000000001</v>
      </c>
      <c r="J133" t="s">
        <v>13</v>
      </c>
      <c r="K133">
        <v>1.75</v>
      </c>
      <c r="L133" t="s">
        <v>52</v>
      </c>
      <c r="M133" s="8">
        <v>0.32</v>
      </c>
    </row>
    <row r="134" spans="1:13" x14ac:dyDescent="0.25">
      <c r="A134">
        <v>133</v>
      </c>
      <c r="B134">
        <v>5.8</v>
      </c>
      <c r="C134">
        <v>1.9</v>
      </c>
      <c r="D134">
        <v>7.7</v>
      </c>
      <c r="E134">
        <v>0.3</v>
      </c>
      <c r="F134">
        <v>8.3000000000000007</v>
      </c>
      <c r="G134">
        <v>2.7</v>
      </c>
      <c r="H134" t="s">
        <v>9</v>
      </c>
      <c r="I134">
        <v>16.3</v>
      </c>
      <c r="J134" t="s">
        <v>13</v>
      </c>
      <c r="K134">
        <v>3.64</v>
      </c>
      <c r="L134" t="s">
        <v>52</v>
      </c>
      <c r="M134" s="8">
        <v>0.36</v>
      </c>
    </row>
    <row r="135" spans="1:13" x14ac:dyDescent="0.25">
      <c r="A135">
        <v>134</v>
      </c>
      <c r="B135">
        <v>5.3</v>
      </c>
      <c r="C135">
        <v>4</v>
      </c>
      <c r="D135">
        <v>6.6</v>
      </c>
      <c r="E135">
        <v>4.9000000000000004</v>
      </c>
      <c r="F135">
        <v>3.2</v>
      </c>
      <c r="G135">
        <v>2.72</v>
      </c>
      <c r="H135" t="s">
        <v>9</v>
      </c>
      <c r="I135">
        <v>17.400000000000002</v>
      </c>
      <c r="J135" t="s">
        <v>13</v>
      </c>
      <c r="K135">
        <v>0.94</v>
      </c>
      <c r="L135" t="s">
        <v>51</v>
      </c>
      <c r="M135" s="8">
        <v>0.3</v>
      </c>
    </row>
    <row r="136" spans="1:13" x14ac:dyDescent="0.25">
      <c r="A136">
        <v>135</v>
      </c>
      <c r="B136">
        <v>6.3</v>
      </c>
      <c r="C136">
        <v>2.7</v>
      </c>
      <c r="D136">
        <v>8.8000000000000007</v>
      </c>
      <c r="E136">
        <v>3.6</v>
      </c>
      <c r="F136">
        <v>2.6</v>
      </c>
      <c r="G136">
        <v>2.4500000000000002</v>
      </c>
      <c r="H136" t="s">
        <v>8</v>
      </c>
      <c r="I136">
        <v>15.2</v>
      </c>
      <c r="J136" t="s">
        <v>16</v>
      </c>
      <c r="K136">
        <v>1.73</v>
      </c>
      <c r="L136" t="s">
        <v>52</v>
      </c>
      <c r="M136" s="8">
        <v>0.41</v>
      </c>
    </row>
    <row r="137" spans="1:13" x14ac:dyDescent="0.25">
      <c r="A137">
        <v>136</v>
      </c>
      <c r="B137">
        <v>6.7</v>
      </c>
      <c r="C137">
        <v>3.7</v>
      </c>
      <c r="D137">
        <v>9.1999999999999993</v>
      </c>
      <c r="E137">
        <v>4.2</v>
      </c>
      <c r="F137">
        <v>0.2</v>
      </c>
      <c r="G137">
        <v>2.85</v>
      </c>
      <c r="H137" t="s">
        <v>8</v>
      </c>
      <c r="I137">
        <v>14.8</v>
      </c>
      <c r="J137" t="s">
        <v>13</v>
      </c>
      <c r="K137">
        <v>2.68</v>
      </c>
      <c r="L137" t="s">
        <v>52</v>
      </c>
      <c r="M137" s="8">
        <v>0.45</v>
      </c>
    </row>
    <row r="138" spans="1:13" x14ac:dyDescent="0.25">
      <c r="A138">
        <v>137</v>
      </c>
      <c r="B138">
        <v>5.6</v>
      </c>
      <c r="C138">
        <v>2.9</v>
      </c>
      <c r="D138">
        <v>9.6999999999999993</v>
      </c>
      <c r="E138">
        <v>1.1000000000000001</v>
      </c>
      <c r="F138">
        <v>4.7</v>
      </c>
      <c r="G138">
        <v>2.86</v>
      </c>
      <c r="H138" t="s">
        <v>9</v>
      </c>
      <c r="I138">
        <v>14.3</v>
      </c>
      <c r="J138" t="s">
        <v>13</v>
      </c>
      <c r="K138">
        <v>2</v>
      </c>
      <c r="L138" t="s">
        <v>52</v>
      </c>
      <c r="M138" s="8">
        <v>0.39</v>
      </c>
    </row>
    <row r="139" spans="1:13" x14ac:dyDescent="0.25">
      <c r="A139">
        <v>138</v>
      </c>
      <c r="B139">
        <v>7.9</v>
      </c>
      <c r="C139">
        <v>3.4</v>
      </c>
      <c r="D139">
        <v>5.7</v>
      </c>
      <c r="E139">
        <v>4.8</v>
      </c>
      <c r="F139">
        <v>2.2000000000000002</v>
      </c>
      <c r="G139">
        <v>3.15</v>
      </c>
      <c r="H139" t="s">
        <v>10</v>
      </c>
      <c r="I139">
        <v>18.3</v>
      </c>
      <c r="J139" t="s">
        <v>15</v>
      </c>
      <c r="K139">
        <v>2.46</v>
      </c>
      <c r="L139" t="s">
        <v>52</v>
      </c>
      <c r="M139" s="8">
        <v>0.43</v>
      </c>
    </row>
    <row r="140" spans="1:13" x14ac:dyDescent="0.25">
      <c r="A140">
        <v>139</v>
      </c>
      <c r="B140">
        <v>6</v>
      </c>
      <c r="C140">
        <v>0.7</v>
      </c>
      <c r="D140">
        <v>5.8</v>
      </c>
      <c r="E140">
        <v>4.9000000000000004</v>
      </c>
      <c r="F140">
        <v>6.6</v>
      </c>
      <c r="G140">
        <v>2.96</v>
      </c>
      <c r="H140" t="s">
        <v>10</v>
      </c>
      <c r="I140">
        <v>18.200000000000003</v>
      </c>
      <c r="J140" t="s">
        <v>13</v>
      </c>
      <c r="K140">
        <v>2.66</v>
      </c>
      <c r="L140" t="s">
        <v>52</v>
      </c>
      <c r="M140" s="8">
        <v>0.33</v>
      </c>
    </row>
    <row r="141" spans="1:13" x14ac:dyDescent="0.25">
      <c r="A141">
        <v>140</v>
      </c>
      <c r="B141">
        <v>6.8</v>
      </c>
      <c r="C141">
        <v>3.5</v>
      </c>
      <c r="D141">
        <v>7</v>
      </c>
      <c r="E141">
        <v>4.9000000000000004</v>
      </c>
      <c r="F141">
        <v>1.8</v>
      </c>
      <c r="G141">
        <v>3.44</v>
      </c>
      <c r="H141" t="s">
        <v>8</v>
      </c>
      <c r="I141">
        <v>17</v>
      </c>
      <c r="J141" t="s">
        <v>15</v>
      </c>
      <c r="K141">
        <v>2.12</v>
      </c>
      <c r="L141" t="s">
        <v>52</v>
      </c>
      <c r="M141" s="8">
        <v>0.4</v>
      </c>
    </row>
    <row r="142" spans="1:13" x14ac:dyDescent="0.25">
      <c r="A142">
        <v>141</v>
      </c>
      <c r="B142">
        <v>7.2</v>
      </c>
      <c r="C142">
        <v>1.5</v>
      </c>
      <c r="D142">
        <v>7.3</v>
      </c>
      <c r="E142">
        <v>1.8</v>
      </c>
      <c r="F142">
        <v>6.2</v>
      </c>
      <c r="G142">
        <v>3.08</v>
      </c>
      <c r="H142" t="s">
        <v>8</v>
      </c>
      <c r="I142">
        <v>16.7</v>
      </c>
      <c r="J142" t="s">
        <v>15</v>
      </c>
      <c r="K142">
        <v>2.95</v>
      </c>
      <c r="L142" t="s">
        <v>52</v>
      </c>
      <c r="M142" s="8">
        <v>0.43</v>
      </c>
    </row>
    <row r="143" spans="1:13" x14ac:dyDescent="0.25">
      <c r="A143">
        <v>142</v>
      </c>
      <c r="B143">
        <v>6.2</v>
      </c>
      <c r="C143">
        <v>3.6</v>
      </c>
      <c r="D143">
        <v>6.9</v>
      </c>
      <c r="E143">
        <v>3.3</v>
      </c>
      <c r="F143">
        <v>4</v>
      </c>
      <c r="G143">
        <v>3.27</v>
      </c>
      <c r="H143" t="s">
        <v>8</v>
      </c>
      <c r="I143">
        <v>17.100000000000001</v>
      </c>
      <c r="J143" t="s">
        <v>15</v>
      </c>
      <c r="K143">
        <v>1.31</v>
      </c>
      <c r="L143" t="s">
        <v>51</v>
      </c>
      <c r="M143" s="8">
        <v>0.36</v>
      </c>
    </row>
    <row r="144" spans="1:13" x14ac:dyDescent="0.25">
      <c r="A144">
        <v>143</v>
      </c>
      <c r="B144">
        <v>9.5</v>
      </c>
      <c r="C144">
        <v>2.5</v>
      </c>
      <c r="D144">
        <v>5.6</v>
      </c>
      <c r="E144">
        <v>5.6</v>
      </c>
      <c r="F144">
        <v>0.8</v>
      </c>
      <c r="G144">
        <v>3.13</v>
      </c>
      <c r="H144" t="s">
        <v>10</v>
      </c>
      <c r="I144">
        <v>18.400000000000002</v>
      </c>
      <c r="J144" t="s">
        <v>15</v>
      </c>
      <c r="K144">
        <v>3.82</v>
      </c>
      <c r="L144" t="s">
        <v>52</v>
      </c>
      <c r="M144" s="8">
        <v>0.52</v>
      </c>
    </row>
    <row r="145" spans="1:13" x14ac:dyDescent="0.25">
      <c r="A145">
        <v>144</v>
      </c>
      <c r="B145">
        <v>5.7</v>
      </c>
      <c r="C145">
        <v>3.2</v>
      </c>
      <c r="D145">
        <v>8.1</v>
      </c>
      <c r="E145">
        <v>3.2</v>
      </c>
      <c r="F145">
        <v>3.8</v>
      </c>
      <c r="G145">
        <v>3.08</v>
      </c>
      <c r="H145" t="s">
        <v>9</v>
      </c>
      <c r="I145">
        <v>15.900000000000002</v>
      </c>
      <c r="J145" t="s">
        <v>15</v>
      </c>
      <c r="K145">
        <v>1.18</v>
      </c>
      <c r="L145" t="s">
        <v>51</v>
      </c>
      <c r="M145" s="8">
        <v>0.36</v>
      </c>
    </row>
    <row r="146" spans="1:13" x14ac:dyDescent="0.25">
      <c r="A146">
        <v>145</v>
      </c>
      <c r="B146">
        <v>9.5</v>
      </c>
      <c r="C146">
        <v>3.2</v>
      </c>
      <c r="D146">
        <v>5.8</v>
      </c>
      <c r="E146">
        <v>1.7</v>
      </c>
      <c r="F146">
        <v>3.8</v>
      </c>
      <c r="G146">
        <v>3.59</v>
      </c>
      <c r="H146" t="s">
        <v>10</v>
      </c>
      <c r="I146">
        <v>18.2</v>
      </c>
      <c r="J146" t="s">
        <v>14</v>
      </c>
      <c r="K146">
        <v>3.42</v>
      </c>
      <c r="L146" t="s">
        <v>52</v>
      </c>
      <c r="M146" s="8">
        <v>0.52</v>
      </c>
    </row>
    <row r="147" spans="1:13" x14ac:dyDescent="0.25">
      <c r="A147">
        <v>146</v>
      </c>
      <c r="B147">
        <v>5.2</v>
      </c>
      <c r="C147">
        <v>2.2999999999999998</v>
      </c>
      <c r="D147">
        <v>8.8000000000000007</v>
      </c>
      <c r="E147">
        <v>5.3</v>
      </c>
      <c r="F147">
        <v>2.4</v>
      </c>
      <c r="G147">
        <v>2.61</v>
      </c>
      <c r="H147" t="s">
        <v>9</v>
      </c>
      <c r="I147">
        <v>15.200000000000001</v>
      </c>
      <c r="J147" t="s">
        <v>13</v>
      </c>
      <c r="K147">
        <v>1.68</v>
      </c>
      <c r="L147" t="s">
        <v>52</v>
      </c>
      <c r="M147" s="8">
        <v>0.34</v>
      </c>
    </row>
    <row r="148" spans="1:13" x14ac:dyDescent="0.25">
      <c r="A148">
        <v>147</v>
      </c>
      <c r="B148">
        <v>6.7</v>
      </c>
      <c r="C148">
        <v>3.3</v>
      </c>
      <c r="D148">
        <v>5.6</v>
      </c>
      <c r="E148">
        <v>5.0999999999999996</v>
      </c>
      <c r="F148">
        <v>3.3</v>
      </c>
      <c r="G148">
        <v>2.95</v>
      </c>
      <c r="H148" t="s">
        <v>10</v>
      </c>
      <c r="I148">
        <v>18.399999999999999</v>
      </c>
      <c r="J148" t="s">
        <v>13</v>
      </c>
      <c r="K148">
        <v>1.64</v>
      </c>
      <c r="L148" t="s">
        <v>52</v>
      </c>
      <c r="M148" s="8">
        <v>0.36</v>
      </c>
    </row>
    <row r="149" spans="1:13" x14ac:dyDescent="0.25">
      <c r="A149">
        <v>148</v>
      </c>
      <c r="B149">
        <v>9</v>
      </c>
      <c r="C149">
        <v>0.6</v>
      </c>
      <c r="D149">
        <v>6.1</v>
      </c>
      <c r="E149">
        <v>4.3</v>
      </c>
      <c r="F149">
        <v>4</v>
      </c>
      <c r="G149">
        <v>3.15</v>
      </c>
      <c r="H149" t="s">
        <v>10</v>
      </c>
      <c r="I149">
        <v>17.899999999999999</v>
      </c>
      <c r="J149" t="s">
        <v>15</v>
      </c>
      <c r="K149">
        <v>3.45</v>
      </c>
      <c r="L149" t="s">
        <v>52</v>
      </c>
      <c r="M149" s="8">
        <v>0.5</v>
      </c>
    </row>
    <row r="150" spans="1:13" x14ac:dyDescent="0.25">
      <c r="A150">
        <v>149</v>
      </c>
      <c r="B150">
        <v>8.6</v>
      </c>
      <c r="C150">
        <v>2.6</v>
      </c>
      <c r="D150">
        <v>8.5</v>
      </c>
      <c r="E150">
        <v>2.2999999999999998</v>
      </c>
      <c r="F150">
        <v>2</v>
      </c>
      <c r="G150">
        <v>3.14</v>
      </c>
      <c r="H150" t="s">
        <v>10</v>
      </c>
      <c r="I150">
        <v>15.5</v>
      </c>
      <c r="J150" t="s">
        <v>15</v>
      </c>
      <c r="K150">
        <v>3.16</v>
      </c>
      <c r="L150" t="s">
        <v>52</v>
      </c>
      <c r="M150" s="8">
        <v>0.55000000000000004</v>
      </c>
    </row>
    <row r="151" spans="1:13" x14ac:dyDescent="0.25">
      <c r="A151">
        <v>150</v>
      </c>
      <c r="B151">
        <v>5.9</v>
      </c>
      <c r="C151">
        <v>3.6</v>
      </c>
      <c r="D151">
        <v>7.9</v>
      </c>
      <c r="E151">
        <v>2.4</v>
      </c>
      <c r="F151">
        <v>4.2</v>
      </c>
      <c r="G151">
        <v>2.64</v>
      </c>
      <c r="H151" t="s">
        <v>9</v>
      </c>
      <c r="I151">
        <v>16.100000000000001</v>
      </c>
      <c r="J151" t="s">
        <v>13</v>
      </c>
      <c r="K151">
        <v>1.46</v>
      </c>
      <c r="L151" t="s">
        <v>51</v>
      </c>
      <c r="M151" s="8">
        <v>0.37</v>
      </c>
    </row>
    <row r="152" spans="1:13" x14ac:dyDescent="0.25">
      <c r="A152">
        <v>151</v>
      </c>
      <c r="B152">
        <v>7.3</v>
      </c>
      <c r="C152">
        <v>3.8</v>
      </c>
      <c r="D152">
        <v>5.8</v>
      </c>
      <c r="E152">
        <v>3.5</v>
      </c>
      <c r="F152">
        <v>3.6</v>
      </c>
      <c r="G152">
        <v>3.58</v>
      </c>
      <c r="H152" t="s">
        <v>10</v>
      </c>
      <c r="I152">
        <v>18.2</v>
      </c>
      <c r="J152" t="s">
        <v>14</v>
      </c>
      <c r="K152">
        <v>1.84</v>
      </c>
      <c r="L152" t="s">
        <v>52</v>
      </c>
      <c r="M152" s="8">
        <v>0.4</v>
      </c>
    </row>
    <row r="153" spans="1:13" x14ac:dyDescent="0.25">
      <c r="A153">
        <v>152</v>
      </c>
      <c r="B153">
        <v>5.0999999999999996</v>
      </c>
      <c r="C153">
        <v>3.5</v>
      </c>
      <c r="D153">
        <v>9.6999999999999993</v>
      </c>
      <c r="E153">
        <v>3.2</v>
      </c>
      <c r="F153">
        <v>2.5</v>
      </c>
      <c r="G153">
        <v>2.79</v>
      </c>
      <c r="H153" t="s">
        <v>9</v>
      </c>
      <c r="I153">
        <v>14.3</v>
      </c>
      <c r="J153" t="s">
        <v>13</v>
      </c>
      <c r="K153">
        <v>1.1000000000000001</v>
      </c>
      <c r="L153" t="s">
        <v>51</v>
      </c>
      <c r="M153" s="8">
        <v>0.36</v>
      </c>
    </row>
    <row r="154" spans="1:13" x14ac:dyDescent="0.25">
      <c r="A154">
        <v>153</v>
      </c>
      <c r="B154">
        <v>8.5</v>
      </c>
      <c r="C154">
        <v>3.7</v>
      </c>
      <c r="D154">
        <v>8.5</v>
      </c>
      <c r="E154">
        <v>0.5</v>
      </c>
      <c r="F154">
        <v>2.8</v>
      </c>
      <c r="G154">
        <v>3.65</v>
      </c>
      <c r="H154" t="s">
        <v>10</v>
      </c>
      <c r="I154">
        <v>15.5</v>
      </c>
      <c r="J154" t="s">
        <v>14</v>
      </c>
      <c r="K154">
        <v>3.36</v>
      </c>
      <c r="L154" t="s">
        <v>52</v>
      </c>
      <c r="M154" s="8">
        <v>0.55000000000000004</v>
      </c>
    </row>
    <row r="155" spans="1:13" x14ac:dyDescent="0.25">
      <c r="A155">
        <v>154</v>
      </c>
      <c r="B155">
        <v>7.1</v>
      </c>
      <c r="C155">
        <v>2.9</v>
      </c>
      <c r="D155">
        <v>9.6999999999999993</v>
      </c>
      <c r="E155">
        <v>4</v>
      </c>
      <c r="F155">
        <v>0.3</v>
      </c>
      <c r="G155">
        <v>3.33</v>
      </c>
      <c r="H155" t="s">
        <v>8</v>
      </c>
      <c r="I155">
        <v>14.3</v>
      </c>
      <c r="J155" t="s">
        <v>15</v>
      </c>
      <c r="K155">
        <v>2.82</v>
      </c>
      <c r="L155" t="s">
        <v>52</v>
      </c>
      <c r="M155" s="8">
        <v>0.5</v>
      </c>
    </row>
    <row r="156" spans="1:13" x14ac:dyDescent="0.25">
      <c r="A156">
        <v>155</v>
      </c>
      <c r="B156">
        <v>7.3</v>
      </c>
      <c r="C156">
        <v>0.5</v>
      </c>
      <c r="D156">
        <v>9.9</v>
      </c>
      <c r="E156">
        <v>5</v>
      </c>
      <c r="F156">
        <v>1.3</v>
      </c>
      <c r="G156">
        <v>3.11</v>
      </c>
      <c r="H156" t="s">
        <v>8</v>
      </c>
      <c r="I156">
        <v>14.100000000000001</v>
      </c>
      <c r="J156" t="s">
        <v>15</v>
      </c>
      <c r="K156">
        <v>3.19</v>
      </c>
      <c r="L156" t="s">
        <v>52</v>
      </c>
      <c r="M156" s="8">
        <v>0.52</v>
      </c>
    </row>
    <row r="157" spans="1:13" x14ac:dyDescent="0.25">
      <c r="A157">
        <v>156</v>
      </c>
      <c r="B157">
        <v>8</v>
      </c>
      <c r="C157">
        <v>1.6</v>
      </c>
      <c r="D157">
        <v>5.3</v>
      </c>
      <c r="E157">
        <v>2</v>
      </c>
      <c r="F157">
        <v>7.1</v>
      </c>
      <c r="G157">
        <v>3.42</v>
      </c>
      <c r="H157" t="s">
        <v>10</v>
      </c>
      <c r="I157">
        <v>18.7</v>
      </c>
      <c r="J157" t="s">
        <v>15</v>
      </c>
      <c r="K157">
        <v>3.34</v>
      </c>
      <c r="L157" t="s">
        <v>52</v>
      </c>
      <c r="M157" s="8">
        <v>0.43</v>
      </c>
    </row>
    <row r="158" spans="1:13" x14ac:dyDescent="0.25">
      <c r="A158">
        <v>157</v>
      </c>
      <c r="B158">
        <v>9</v>
      </c>
      <c r="C158">
        <v>0</v>
      </c>
      <c r="D158">
        <v>6.7</v>
      </c>
      <c r="E158">
        <v>2.4</v>
      </c>
      <c r="F158">
        <v>5.9</v>
      </c>
      <c r="G158">
        <v>3.51</v>
      </c>
      <c r="H158" t="s">
        <v>10</v>
      </c>
      <c r="I158">
        <v>17.3</v>
      </c>
      <c r="J158" t="s">
        <v>14</v>
      </c>
      <c r="K158">
        <v>3.95</v>
      </c>
      <c r="L158" t="s">
        <v>52</v>
      </c>
      <c r="M158" s="8">
        <v>0.52</v>
      </c>
    </row>
    <row r="159" spans="1:13" x14ac:dyDescent="0.25">
      <c r="A159">
        <v>158</v>
      </c>
      <c r="B159">
        <v>6.7</v>
      </c>
      <c r="C159">
        <v>1.4</v>
      </c>
      <c r="D159">
        <v>8.6999999999999993</v>
      </c>
      <c r="E159">
        <v>2.7</v>
      </c>
      <c r="F159">
        <v>4.5</v>
      </c>
      <c r="G159">
        <v>3.02</v>
      </c>
      <c r="H159" t="s">
        <v>8</v>
      </c>
      <c r="I159">
        <v>15.3</v>
      </c>
      <c r="J159" t="s">
        <v>15</v>
      </c>
      <c r="K159">
        <v>2.2999999999999998</v>
      </c>
      <c r="L159" t="s">
        <v>52</v>
      </c>
      <c r="M159" s="8">
        <v>0.44</v>
      </c>
    </row>
    <row r="160" spans="1:13" x14ac:dyDescent="0.25">
      <c r="A160">
        <v>159</v>
      </c>
      <c r="B160">
        <v>6.1</v>
      </c>
      <c r="C160">
        <v>1.8</v>
      </c>
      <c r="D160">
        <v>5.7</v>
      </c>
      <c r="E160">
        <v>1.1000000000000001</v>
      </c>
      <c r="F160">
        <v>9.3000000000000007</v>
      </c>
      <c r="G160">
        <v>2.38</v>
      </c>
      <c r="H160" t="s">
        <v>10</v>
      </c>
      <c r="I160">
        <v>18.3</v>
      </c>
      <c r="J160" t="s">
        <v>16</v>
      </c>
      <c r="K160">
        <v>3.85</v>
      </c>
      <c r="L160" t="s">
        <v>52</v>
      </c>
      <c r="M160" s="8">
        <v>0.33</v>
      </c>
    </row>
    <row r="161" spans="1:13" x14ac:dyDescent="0.25">
      <c r="A161">
        <v>160</v>
      </c>
      <c r="B161">
        <v>9.6</v>
      </c>
      <c r="C161">
        <v>1.4</v>
      </c>
      <c r="D161">
        <v>7.9</v>
      </c>
      <c r="E161">
        <v>3.2</v>
      </c>
      <c r="F161">
        <v>1.9</v>
      </c>
      <c r="G161">
        <v>3.43</v>
      </c>
      <c r="H161" t="s">
        <v>10</v>
      </c>
      <c r="I161">
        <v>16.099999999999998</v>
      </c>
      <c r="J161" t="s">
        <v>15</v>
      </c>
      <c r="K161">
        <v>3.79</v>
      </c>
      <c r="L161" t="s">
        <v>52</v>
      </c>
      <c r="M161" s="8">
        <v>0.6</v>
      </c>
    </row>
    <row r="162" spans="1:13" x14ac:dyDescent="0.25">
      <c r="A162">
        <v>161</v>
      </c>
      <c r="B162">
        <v>5.0999999999999996</v>
      </c>
      <c r="C162">
        <v>2.7</v>
      </c>
      <c r="D162">
        <v>5.9</v>
      </c>
      <c r="E162">
        <v>5.8</v>
      </c>
      <c r="F162">
        <v>4.5</v>
      </c>
      <c r="G162">
        <v>2.71</v>
      </c>
      <c r="H162" t="s">
        <v>10</v>
      </c>
      <c r="I162">
        <v>18.100000000000001</v>
      </c>
      <c r="J162" t="s">
        <v>13</v>
      </c>
      <c r="K162">
        <v>1.33</v>
      </c>
      <c r="L162" t="s">
        <v>51</v>
      </c>
      <c r="M162" s="8">
        <v>0.28000000000000003</v>
      </c>
    </row>
    <row r="163" spans="1:13" x14ac:dyDescent="0.25">
      <c r="A163">
        <v>162</v>
      </c>
      <c r="B163">
        <v>5.4</v>
      </c>
      <c r="C163">
        <v>4</v>
      </c>
      <c r="D163">
        <v>7.5</v>
      </c>
      <c r="E163">
        <v>3.6</v>
      </c>
      <c r="F163">
        <v>3.5</v>
      </c>
      <c r="G163">
        <v>2.59</v>
      </c>
      <c r="H163" t="s">
        <v>9</v>
      </c>
      <c r="I163">
        <v>16.5</v>
      </c>
      <c r="J163" t="s">
        <v>13</v>
      </c>
      <c r="K163">
        <v>0.88</v>
      </c>
      <c r="L163" t="s">
        <v>51</v>
      </c>
      <c r="M163" s="8">
        <v>0.33</v>
      </c>
    </row>
    <row r="164" spans="1:13" x14ac:dyDescent="0.25">
      <c r="A164">
        <v>163</v>
      </c>
      <c r="B164">
        <v>5.3</v>
      </c>
      <c r="C164">
        <v>3</v>
      </c>
      <c r="D164">
        <v>6</v>
      </c>
      <c r="E164">
        <v>5.4</v>
      </c>
      <c r="F164">
        <v>4.3</v>
      </c>
      <c r="G164">
        <v>2.68</v>
      </c>
      <c r="H164" t="s">
        <v>9</v>
      </c>
      <c r="I164">
        <v>18</v>
      </c>
      <c r="J164" t="s">
        <v>13</v>
      </c>
      <c r="K164">
        <v>1.1200000000000001</v>
      </c>
      <c r="L164" t="s">
        <v>51</v>
      </c>
      <c r="M164" s="8">
        <v>0.28999999999999998</v>
      </c>
    </row>
    <row r="165" spans="1:13" x14ac:dyDescent="0.25">
      <c r="A165">
        <v>164</v>
      </c>
      <c r="B165">
        <v>5.2</v>
      </c>
      <c r="C165">
        <v>1.9</v>
      </c>
      <c r="D165">
        <v>7.8</v>
      </c>
      <c r="E165">
        <v>0.4</v>
      </c>
      <c r="F165">
        <v>8.6999999999999993</v>
      </c>
      <c r="G165">
        <v>2.67</v>
      </c>
      <c r="H165" t="s">
        <v>9</v>
      </c>
      <c r="I165">
        <v>16.2</v>
      </c>
      <c r="J165" t="s">
        <v>13</v>
      </c>
      <c r="K165">
        <v>3.69</v>
      </c>
      <c r="L165" t="s">
        <v>52</v>
      </c>
      <c r="M165" s="8">
        <v>0.32</v>
      </c>
    </row>
    <row r="166" spans="1:13" x14ac:dyDescent="0.25">
      <c r="A166">
        <v>165</v>
      </c>
      <c r="B166">
        <v>8.9</v>
      </c>
      <c r="C166">
        <v>1.8</v>
      </c>
      <c r="D166">
        <v>7.6</v>
      </c>
      <c r="E166">
        <v>2.5</v>
      </c>
      <c r="F166">
        <v>3.2</v>
      </c>
      <c r="G166">
        <v>3.58</v>
      </c>
      <c r="H166" t="s">
        <v>10</v>
      </c>
      <c r="I166">
        <v>16.400000000000002</v>
      </c>
      <c r="J166" t="s">
        <v>14</v>
      </c>
      <c r="K166">
        <v>3.25</v>
      </c>
      <c r="L166" t="s">
        <v>52</v>
      </c>
      <c r="M166" s="8">
        <v>0.54</v>
      </c>
    </row>
    <row r="167" spans="1:13" x14ac:dyDescent="0.25">
      <c r="A167">
        <v>166</v>
      </c>
      <c r="B167">
        <v>5.8</v>
      </c>
      <c r="C167">
        <v>0.7</v>
      </c>
      <c r="D167">
        <v>9.3000000000000007</v>
      </c>
      <c r="E167">
        <v>5.7</v>
      </c>
      <c r="F167">
        <v>2.5</v>
      </c>
      <c r="G167">
        <v>2.46</v>
      </c>
      <c r="H167" t="s">
        <v>9</v>
      </c>
      <c r="I167">
        <v>14.7</v>
      </c>
      <c r="J167" t="s">
        <v>16</v>
      </c>
      <c r="K167">
        <v>2.5099999999999998</v>
      </c>
      <c r="L167" t="s">
        <v>52</v>
      </c>
      <c r="M167" s="8">
        <v>0.39</v>
      </c>
    </row>
    <row r="168" spans="1:13" x14ac:dyDescent="0.25">
      <c r="A168">
        <v>167</v>
      </c>
      <c r="B168">
        <v>6.9</v>
      </c>
      <c r="C168">
        <v>1.1000000000000001</v>
      </c>
      <c r="D168">
        <v>8.1999999999999993</v>
      </c>
      <c r="E168">
        <v>2.5</v>
      </c>
      <c r="F168">
        <v>5.3</v>
      </c>
      <c r="G168">
        <v>3.22</v>
      </c>
      <c r="H168" t="s">
        <v>8</v>
      </c>
      <c r="I168">
        <v>15.8</v>
      </c>
      <c r="J168" t="s">
        <v>15</v>
      </c>
      <c r="K168">
        <v>2.63</v>
      </c>
      <c r="L168" t="s">
        <v>52</v>
      </c>
      <c r="M168" s="8">
        <v>0.44</v>
      </c>
    </row>
    <row r="169" spans="1:13" x14ac:dyDescent="0.25">
      <c r="A169">
        <v>168</v>
      </c>
      <c r="B169">
        <v>5.0999999999999996</v>
      </c>
      <c r="C169">
        <v>0.9</v>
      </c>
      <c r="D169">
        <v>6.2</v>
      </c>
      <c r="E169">
        <v>4</v>
      </c>
      <c r="F169">
        <v>7.8</v>
      </c>
      <c r="G169">
        <v>3.02</v>
      </c>
      <c r="H169" t="s">
        <v>9</v>
      </c>
      <c r="I169">
        <v>17.8</v>
      </c>
      <c r="J169" t="s">
        <v>15</v>
      </c>
      <c r="K169">
        <v>2.85</v>
      </c>
      <c r="L169" t="s">
        <v>52</v>
      </c>
      <c r="M169" s="8">
        <v>0.28999999999999998</v>
      </c>
    </row>
    <row r="170" spans="1:13" x14ac:dyDescent="0.25">
      <c r="A170">
        <v>169</v>
      </c>
      <c r="B170">
        <v>5.0999999999999996</v>
      </c>
      <c r="C170">
        <v>0.4</v>
      </c>
      <c r="D170">
        <v>9</v>
      </c>
      <c r="E170">
        <v>1.1000000000000001</v>
      </c>
      <c r="F170">
        <v>8.4</v>
      </c>
      <c r="G170">
        <v>2.52</v>
      </c>
      <c r="H170" t="s">
        <v>9</v>
      </c>
      <c r="I170">
        <v>15</v>
      </c>
      <c r="J170" t="s">
        <v>13</v>
      </c>
      <c r="K170">
        <v>3.73</v>
      </c>
      <c r="L170" t="s">
        <v>52</v>
      </c>
      <c r="M170" s="8">
        <v>0.34</v>
      </c>
    </row>
    <row r="171" spans="1:13" x14ac:dyDescent="0.25">
      <c r="A171">
        <v>170</v>
      </c>
      <c r="B171">
        <v>5.5</v>
      </c>
      <c r="C171">
        <v>1</v>
      </c>
      <c r="D171">
        <v>8.6</v>
      </c>
      <c r="E171">
        <v>5.0999999999999996</v>
      </c>
      <c r="F171">
        <v>3.8</v>
      </c>
      <c r="G171">
        <v>2.97</v>
      </c>
      <c r="H171" t="s">
        <v>9</v>
      </c>
      <c r="I171">
        <v>15.399999999999999</v>
      </c>
      <c r="J171" t="s">
        <v>13</v>
      </c>
      <c r="K171">
        <v>2.0299999999999998</v>
      </c>
      <c r="L171" t="s">
        <v>52</v>
      </c>
      <c r="M171" s="8">
        <v>0.36</v>
      </c>
    </row>
    <row r="172" spans="1:13" x14ac:dyDescent="0.25">
      <c r="A172">
        <v>171</v>
      </c>
      <c r="B172">
        <v>9.1999999999999993</v>
      </c>
      <c r="C172">
        <v>1.6</v>
      </c>
      <c r="D172">
        <v>8.3000000000000007</v>
      </c>
      <c r="E172">
        <v>1</v>
      </c>
      <c r="F172">
        <v>3.9</v>
      </c>
      <c r="G172">
        <v>3.5</v>
      </c>
      <c r="H172" t="s">
        <v>10</v>
      </c>
      <c r="I172">
        <v>15.7</v>
      </c>
      <c r="J172" t="s">
        <v>14</v>
      </c>
      <c r="K172">
        <v>3.73</v>
      </c>
      <c r="L172" t="s">
        <v>52</v>
      </c>
      <c r="M172" s="8">
        <v>0.59</v>
      </c>
    </row>
    <row r="173" spans="1:13" x14ac:dyDescent="0.25">
      <c r="A173">
        <v>172</v>
      </c>
      <c r="B173">
        <v>5.0999999999999996</v>
      </c>
      <c r="C173">
        <v>0.3</v>
      </c>
      <c r="D173">
        <v>6</v>
      </c>
      <c r="E173">
        <v>0.2</v>
      </c>
      <c r="F173">
        <v>12.4</v>
      </c>
      <c r="G173">
        <v>2.7</v>
      </c>
      <c r="H173" t="s">
        <v>9</v>
      </c>
      <c r="I173">
        <v>18</v>
      </c>
      <c r="J173" t="s">
        <v>13</v>
      </c>
      <c r="K173">
        <v>5.74</v>
      </c>
      <c r="L173" t="s">
        <v>52</v>
      </c>
      <c r="M173" s="8">
        <v>0.28000000000000003</v>
      </c>
    </row>
    <row r="174" spans="1:13" x14ac:dyDescent="0.25">
      <c r="A174">
        <v>173</v>
      </c>
      <c r="B174">
        <v>5.9</v>
      </c>
      <c r="C174">
        <v>2.2999999999999998</v>
      </c>
      <c r="D174">
        <v>7.1</v>
      </c>
      <c r="E174">
        <v>5.4</v>
      </c>
      <c r="F174">
        <v>3.3</v>
      </c>
      <c r="G174">
        <v>2.78</v>
      </c>
      <c r="H174" t="s">
        <v>9</v>
      </c>
      <c r="I174">
        <v>16.899999999999999</v>
      </c>
      <c r="J174" t="s">
        <v>13</v>
      </c>
      <c r="K174">
        <v>1.71</v>
      </c>
      <c r="L174" t="s">
        <v>52</v>
      </c>
      <c r="M174" s="8">
        <v>0.35</v>
      </c>
    </row>
    <row r="175" spans="1:13" x14ac:dyDescent="0.25">
      <c r="A175">
        <v>174</v>
      </c>
      <c r="B175">
        <v>6.3</v>
      </c>
      <c r="C175">
        <v>1.5</v>
      </c>
      <c r="D175">
        <v>8</v>
      </c>
      <c r="E175">
        <v>1.6</v>
      </c>
      <c r="F175">
        <v>6.6</v>
      </c>
      <c r="G175">
        <v>3.15</v>
      </c>
      <c r="H175" t="s">
        <v>8</v>
      </c>
      <c r="I175">
        <v>16</v>
      </c>
      <c r="J175" t="s">
        <v>15</v>
      </c>
      <c r="K175">
        <v>2.83</v>
      </c>
      <c r="L175" t="s">
        <v>52</v>
      </c>
      <c r="M175" s="8">
        <v>0.39</v>
      </c>
    </row>
    <row r="176" spans="1:13" x14ac:dyDescent="0.25">
      <c r="A176">
        <v>175</v>
      </c>
      <c r="B176">
        <v>8.1</v>
      </c>
      <c r="C176">
        <v>1.6</v>
      </c>
      <c r="D176">
        <v>7.8</v>
      </c>
      <c r="E176">
        <v>2.6</v>
      </c>
      <c r="F176">
        <v>3.9</v>
      </c>
      <c r="G176">
        <v>3.26</v>
      </c>
      <c r="H176" t="s">
        <v>10</v>
      </c>
      <c r="I176">
        <v>16.2</v>
      </c>
      <c r="J176" t="s">
        <v>15</v>
      </c>
      <c r="K176">
        <v>2.86</v>
      </c>
      <c r="L176" t="s">
        <v>52</v>
      </c>
      <c r="M176" s="8">
        <v>0.5</v>
      </c>
    </row>
    <row r="177" spans="1:13" x14ac:dyDescent="0.25">
      <c r="A177">
        <v>176</v>
      </c>
      <c r="B177">
        <v>8.8000000000000007</v>
      </c>
      <c r="C177">
        <v>0.6</v>
      </c>
      <c r="D177">
        <v>9.3000000000000007</v>
      </c>
      <c r="E177">
        <v>2.6</v>
      </c>
      <c r="F177">
        <v>2.7</v>
      </c>
      <c r="G177">
        <v>3.3</v>
      </c>
      <c r="H177" t="s">
        <v>10</v>
      </c>
      <c r="I177">
        <v>14.7</v>
      </c>
      <c r="J177" t="s">
        <v>15</v>
      </c>
      <c r="K177">
        <v>3.55</v>
      </c>
      <c r="L177" t="s">
        <v>52</v>
      </c>
      <c r="M177" s="8">
        <v>0.6</v>
      </c>
    </row>
    <row r="178" spans="1:13" x14ac:dyDescent="0.25">
      <c r="A178">
        <v>177</v>
      </c>
      <c r="B178">
        <v>9.5</v>
      </c>
      <c r="C178">
        <v>3.2</v>
      </c>
      <c r="D178">
        <v>7.1</v>
      </c>
      <c r="E178">
        <v>0.1</v>
      </c>
      <c r="F178">
        <v>4.0999999999999996</v>
      </c>
      <c r="G178">
        <v>3.49</v>
      </c>
      <c r="H178" t="s">
        <v>10</v>
      </c>
      <c r="I178">
        <v>16.899999999999999</v>
      </c>
      <c r="J178" t="s">
        <v>15</v>
      </c>
      <c r="K178">
        <v>3.91</v>
      </c>
      <c r="L178" t="s">
        <v>52</v>
      </c>
      <c r="M178" s="8">
        <v>0.56000000000000005</v>
      </c>
    </row>
    <row r="179" spans="1:13" x14ac:dyDescent="0.25">
      <c r="A179">
        <v>178</v>
      </c>
      <c r="B179">
        <v>8.1999999999999993</v>
      </c>
      <c r="C179">
        <v>1</v>
      </c>
      <c r="D179">
        <v>5.7</v>
      </c>
      <c r="E179">
        <v>5</v>
      </c>
      <c r="F179">
        <v>4.0999999999999996</v>
      </c>
      <c r="G179">
        <v>2.89</v>
      </c>
      <c r="H179" t="s">
        <v>10</v>
      </c>
      <c r="I179">
        <v>18.299999999999997</v>
      </c>
      <c r="J179" t="s">
        <v>13</v>
      </c>
      <c r="K179">
        <v>2.96</v>
      </c>
      <c r="L179" t="s">
        <v>52</v>
      </c>
      <c r="M179" s="8">
        <v>0.45</v>
      </c>
    </row>
    <row r="180" spans="1:13" x14ac:dyDescent="0.25">
      <c r="A180">
        <v>179</v>
      </c>
      <c r="B180">
        <v>9.9</v>
      </c>
      <c r="C180">
        <v>2.1</v>
      </c>
      <c r="D180">
        <v>5.9</v>
      </c>
      <c r="E180">
        <v>1.6</v>
      </c>
      <c r="F180">
        <v>4.5</v>
      </c>
      <c r="G180">
        <v>3.52</v>
      </c>
      <c r="H180" t="s">
        <v>10</v>
      </c>
      <c r="I180">
        <v>18.100000000000001</v>
      </c>
      <c r="J180" t="s">
        <v>14</v>
      </c>
      <c r="K180">
        <v>3.8</v>
      </c>
      <c r="L180" t="s">
        <v>52</v>
      </c>
      <c r="M180" s="8">
        <v>0.55000000000000004</v>
      </c>
    </row>
    <row r="181" spans="1:13" x14ac:dyDescent="0.25">
      <c r="A181">
        <v>180</v>
      </c>
      <c r="B181">
        <v>6.4</v>
      </c>
      <c r="C181">
        <v>2.2000000000000002</v>
      </c>
      <c r="D181">
        <v>8.3000000000000007</v>
      </c>
      <c r="E181">
        <v>5</v>
      </c>
      <c r="F181">
        <v>2.1</v>
      </c>
      <c r="G181">
        <v>2.76</v>
      </c>
      <c r="H181" t="s">
        <v>8</v>
      </c>
      <c r="I181">
        <v>15.700000000000001</v>
      </c>
      <c r="J181" t="s">
        <v>13</v>
      </c>
      <c r="K181">
        <v>2.13</v>
      </c>
      <c r="L181" t="s">
        <v>52</v>
      </c>
      <c r="M181" s="8">
        <v>0.41</v>
      </c>
    </row>
    <row r="182" spans="1:13" x14ac:dyDescent="0.25">
      <c r="A182">
        <v>181</v>
      </c>
      <c r="B182">
        <v>6</v>
      </c>
      <c r="C182">
        <v>0</v>
      </c>
      <c r="D182">
        <v>5.7</v>
      </c>
      <c r="E182">
        <v>5.4</v>
      </c>
      <c r="F182">
        <v>6.9</v>
      </c>
      <c r="G182">
        <v>2.95</v>
      </c>
      <c r="H182" t="s">
        <v>10</v>
      </c>
      <c r="I182">
        <v>18.3</v>
      </c>
      <c r="J182" t="s">
        <v>13</v>
      </c>
      <c r="K182">
        <v>3.11</v>
      </c>
      <c r="L182" t="s">
        <v>52</v>
      </c>
      <c r="M182" s="8">
        <v>0.33</v>
      </c>
    </row>
    <row r="183" spans="1:13" x14ac:dyDescent="0.25">
      <c r="A183">
        <v>182</v>
      </c>
      <c r="B183">
        <v>8</v>
      </c>
      <c r="C183">
        <v>2.7</v>
      </c>
      <c r="D183">
        <v>5.9</v>
      </c>
      <c r="E183">
        <v>5.5</v>
      </c>
      <c r="F183">
        <v>1.9</v>
      </c>
      <c r="G183">
        <v>3.4</v>
      </c>
      <c r="H183" t="s">
        <v>10</v>
      </c>
      <c r="I183">
        <v>18.099999999999998</v>
      </c>
      <c r="J183" t="s">
        <v>15</v>
      </c>
      <c r="K183">
        <v>2.78</v>
      </c>
      <c r="L183" t="s">
        <v>52</v>
      </c>
      <c r="M183" s="8">
        <v>0.44</v>
      </c>
    </row>
    <row r="184" spans="1:13" x14ac:dyDescent="0.25">
      <c r="A184">
        <v>183</v>
      </c>
      <c r="B184">
        <v>7.1</v>
      </c>
      <c r="C184">
        <v>1.5</v>
      </c>
      <c r="D184">
        <v>7.6</v>
      </c>
      <c r="E184">
        <v>0.3</v>
      </c>
      <c r="F184">
        <v>7.5</v>
      </c>
      <c r="G184">
        <v>3.17</v>
      </c>
      <c r="H184" t="s">
        <v>8</v>
      </c>
      <c r="I184">
        <v>16.399999999999999</v>
      </c>
      <c r="J184" t="s">
        <v>15</v>
      </c>
      <c r="K184">
        <v>3.73</v>
      </c>
      <c r="L184" t="s">
        <v>52</v>
      </c>
      <c r="M184" s="8">
        <v>0.43</v>
      </c>
    </row>
    <row r="185" spans="1:13" x14ac:dyDescent="0.25">
      <c r="A185">
        <v>184</v>
      </c>
      <c r="B185">
        <v>5.4</v>
      </c>
      <c r="C185">
        <v>2.4</v>
      </c>
      <c r="D185">
        <v>6.2</v>
      </c>
      <c r="E185">
        <v>2.2999999999999998</v>
      </c>
      <c r="F185">
        <v>7.7</v>
      </c>
      <c r="G185">
        <v>2.66</v>
      </c>
      <c r="H185" t="s">
        <v>9</v>
      </c>
      <c r="I185">
        <v>17.8</v>
      </c>
      <c r="J185" t="s">
        <v>13</v>
      </c>
      <c r="K185">
        <v>2.6</v>
      </c>
      <c r="L185" t="s">
        <v>52</v>
      </c>
      <c r="M185" s="8">
        <v>0.3</v>
      </c>
    </row>
    <row r="186" spans="1:13" x14ac:dyDescent="0.25">
      <c r="A186">
        <v>185</v>
      </c>
      <c r="B186">
        <v>6.4</v>
      </c>
      <c r="C186">
        <v>1.4</v>
      </c>
      <c r="D186">
        <v>8.6</v>
      </c>
      <c r="E186">
        <v>1.8</v>
      </c>
      <c r="F186">
        <v>5.8</v>
      </c>
      <c r="G186">
        <v>2.77</v>
      </c>
      <c r="H186" t="s">
        <v>8</v>
      </c>
      <c r="I186">
        <v>15.400000000000002</v>
      </c>
      <c r="J186" t="s">
        <v>13</v>
      </c>
      <c r="K186">
        <v>2.61</v>
      </c>
      <c r="L186" t="s">
        <v>52</v>
      </c>
      <c r="M186" s="8">
        <v>0.42</v>
      </c>
    </row>
    <row r="187" spans="1:13" x14ac:dyDescent="0.25">
      <c r="A187">
        <v>186</v>
      </c>
      <c r="B187">
        <v>8.3000000000000007</v>
      </c>
      <c r="C187">
        <v>3.7</v>
      </c>
      <c r="D187">
        <v>8.6999999999999993</v>
      </c>
      <c r="E187">
        <v>0.7</v>
      </c>
      <c r="F187">
        <v>2.6</v>
      </c>
      <c r="G187">
        <v>3.77</v>
      </c>
      <c r="H187" t="s">
        <v>10</v>
      </c>
      <c r="I187">
        <v>15.299999999999999</v>
      </c>
      <c r="J187" t="s">
        <v>14</v>
      </c>
      <c r="K187">
        <v>3.23</v>
      </c>
      <c r="L187" t="s">
        <v>52</v>
      </c>
      <c r="M187" s="8">
        <v>0.54</v>
      </c>
    </row>
    <row r="188" spans="1:13" x14ac:dyDescent="0.25">
      <c r="A188">
        <v>187</v>
      </c>
      <c r="B188">
        <v>5.2</v>
      </c>
      <c r="C188">
        <v>1</v>
      </c>
      <c r="D188">
        <v>8</v>
      </c>
      <c r="E188">
        <v>0.3</v>
      </c>
      <c r="F188">
        <v>9.5</v>
      </c>
      <c r="G188">
        <v>3.29</v>
      </c>
      <c r="H188" t="s">
        <v>9</v>
      </c>
      <c r="I188">
        <v>16</v>
      </c>
      <c r="J188" t="s">
        <v>15</v>
      </c>
      <c r="K188">
        <v>4.26</v>
      </c>
      <c r="L188" t="s">
        <v>52</v>
      </c>
      <c r="M188" s="8">
        <v>0.32</v>
      </c>
    </row>
    <row r="189" spans="1:13" x14ac:dyDescent="0.25">
      <c r="A189">
        <v>188</v>
      </c>
      <c r="B189">
        <v>6.7</v>
      </c>
      <c r="C189">
        <v>3.1</v>
      </c>
      <c r="D189">
        <v>5.5</v>
      </c>
      <c r="E189">
        <v>0.5</v>
      </c>
      <c r="F189">
        <v>8.1999999999999993</v>
      </c>
      <c r="G189">
        <v>2.99</v>
      </c>
      <c r="H189" t="s">
        <v>10</v>
      </c>
      <c r="I189">
        <v>18.5</v>
      </c>
      <c r="J189" t="s">
        <v>13</v>
      </c>
      <c r="K189">
        <v>3.48</v>
      </c>
      <c r="L189" t="s">
        <v>52</v>
      </c>
      <c r="M189" s="8">
        <v>0.36</v>
      </c>
    </row>
    <row r="190" spans="1:13" x14ac:dyDescent="0.25">
      <c r="A190">
        <v>189</v>
      </c>
      <c r="B190">
        <v>8.6</v>
      </c>
      <c r="C190">
        <v>2</v>
      </c>
      <c r="D190">
        <v>8.4</v>
      </c>
      <c r="E190">
        <v>2.2000000000000002</v>
      </c>
      <c r="F190">
        <v>2.8</v>
      </c>
      <c r="G190">
        <v>3.43</v>
      </c>
      <c r="H190" t="s">
        <v>10</v>
      </c>
      <c r="I190">
        <v>15.600000000000001</v>
      </c>
      <c r="J190" t="s">
        <v>15</v>
      </c>
      <c r="K190">
        <v>3.15</v>
      </c>
      <c r="L190" t="s">
        <v>52</v>
      </c>
      <c r="M190" s="8">
        <v>0.55000000000000004</v>
      </c>
    </row>
    <row r="191" spans="1:13" x14ac:dyDescent="0.25">
      <c r="A191">
        <v>190</v>
      </c>
      <c r="B191">
        <v>9</v>
      </c>
      <c r="C191">
        <v>2.8</v>
      </c>
      <c r="D191">
        <v>6.4</v>
      </c>
      <c r="E191">
        <v>3.4</v>
      </c>
      <c r="F191">
        <v>2.4</v>
      </c>
      <c r="G191">
        <v>3.24</v>
      </c>
      <c r="H191" t="s">
        <v>10</v>
      </c>
      <c r="I191">
        <v>17.600000000000001</v>
      </c>
      <c r="J191" t="s">
        <v>15</v>
      </c>
      <c r="K191">
        <v>3.09</v>
      </c>
      <c r="L191" t="s">
        <v>52</v>
      </c>
      <c r="M191" s="8">
        <v>0.51</v>
      </c>
    </row>
    <row r="192" spans="1:13" x14ac:dyDescent="0.25">
      <c r="A192">
        <v>191</v>
      </c>
      <c r="B192">
        <v>6.8</v>
      </c>
      <c r="C192">
        <v>0.4</v>
      </c>
      <c r="D192">
        <v>9.6</v>
      </c>
      <c r="E192">
        <v>0.8</v>
      </c>
      <c r="F192">
        <v>6.4</v>
      </c>
      <c r="G192">
        <v>3.01</v>
      </c>
      <c r="H192" t="s">
        <v>8</v>
      </c>
      <c r="I192">
        <v>14.4</v>
      </c>
      <c r="J192" t="s">
        <v>15</v>
      </c>
      <c r="K192">
        <v>3.47</v>
      </c>
      <c r="L192" t="s">
        <v>52</v>
      </c>
      <c r="M192" s="8">
        <v>0.47</v>
      </c>
    </row>
    <row r="193" spans="1:13" x14ac:dyDescent="0.25">
      <c r="A193">
        <v>192</v>
      </c>
      <c r="B193">
        <v>5.9</v>
      </c>
      <c r="C193">
        <v>2.2000000000000002</v>
      </c>
      <c r="D193">
        <v>9.4</v>
      </c>
      <c r="E193">
        <v>4.4000000000000004</v>
      </c>
      <c r="F193">
        <v>2.1</v>
      </c>
      <c r="G193">
        <v>3.01</v>
      </c>
      <c r="H193" t="s">
        <v>9</v>
      </c>
      <c r="I193">
        <v>14.600000000000001</v>
      </c>
      <c r="J193" t="s">
        <v>15</v>
      </c>
      <c r="K193">
        <v>1.84</v>
      </c>
      <c r="L193" t="s">
        <v>52</v>
      </c>
      <c r="M193" s="8">
        <v>0.4</v>
      </c>
    </row>
    <row r="194" spans="1:13" x14ac:dyDescent="0.25">
      <c r="A194">
        <v>193</v>
      </c>
      <c r="B194">
        <v>9</v>
      </c>
      <c r="C194">
        <v>2.6</v>
      </c>
      <c r="D194">
        <v>8.5</v>
      </c>
      <c r="E194">
        <v>3.3</v>
      </c>
      <c r="F194">
        <v>0.6</v>
      </c>
      <c r="G194">
        <v>3.34</v>
      </c>
      <c r="H194" t="s">
        <v>10</v>
      </c>
      <c r="I194">
        <v>15.499999999999998</v>
      </c>
      <c r="J194" t="s">
        <v>15</v>
      </c>
      <c r="K194">
        <v>3.6</v>
      </c>
      <c r="L194" t="s">
        <v>52</v>
      </c>
      <c r="M194" s="8">
        <v>0.57999999999999996</v>
      </c>
    </row>
    <row r="195" spans="1:13" x14ac:dyDescent="0.25">
      <c r="A195">
        <v>194</v>
      </c>
      <c r="B195">
        <v>6.1</v>
      </c>
      <c r="C195">
        <v>4</v>
      </c>
      <c r="D195">
        <v>9.6999999999999993</v>
      </c>
      <c r="E195">
        <v>0.2</v>
      </c>
      <c r="F195">
        <v>4</v>
      </c>
      <c r="G195">
        <v>2.58</v>
      </c>
      <c r="H195" t="s">
        <v>8</v>
      </c>
      <c r="I195">
        <v>14.299999999999999</v>
      </c>
      <c r="J195" t="s">
        <v>13</v>
      </c>
      <c r="K195">
        <v>2.46</v>
      </c>
      <c r="L195" t="s">
        <v>52</v>
      </c>
      <c r="M195" s="8">
        <v>0.43</v>
      </c>
    </row>
    <row r="196" spans="1:13" x14ac:dyDescent="0.25">
      <c r="A196">
        <v>195</v>
      </c>
      <c r="B196">
        <v>8.5</v>
      </c>
      <c r="C196">
        <v>3.7</v>
      </c>
      <c r="D196">
        <v>5.9</v>
      </c>
      <c r="E196">
        <v>3.4</v>
      </c>
      <c r="F196">
        <v>2.5</v>
      </c>
      <c r="G196">
        <v>3.06</v>
      </c>
      <c r="H196" t="s">
        <v>10</v>
      </c>
      <c r="I196">
        <v>18.100000000000001</v>
      </c>
      <c r="J196" t="s">
        <v>15</v>
      </c>
      <c r="K196">
        <v>2.7</v>
      </c>
      <c r="L196" t="s">
        <v>52</v>
      </c>
      <c r="M196" s="8">
        <v>0.47</v>
      </c>
    </row>
    <row r="197" spans="1:13" x14ac:dyDescent="0.25">
      <c r="A197">
        <v>196</v>
      </c>
      <c r="B197">
        <v>9.6</v>
      </c>
      <c r="C197">
        <v>3.9</v>
      </c>
      <c r="D197">
        <v>9.6999999999999993</v>
      </c>
      <c r="E197">
        <v>0.4</v>
      </c>
      <c r="F197">
        <v>0.4</v>
      </c>
      <c r="G197">
        <v>3.65</v>
      </c>
      <c r="H197" t="s">
        <v>10</v>
      </c>
      <c r="I197">
        <v>14.3</v>
      </c>
      <c r="J197" t="s">
        <v>14</v>
      </c>
      <c r="K197">
        <v>4.34</v>
      </c>
      <c r="L197" t="s">
        <v>52</v>
      </c>
      <c r="M197" s="8">
        <v>0.67</v>
      </c>
    </row>
    <row r="198" spans="1:13" x14ac:dyDescent="0.25">
      <c r="A198">
        <v>197</v>
      </c>
      <c r="B198">
        <v>9.3000000000000007</v>
      </c>
      <c r="C198">
        <v>3.4</v>
      </c>
      <c r="D198">
        <v>6.6</v>
      </c>
      <c r="E198">
        <v>3.9</v>
      </c>
      <c r="F198">
        <v>0.8</v>
      </c>
      <c r="G198">
        <v>3.41</v>
      </c>
      <c r="H198" t="s">
        <v>10</v>
      </c>
      <c r="I198">
        <v>17.400000000000002</v>
      </c>
      <c r="J198" t="s">
        <v>15</v>
      </c>
      <c r="K198">
        <v>3.57</v>
      </c>
      <c r="L198" t="s">
        <v>52</v>
      </c>
      <c r="M198" s="8">
        <v>0.53</v>
      </c>
    </row>
    <row r="199" spans="1:13" x14ac:dyDescent="0.25">
      <c r="A199">
        <v>198</v>
      </c>
      <c r="B199">
        <v>6.2</v>
      </c>
      <c r="C199">
        <v>0.5</v>
      </c>
      <c r="D199">
        <v>5.4</v>
      </c>
      <c r="E199">
        <v>4.2</v>
      </c>
      <c r="F199">
        <v>7.7</v>
      </c>
      <c r="G199">
        <v>2.84</v>
      </c>
      <c r="H199" t="s">
        <v>10</v>
      </c>
      <c r="I199">
        <v>18.600000000000001</v>
      </c>
      <c r="J199" t="s">
        <v>13</v>
      </c>
      <c r="K199">
        <v>3.12</v>
      </c>
      <c r="L199" t="s">
        <v>52</v>
      </c>
      <c r="M199" s="8">
        <v>0.33</v>
      </c>
    </row>
    <row r="200" spans="1:13" x14ac:dyDescent="0.25">
      <c r="A200">
        <v>199</v>
      </c>
      <c r="B200">
        <v>6.7</v>
      </c>
      <c r="C200">
        <v>2.9</v>
      </c>
      <c r="D200">
        <v>5.3</v>
      </c>
      <c r="E200">
        <v>1.9</v>
      </c>
      <c r="F200">
        <v>7.2</v>
      </c>
      <c r="G200">
        <v>3.29</v>
      </c>
      <c r="H200" t="s">
        <v>10</v>
      </c>
      <c r="I200">
        <v>18.7</v>
      </c>
      <c r="J200" t="s">
        <v>15</v>
      </c>
      <c r="K200">
        <v>2.67</v>
      </c>
      <c r="L200" t="s">
        <v>52</v>
      </c>
      <c r="M200" s="8">
        <v>0.36</v>
      </c>
    </row>
    <row r="201" spans="1:13" x14ac:dyDescent="0.25">
      <c r="A201">
        <v>200</v>
      </c>
      <c r="B201">
        <v>6.6</v>
      </c>
      <c r="C201">
        <v>2.5</v>
      </c>
      <c r="D201">
        <v>9.4</v>
      </c>
      <c r="E201">
        <v>3.4</v>
      </c>
      <c r="F201">
        <v>2.1</v>
      </c>
      <c r="G201">
        <v>3.03</v>
      </c>
      <c r="H201" t="s">
        <v>8</v>
      </c>
      <c r="I201">
        <v>14.6</v>
      </c>
      <c r="J201" t="s">
        <v>15</v>
      </c>
      <c r="K201">
        <v>2.04</v>
      </c>
      <c r="L201" t="s">
        <v>52</v>
      </c>
      <c r="M201" s="8">
        <v>0.45</v>
      </c>
    </row>
    <row r="202" spans="1:13" x14ac:dyDescent="0.25">
      <c r="A202">
        <v>201</v>
      </c>
      <c r="B202">
        <v>6.2</v>
      </c>
      <c r="C202">
        <v>0.1</v>
      </c>
      <c r="D202">
        <v>9.4</v>
      </c>
      <c r="E202">
        <v>0.1</v>
      </c>
      <c r="F202">
        <v>8.1999999999999993</v>
      </c>
      <c r="G202">
        <v>2.95</v>
      </c>
      <c r="H202" t="s">
        <v>8</v>
      </c>
      <c r="I202">
        <v>14.599999999999998</v>
      </c>
      <c r="J202" t="s">
        <v>13</v>
      </c>
      <c r="K202">
        <v>4.18</v>
      </c>
      <c r="L202" t="s">
        <v>52</v>
      </c>
      <c r="M202" s="8">
        <v>0.42</v>
      </c>
    </row>
    <row r="203" spans="1:13" x14ac:dyDescent="0.25">
      <c r="A203">
        <v>202</v>
      </c>
      <c r="B203">
        <v>9.6999999999999993</v>
      </c>
      <c r="C203">
        <v>3.2</v>
      </c>
      <c r="D203">
        <v>10</v>
      </c>
      <c r="E203">
        <v>0.4</v>
      </c>
      <c r="F203">
        <v>0.7</v>
      </c>
      <c r="G203">
        <v>3.67</v>
      </c>
      <c r="H203" t="s">
        <v>10</v>
      </c>
      <c r="I203">
        <v>13.999999999999998</v>
      </c>
      <c r="J203" t="s">
        <v>14</v>
      </c>
      <c r="K203">
        <v>4.32</v>
      </c>
      <c r="L203" t="s">
        <v>52</v>
      </c>
      <c r="M203" s="8">
        <v>0.69</v>
      </c>
    </row>
    <row r="204" spans="1:13" x14ac:dyDescent="0.25">
      <c r="A204">
        <v>203</v>
      </c>
      <c r="B204">
        <v>8.8000000000000007</v>
      </c>
      <c r="C204">
        <v>1.6</v>
      </c>
      <c r="D204">
        <v>7.4</v>
      </c>
      <c r="E204">
        <v>3.8</v>
      </c>
      <c r="F204">
        <v>2.4</v>
      </c>
      <c r="G204">
        <v>3.23</v>
      </c>
      <c r="H204" t="s">
        <v>10</v>
      </c>
      <c r="I204">
        <v>16.599999999999998</v>
      </c>
      <c r="J204" t="s">
        <v>15</v>
      </c>
      <c r="K204">
        <v>3.23</v>
      </c>
      <c r="L204" t="s">
        <v>52</v>
      </c>
      <c r="M204" s="8">
        <v>0.53</v>
      </c>
    </row>
    <row r="205" spans="1:13" x14ac:dyDescent="0.25">
      <c r="A205">
        <v>204</v>
      </c>
      <c r="B205">
        <v>7.1</v>
      </c>
      <c r="C205">
        <v>3</v>
      </c>
      <c r="D205">
        <v>6.2</v>
      </c>
      <c r="E205">
        <v>0.7</v>
      </c>
      <c r="F205">
        <v>7</v>
      </c>
      <c r="G205">
        <v>3.36</v>
      </c>
      <c r="H205" t="s">
        <v>8</v>
      </c>
      <c r="I205">
        <v>17.799999999999997</v>
      </c>
      <c r="J205" t="s">
        <v>15</v>
      </c>
      <c r="K205">
        <v>3.15</v>
      </c>
      <c r="L205" t="s">
        <v>52</v>
      </c>
      <c r="M205" s="8">
        <v>0.4</v>
      </c>
    </row>
    <row r="206" spans="1:13" x14ac:dyDescent="0.25">
      <c r="A206">
        <v>205</v>
      </c>
      <c r="B206">
        <v>6.8</v>
      </c>
      <c r="C206">
        <v>1.1000000000000001</v>
      </c>
      <c r="D206">
        <v>6.5</v>
      </c>
      <c r="E206">
        <v>1.4</v>
      </c>
      <c r="F206">
        <v>8.1999999999999993</v>
      </c>
      <c r="G206">
        <v>3.01</v>
      </c>
      <c r="H206" t="s">
        <v>8</v>
      </c>
      <c r="I206">
        <v>17.5</v>
      </c>
      <c r="J206" t="s">
        <v>15</v>
      </c>
      <c r="K206">
        <v>3.66</v>
      </c>
      <c r="L206" t="s">
        <v>52</v>
      </c>
      <c r="M206" s="8">
        <v>0.39</v>
      </c>
    </row>
    <row r="207" spans="1:13" x14ac:dyDescent="0.25">
      <c r="A207">
        <v>206</v>
      </c>
      <c r="B207">
        <v>6.9</v>
      </c>
      <c r="C207">
        <v>2.7</v>
      </c>
      <c r="D207">
        <v>6.1</v>
      </c>
      <c r="E207">
        <v>5.7</v>
      </c>
      <c r="F207">
        <v>2.6</v>
      </c>
      <c r="G207">
        <v>3.08</v>
      </c>
      <c r="H207" t="s">
        <v>8</v>
      </c>
      <c r="I207">
        <v>17.900000000000002</v>
      </c>
      <c r="J207" t="s">
        <v>15</v>
      </c>
      <c r="K207">
        <v>2.16</v>
      </c>
      <c r="L207" t="s">
        <v>52</v>
      </c>
      <c r="M207" s="8">
        <v>0.39</v>
      </c>
    </row>
    <row r="208" spans="1:13" x14ac:dyDescent="0.25">
      <c r="A208">
        <v>207</v>
      </c>
      <c r="B208">
        <v>8.9</v>
      </c>
      <c r="C208">
        <v>0.4</v>
      </c>
      <c r="D208">
        <v>7.1</v>
      </c>
      <c r="E208">
        <v>5.3</v>
      </c>
      <c r="F208">
        <v>2.2999999999999998</v>
      </c>
      <c r="G208">
        <v>3.33</v>
      </c>
      <c r="H208" t="s">
        <v>10</v>
      </c>
      <c r="I208">
        <v>16.900000000000002</v>
      </c>
      <c r="J208" t="s">
        <v>15</v>
      </c>
      <c r="K208">
        <v>3.71</v>
      </c>
      <c r="L208" t="s">
        <v>52</v>
      </c>
      <c r="M208" s="8">
        <v>0.53</v>
      </c>
    </row>
    <row r="209" spans="1:13" x14ac:dyDescent="0.25">
      <c r="A209">
        <v>208</v>
      </c>
      <c r="B209">
        <v>8.1</v>
      </c>
      <c r="C209">
        <v>0.7</v>
      </c>
      <c r="D209">
        <v>10</v>
      </c>
      <c r="E209">
        <v>1.2</v>
      </c>
      <c r="F209">
        <v>4</v>
      </c>
      <c r="G209">
        <v>3.35</v>
      </c>
      <c r="H209" t="s">
        <v>10</v>
      </c>
      <c r="I209">
        <v>13.999999999999998</v>
      </c>
      <c r="J209" t="s">
        <v>15</v>
      </c>
      <c r="K209">
        <v>3.39</v>
      </c>
      <c r="L209" t="s">
        <v>52</v>
      </c>
      <c r="M209" s="8">
        <v>0.57999999999999996</v>
      </c>
    </row>
    <row r="210" spans="1:13" x14ac:dyDescent="0.25">
      <c r="A210">
        <v>209</v>
      </c>
      <c r="B210">
        <v>9.6999999999999993</v>
      </c>
      <c r="C210">
        <v>2.6</v>
      </c>
      <c r="D210">
        <v>8</v>
      </c>
      <c r="E210">
        <v>1.9</v>
      </c>
      <c r="F210">
        <v>1.8</v>
      </c>
      <c r="G210">
        <v>3.33</v>
      </c>
      <c r="H210" t="s">
        <v>10</v>
      </c>
      <c r="I210">
        <v>16</v>
      </c>
      <c r="J210" t="s">
        <v>15</v>
      </c>
      <c r="K210">
        <v>3.82</v>
      </c>
      <c r="L210" t="s">
        <v>52</v>
      </c>
      <c r="M210" s="8">
        <v>0.61</v>
      </c>
    </row>
    <row r="211" spans="1:13" x14ac:dyDescent="0.25">
      <c r="A211">
        <v>210</v>
      </c>
      <c r="B211">
        <v>6.1</v>
      </c>
      <c r="C211">
        <v>0.7</v>
      </c>
      <c r="D211">
        <v>8.9</v>
      </c>
      <c r="E211">
        <v>2.1</v>
      </c>
      <c r="F211">
        <v>6.2</v>
      </c>
      <c r="G211">
        <v>2.81</v>
      </c>
      <c r="H211" t="s">
        <v>8</v>
      </c>
      <c r="I211">
        <v>15.100000000000001</v>
      </c>
      <c r="J211" t="s">
        <v>13</v>
      </c>
      <c r="K211">
        <v>2.8</v>
      </c>
      <c r="L211" t="s">
        <v>52</v>
      </c>
      <c r="M211" s="8">
        <v>0.4</v>
      </c>
    </row>
    <row r="212" spans="1:13" x14ac:dyDescent="0.25">
      <c r="A212">
        <v>211</v>
      </c>
      <c r="B212">
        <v>5.3</v>
      </c>
      <c r="C212">
        <v>3.9</v>
      </c>
      <c r="D212">
        <v>9.4</v>
      </c>
      <c r="E212">
        <v>5</v>
      </c>
      <c r="F212">
        <v>0.4</v>
      </c>
      <c r="G212">
        <v>3.08</v>
      </c>
      <c r="H212" t="s">
        <v>9</v>
      </c>
      <c r="I212">
        <v>14.6</v>
      </c>
      <c r="J212" t="s">
        <v>15</v>
      </c>
      <c r="K212">
        <v>2.25</v>
      </c>
      <c r="L212" t="s">
        <v>52</v>
      </c>
      <c r="M212" s="8">
        <v>0.36</v>
      </c>
    </row>
    <row r="213" spans="1:13" x14ac:dyDescent="0.25">
      <c r="A213">
        <v>212</v>
      </c>
      <c r="B213">
        <v>8.5</v>
      </c>
      <c r="C213">
        <v>0.6</v>
      </c>
      <c r="D213">
        <v>9.1</v>
      </c>
      <c r="E213">
        <v>1.3</v>
      </c>
      <c r="F213">
        <v>4.5</v>
      </c>
      <c r="G213">
        <v>3.16</v>
      </c>
      <c r="H213" t="s">
        <v>10</v>
      </c>
      <c r="I213">
        <v>14.9</v>
      </c>
      <c r="J213" t="s">
        <v>15</v>
      </c>
      <c r="K213">
        <v>3.61</v>
      </c>
      <c r="L213" t="s">
        <v>52</v>
      </c>
      <c r="M213" s="8">
        <v>0.56999999999999995</v>
      </c>
    </row>
    <row r="214" spans="1:13" x14ac:dyDescent="0.25">
      <c r="A214">
        <v>213</v>
      </c>
      <c r="B214">
        <v>6.1</v>
      </c>
      <c r="C214">
        <v>2.1</v>
      </c>
      <c r="D214">
        <v>8</v>
      </c>
      <c r="E214">
        <v>3.5</v>
      </c>
      <c r="F214">
        <v>4.3</v>
      </c>
      <c r="G214">
        <v>2.79</v>
      </c>
      <c r="H214" t="s">
        <v>8</v>
      </c>
      <c r="I214">
        <v>16</v>
      </c>
      <c r="J214" t="s">
        <v>13</v>
      </c>
      <c r="K214">
        <v>1.67</v>
      </c>
      <c r="L214" t="s">
        <v>52</v>
      </c>
      <c r="M214" s="8">
        <v>0.38</v>
      </c>
    </row>
    <row r="215" spans="1:13" x14ac:dyDescent="0.25">
      <c r="A215">
        <v>214</v>
      </c>
      <c r="B215">
        <v>9.4</v>
      </c>
      <c r="C215">
        <v>3.8</v>
      </c>
      <c r="D215">
        <v>9.3000000000000007</v>
      </c>
      <c r="E215">
        <v>1.2</v>
      </c>
      <c r="F215">
        <v>0.3</v>
      </c>
      <c r="G215">
        <v>3.33</v>
      </c>
      <c r="H215" t="s">
        <v>10</v>
      </c>
      <c r="I215">
        <v>14.7</v>
      </c>
      <c r="J215" t="s">
        <v>15</v>
      </c>
      <c r="K215">
        <v>4.0999999999999996</v>
      </c>
      <c r="L215" t="s">
        <v>52</v>
      </c>
      <c r="M215" s="8">
        <v>0.64</v>
      </c>
    </row>
    <row r="216" spans="1:13" x14ac:dyDescent="0.25">
      <c r="A216">
        <v>215</v>
      </c>
      <c r="B216">
        <v>8.3000000000000007</v>
      </c>
      <c r="C216">
        <v>2.2000000000000002</v>
      </c>
      <c r="D216">
        <v>5.4</v>
      </c>
      <c r="E216">
        <v>2.5</v>
      </c>
      <c r="F216">
        <v>5.6</v>
      </c>
      <c r="G216">
        <v>2.97</v>
      </c>
      <c r="H216" t="s">
        <v>10</v>
      </c>
      <c r="I216">
        <v>18.600000000000001</v>
      </c>
      <c r="J216" t="s">
        <v>13</v>
      </c>
      <c r="K216">
        <v>2.88</v>
      </c>
      <c r="L216" t="s">
        <v>52</v>
      </c>
      <c r="M216" s="8">
        <v>0.45</v>
      </c>
    </row>
    <row r="217" spans="1:13" x14ac:dyDescent="0.25">
      <c r="A217">
        <v>216</v>
      </c>
      <c r="B217">
        <v>8.6</v>
      </c>
      <c r="C217">
        <v>2</v>
      </c>
      <c r="D217">
        <v>5.4</v>
      </c>
      <c r="E217">
        <v>1.3</v>
      </c>
      <c r="F217">
        <v>6.7</v>
      </c>
      <c r="G217">
        <v>3.14</v>
      </c>
      <c r="H217" t="s">
        <v>10</v>
      </c>
      <c r="I217">
        <v>18.600000000000001</v>
      </c>
      <c r="J217" t="s">
        <v>15</v>
      </c>
      <c r="K217">
        <v>3.56</v>
      </c>
      <c r="L217" t="s">
        <v>52</v>
      </c>
      <c r="M217" s="8">
        <v>0.46</v>
      </c>
    </row>
    <row r="218" spans="1:13" x14ac:dyDescent="0.25">
      <c r="A218">
        <v>217</v>
      </c>
      <c r="B218">
        <v>8.4</v>
      </c>
      <c r="C218">
        <v>0.3</v>
      </c>
      <c r="D218">
        <v>9.3000000000000007</v>
      </c>
      <c r="E218">
        <v>3</v>
      </c>
      <c r="F218">
        <v>3</v>
      </c>
      <c r="G218">
        <v>3.77</v>
      </c>
      <c r="H218" t="s">
        <v>10</v>
      </c>
      <c r="I218">
        <v>14.700000000000001</v>
      </c>
      <c r="J218" t="s">
        <v>14</v>
      </c>
      <c r="K218">
        <v>3.4</v>
      </c>
      <c r="L218" t="s">
        <v>52</v>
      </c>
      <c r="M218" s="8">
        <v>0.56999999999999995</v>
      </c>
    </row>
    <row r="219" spans="1:13" x14ac:dyDescent="0.25">
      <c r="A219">
        <v>218</v>
      </c>
      <c r="B219">
        <v>9.1</v>
      </c>
      <c r="C219">
        <v>1.4</v>
      </c>
      <c r="D219">
        <v>8.4</v>
      </c>
      <c r="E219">
        <v>2.9</v>
      </c>
      <c r="F219">
        <v>2.2000000000000002</v>
      </c>
      <c r="G219">
        <v>3.26</v>
      </c>
      <c r="H219" t="s">
        <v>10</v>
      </c>
      <c r="I219">
        <v>15.600000000000001</v>
      </c>
      <c r="J219" t="s">
        <v>15</v>
      </c>
      <c r="K219">
        <v>3.52</v>
      </c>
      <c r="L219" t="s">
        <v>52</v>
      </c>
      <c r="M219" s="8">
        <v>0.57999999999999996</v>
      </c>
    </row>
    <row r="220" spans="1:13" x14ac:dyDescent="0.25">
      <c r="A220">
        <v>219</v>
      </c>
      <c r="B220">
        <v>6.3</v>
      </c>
      <c r="C220">
        <v>3.5</v>
      </c>
      <c r="D220">
        <v>9</v>
      </c>
      <c r="E220">
        <v>3.4</v>
      </c>
      <c r="F220">
        <v>1.8</v>
      </c>
      <c r="G220">
        <v>3.11</v>
      </c>
      <c r="H220" t="s">
        <v>8</v>
      </c>
      <c r="I220">
        <v>15.000000000000002</v>
      </c>
      <c r="J220" t="s">
        <v>15</v>
      </c>
      <c r="K220">
        <v>1.87</v>
      </c>
      <c r="L220" t="s">
        <v>52</v>
      </c>
      <c r="M220" s="8">
        <v>0.42</v>
      </c>
    </row>
    <row r="221" spans="1:13" x14ac:dyDescent="0.25">
      <c r="A221">
        <v>220</v>
      </c>
      <c r="B221">
        <v>8.5</v>
      </c>
      <c r="C221">
        <v>2.7</v>
      </c>
      <c r="D221">
        <v>8.1</v>
      </c>
      <c r="E221">
        <v>3.5</v>
      </c>
      <c r="F221">
        <v>1.2</v>
      </c>
      <c r="G221">
        <v>3.38</v>
      </c>
      <c r="H221" t="s">
        <v>10</v>
      </c>
      <c r="I221">
        <v>15.899999999999999</v>
      </c>
      <c r="J221" t="s">
        <v>15</v>
      </c>
      <c r="K221">
        <v>3.16</v>
      </c>
      <c r="L221" t="s">
        <v>52</v>
      </c>
      <c r="M221" s="8">
        <v>0.53</v>
      </c>
    </row>
    <row r="222" spans="1:13" x14ac:dyDescent="0.25">
      <c r="A222">
        <v>221</v>
      </c>
      <c r="B222">
        <v>5.8</v>
      </c>
      <c r="C222">
        <v>3.5</v>
      </c>
      <c r="D222">
        <v>9.4</v>
      </c>
      <c r="E222">
        <v>0.2</v>
      </c>
      <c r="F222">
        <v>5.0999999999999996</v>
      </c>
      <c r="G222">
        <v>2.84</v>
      </c>
      <c r="H222" t="s">
        <v>9</v>
      </c>
      <c r="I222">
        <v>14.6</v>
      </c>
      <c r="J222" t="s">
        <v>13</v>
      </c>
      <c r="K222">
        <v>2.4900000000000002</v>
      </c>
      <c r="L222" t="s">
        <v>52</v>
      </c>
      <c r="M222" s="8">
        <v>0.4</v>
      </c>
    </row>
    <row r="223" spans="1:13" x14ac:dyDescent="0.25">
      <c r="A223">
        <v>222</v>
      </c>
      <c r="B223">
        <v>6.7</v>
      </c>
      <c r="C223">
        <v>3</v>
      </c>
      <c r="D223">
        <v>5.8</v>
      </c>
      <c r="E223">
        <v>4.9000000000000004</v>
      </c>
      <c r="F223">
        <v>3.6</v>
      </c>
      <c r="G223">
        <v>3.03</v>
      </c>
      <c r="H223" t="s">
        <v>10</v>
      </c>
      <c r="I223">
        <v>18.2</v>
      </c>
      <c r="J223" t="s">
        <v>15</v>
      </c>
      <c r="K223">
        <v>1.64</v>
      </c>
      <c r="L223" t="s">
        <v>52</v>
      </c>
      <c r="M223" s="8">
        <v>0.37</v>
      </c>
    </row>
    <row r="224" spans="1:13" x14ac:dyDescent="0.25">
      <c r="A224">
        <v>223</v>
      </c>
      <c r="B224">
        <v>9.1999999999999993</v>
      </c>
      <c r="C224">
        <v>2</v>
      </c>
      <c r="D224">
        <v>5</v>
      </c>
      <c r="E224">
        <v>1.7</v>
      </c>
      <c r="F224">
        <v>6.1</v>
      </c>
      <c r="G224">
        <v>3.42</v>
      </c>
      <c r="H224" t="s">
        <v>10</v>
      </c>
      <c r="I224">
        <v>19</v>
      </c>
      <c r="J224" t="s">
        <v>15</v>
      </c>
      <c r="K224">
        <v>3.58</v>
      </c>
      <c r="L224" t="s">
        <v>52</v>
      </c>
      <c r="M224" s="8">
        <v>0.48</v>
      </c>
    </row>
    <row r="225" spans="1:13" x14ac:dyDescent="0.25">
      <c r="A225">
        <v>224</v>
      </c>
      <c r="B225">
        <v>8.1999999999999993</v>
      </c>
      <c r="C225">
        <v>1</v>
      </c>
      <c r="D225">
        <v>8.1999999999999993</v>
      </c>
      <c r="E225">
        <v>3.2</v>
      </c>
      <c r="F225">
        <v>3.4</v>
      </c>
      <c r="G225">
        <v>3.24</v>
      </c>
      <c r="H225" t="s">
        <v>10</v>
      </c>
      <c r="I225">
        <v>15.799999999999999</v>
      </c>
      <c r="J225" t="s">
        <v>15</v>
      </c>
      <c r="K225">
        <v>3.03</v>
      </c>
      <c r="L225" t="s">
        <v>52</v>
      </c>
      <c r="M225" s="8">
        <v>0.52</v>
      </c>
    </row>
    <row r="226" spans="1:13" x14ac:dyDescent="0.25">
      <c r="A226">
        <v>225</v>
      </c>
      <c r="B226">
        <v>8.9</v>
      </c>
      <c r="C226">
        <v>0.4</v>
      </c>
      <c r="D226">
        <v>8.8000000000000007</v>
      </c>
      <c r="E226">
        <v>3.2</v>
      </c>
      <c r="F226">
        <v>2.7</v>
      </c>
      <c r="G226">
        <v>3.32</v>
      </c>
      <c r="H226" t="s">
        <v>10</v>
      </c>
      <c r="I226">
        <v>15.2</v>
      </c>
      <c r="J226" t="s">
        <v>15</v>
      </c>
      <c r="K226">
        <v>3.61</v>
      </c>
      <c r="L226" t="s">
        <v>52</v>
      </c>
      <c r="M226" s="8">
        <v>0.59</v>
      </c>
    </row>
    <row r="227" spans="1:13" x14ac:dyDescent="0.25">
      <c r="A227">
        <v>226</v>
      </c>
      <c r="B227">
        <v>8.1999999999999993</v>
      </c>
      <c r="C227">
        <v>3.7</v>
      </c>
      <c r="D227">
        <v>5.5</v>
      </c>
      <c r="E227">
        <v>5.6</v>
      </c>
      <c r="F227">
        <v>1</v>
      </c>
      <c r="G227">
        <v>3.29</v>
      </c>
      <c r="H227" t="s">
        <v>10</v>
      </c>
      <c r="I227">
        <v>18.5</v>
      </c>
      <c r="J227" t="s">
        <v>15</v>
      </c>
      <c r="K227">
        <v>3.04</v>
      </c>
      <c r="L227" t="s">
        <v>52</v>
      </c>
      <c r="M227" s="8">
        <v>0.44</v>
      </c>
    </row>
    <row r="228" spans="1:13" x14ac:dyDescent="0.25">
      <c r="A228">
        <v>227</v>
      </c>
      <c r="B228">
        <v>8.4</v>
      </c>
      <c r="C228">
        <v>0.3</v>
      </c>
      <c r="D228">
        <v>6.5</v>
      </c>
      <c r="E228">
        <v>4.2</v>
      </c>
      <c r="F228">
        <v>4.5999999999999996</v>
      </c>
      <c r="G228">
        <v>3.29</v>
      </c>
      <c r="H228" t="s">
        <v>10</v>
      </c>
      <c r="I228">
        <v>17.5</v>
      </c>
      <c r="J228" t="s">
        <v>15</v>
      </c>
      <c r="K228">
        <v>3.31</v>
      </c>
      <c r="L228" t="s">
        <v>52</v>
      </c>
      <c r="M228" s="8">
        <v>0.48</v>
      </c>
    </row>
    <row r="229" spans="1:13" x14ac:dyDescent="0.25">
      <c r="A229">
        <v>228</v>
      </c>
      <c r="B229">
        <v>6.7</v>
      </c>
      <c r="C229">
        <v>2.5</v>
      </c>
      <c r="D229">
        <v>5.2</v>
      </c>
      <c r="E229">
        <v>5.2</v>
      </c>
      <c r="F229">
        <v>4.4000000000000004</v>
      </c>
      <c r="G229">
        <v>2.86</v>
      </c>
      <c r="H229" t="s">
        <v>10</v>
      </c>
      <c r="I229">
        <v>18.799999999999997</v>
      </c>
      <c r="J229" t="s">
        <v>13</v>
      </c>
      <c r="K229">
        <v>1.75</v>
      </c>
      <c r="L229" t="s">
        <v>52</v>
      </c>
      <c r="M229" s="8">
        <v>0.36</v>
      </c>
    </row>
    <row r="230" spans="1:13" x14ac:dyDescent="0.25">
      <c r="A230">
        <v>229</v>
      </c>
      <c r="B230">
        <v>9.9</v>
      </c>
      <c r="C230">
        <v>3.9</v>
      </c>
      <c r="D230">
        <v>8.6999999999999993</v>
      </c>
      <c r="E230">
        <v>0.2</v>
      </c>
      <c r="F230">
        <v>1.3</v>
      </c>
      <c r="G230">
        <v>3.8</v>
      </c>
      <c r="H230" t="s">
        <v>10</v>
      </c>
      <c r="I230">
        <v>15.3</v>
      </c>
      <c r="J230" t="s">
        <v>14</v>
      </c>
      <c r="K230">
        <v>4.34</v>
      </c>
      <c r="L230" t="s">
        <v>52</v>
      </c>
      <c r="M230" s="8">
        <v>0.65</v>
      </c>
    </row>
    <row r="231" spans="1:13" x14ac:dyDescent="0.25">
      <c r="A231">
        <v>230</v>
      </c>
      <c r="B231">
        <v>8.4</v>
      </c>
      <c r="C231">
        <v>1.8</v>
      </c>
      <c r="D231">
        <v>6.4</v>
      </c>
      <c r="E231">
        <v>6</v>
      </c>
      <c r="F231">
        <v>1.4</v>
      </c>
      <c r="G231">
        <v>3.25</v>
      </c>
      <c r="H231" t="s">
        <v>10</v>
      </c>
      <c r="I231">
        <v>17.600000000000001</v>
      </c>
      <c r="J231" t="s">
        <v>15</v>
      </c>
      <c r="K231">
        <v>3.38</v>
      </c>
      <c r="L231" t="s">
        <v>52</v>
      </c>
      <c r="M231" s="8">
        <v>0.48</v>
      </c>
    </row>
    <row r="232" spans="1:13" x14ac:dyDescent="0.25">
      <c r="A232">
        <v>231</v>
      </c>
      <c r="B232">
        <v>7.1</v>
      </c>
      <c r="C232">
        <v>1.8</v>
      </c>
      <c r="D232">
        <v>5.8</v>
      </c>
      <c r="E232">
        <v>4.8</v>
      </c>
      <c r="F232">
        <v>4.5</v>
      </c>
      <c r="G232">
        <v>2.86</v>
      </c>
      <c r="H232" t="s">
        <v>10</v>
      </c>
      <c r="I232">
        <v>18.2</v>
      </c>
      <c r="J232" t="s">
        <v>13</v>
      </c>
      <c r="K232">
        <v>2.17</v>
      </c>
      <c r="L232" t="s">
        <v>52</v>
      </c>
      <c r="M232" s="8">
        <v>0.39</v>
      </c>
    </row>
    <row r="233" spans="1:13" x14ac:dyDescent="0.25">
      <c r="A233">
        <v>232</v>
      </c>
      <c r="B233">
        <v>5.4</v>
      </c>
      <c r="C233">
        <v>2.7</v>
      </c>
      <c r="D233">
        <v>8.3000000000000007</v>
      </c>
      <c r="E233">
        <v>1.6</v>
      </c>
      <c r="F233">
        <v>6</v>
      </c>
      <c r="G233">
        <v>2.95</v>
      </c>
      <c r="H233" t="s">
        <v>9</v>
      </c>
      <c r="I233">
        <v>15.700000000000001</v>
      </c>
      <c r="J233" t="s">
        <v>13</v>
      </c>
      <c r="K233">
        <v>2.11</v>
      </c>
      <c r="L233" t="s">
        <v>52</v>
      </c>
      <c r="M233" s="8">
        <v>0.34</v>
      </c>
    </row>
    <row r="234" spans="1:13" x14ac:dyDescent="0.25">
      <c r="A234">
        <v>233</v>
      </c>
      <c r="B234">
        <v>9.8000000000000007</v>
      </c>
      <c r="C234">
        <v>0.6</v>
      </c>
      <c r="D234">
        <v>7.2</v>
      </c>
      <c r="E234">
        <v>5.7</v>
      </c>
      <c r="F234">
        <v>0.7</v>
      </c>
      <c r="G234">
        <v>3.84</v>
      </c>
      <c r="H234" t="s">
        <v>10</v>
      </c>
      <c r="I234">
        <v>16.8</v>
      </c>
      <c r="J234" t="s">
        <v>14</v>
      </c>
      <c r="K234">
        <v>4.43</v>
      </c>
      <c r="L234" t="s">
        <v>52</v>
      </c>
      <c r="M234" s="8">
        <v>0.57999999999999996</v>
      </c>
    </row>
    <row r="235" spans="1:13" x14ac:dyDescent="0.25">
      <c r="A235">
        <v>234</v>
      </c>
      <c r="B235">
        <v>7</v>
      </c>
      <c r="C235">
        <v>1.1000000000000001</v>
      </c>
      <c r="D235">
        <v>9.9</v>
      </c>
      <c r="E235">
        <v>2.5</v>
      </c>
      <c r="F235">
        <v>3.5</v>
      </c>
      <c r="G235">
        <v>2.84</v>
      </c>
      <c r="H235" t="s">
        <v>8</v>
      </c>
      <c r="I235">
        <v>14.1</v>
      </c>
      <c r="J235" t="s">
        <v>13</v>
      </c>
      <c r="K235">
        <v>2.52</v>
      </c>
      <c r="L235" t="s">
        <v>52</v>
      </c>
      <c r="M235" s="8">
        <v>0.5</v>
      </c>
    </row>
    <row r="236" spans="1:13" x14ac:dyDescent="0.25">
      <c r="A236">
        <v>235</v>
      </c>
      <c r="B236">
        <v>9.5</v>
      </c>
      <c r="C236">
        <v>0.9</v>
      </c>
      <c r="D236">
        <v>6.1</v>
      </c>
      <c r="E236">
        <v>0.2</v>
      </c>
      <c r="F236">
        <v>7.3</v>
      </c>
      <c r="G236">
        <v>3.17</v>
      </c>
      <c r="H236" t="s">
        <v>10</v>
      </c>
      <c r="I236">
        <v>17.899999999999999</v>
      </c>
      <c r="J236" t="s">
        <v>15</v>
      </c>
      <c r="K236">
        <v>4.63</v>
      </c>
      <c r="L236" t="s">
        <v>52</v>
      </c>
      <c r="M236" s="8">
        <v>0.53</v>
      </c>
    </row>
    <row r="237" spans="1:13" x14ac:dyDescent="0.25">
      <c r="A237">
        <v>236</v>
      </c>
      <c r="B237">
        <v>9.3000000000000007</v>
      </c>
      <c r="C237">
        <v>1.9</v>
      </c>
      <c r="D237">
        <v>9.8000000000000007</v>
      </c>
      <c r="E237">
        <v>0.6</v>
      </c>
      <c r="F237">
        <v>2.4</v>
      </c>
      <c r="G237">
        <v>3.68</v>
      </c>
      <c r="H237" t="s">
        <v>10</v>
      </c>
      <c r="I237">
        <v>14.200000000000001</v>
      </c>
      <c r="J237" t="s">
        <v>14</v>
      </c>
      <c r="K237">
        <v>3.91</v>
      </c>
      <c r="L237" t="s">
        <v>52</v>
      </c>
      <c r="M237" s="8">
        <v>0.65</v>
      </c>
    </row>
    <row r="238" spans="1:13" x14ac:dyDescent="0.25">
      <c r="A238">
        <v>237</v>
      </c>
      <c r="B238">
        <v>9.3000000000000007</v>
      </c>
      <c r="C238">
        <v>3.1</v>
      </c>
      <c r="D238">
        <v>8.9</v>
      </c>
      <c r="E238">
        <v>2.2999999999999998</v>
      </c>
      <c r="F238">
        <v>0.4</v>
      </c>
      <c r="G238">
        <v>3.52</v>
      </c>
      <c r="H238" t="s">
        <v>10</v>
      </c>
      <c r="I238">
        <v>15.1</v>
      </c>
      <c r="J238" t="s">
        <v>14</v>
      </c>
      <c r="K238">
        <v>3.85</v>
      </c>
      <c r="L238" t="s">
        <v>52</v>
      </c>
      <c r="M238" s="8">
        <v>0.62</v>
      </c>
    </row>
    <row r="239" spans="1:13" x14ac:dyDescent="0.25">
      <c r="A239">
        <v>238</v>
      </c>
      <c r="B239">
        <v>5.7</v>
      </c>
      <c r="C239">
        <v>0.1</v>
      </c>
      <c r="D239">
        <v>9.6</v>
      </c>
      <c r="E239">
        <v>3.7</v>
      </c>
      <c r="F239">
        <v>4.9000000000000004</v>
      </c>
      <c r="G239">
        <v>3.12</v>
      </c>
      <c r="H239" t="s">
        <v>9</v>
      </c>
      <c r="I239">
        <v>14.4</v>
      </c>
      <c r="J239" t="s">
        <v>15</v>
      </c>
      <c r="K239">
        <v>2.4700000000000002</v>
      </c>
      <c r="L239" t="s">
        <v>52</v>
      </c>
      <c r="M239" s="8">
        <v>0.4</v>
      </c>
    </row>
    <row r="240" spans="1:13" x14ac:dyDescent="0.25">
      <c r="A240">
        <v>239</v>
      </c>
      <c r="B240">
        <v>9</v>
      </c>
      <c r="C240">
        <v>1.9</v>
      </c>
      <c r="D240">
        <v>5.6</v>
      </c>
      <c r="E240">
        <v>0.8</v>
      </c>
      <c r="F240">
        <v>6.7</v>
      </c>
      <c r="G240">
        <v>3.21</v>
      </c>
      <c r="H240" t="s">
        <v>10</v>
      </c>
      <c r="I240">
        <v>18.400000000000002</v>
      </c>
      <c r="J240" t="s">
        <v>15</v>
      </c>
      <c r="K240">
        <v>3.89</v>
      </c>
      <c r="L240" t="s">
        <v>52</v>
      </c>
      <c r="M240" s="8">
        <v>0.49</v>
      </c>
    </row>
    <row r="241" spans="1:13" x14ac:dyDescent="0.25">
      <c r="A241">
        <v>240</v>
      </c>
      <c r="B241">
        <v>6</v>
      </c>
      <c r="C241">
        <v>2</v>
      </c>
      <c r="D241">
        <v>5.3</v>
      </c>
      <c r="E241">
        <v>3.5</v>
      </c>
      <c r="F241">
        <v>7.2</v>
      </c>
      <c r="G241">
        <v>3.26</v>
      </c>
      <c r="H241" t="s">
        <v>10</v>
      </c>
      <c r="I241">
        <v>18.7</v>
      </c>
      <c r="J241" t="s">
        <v>15</v>
      </c>
      <c r="K241">
        <v>2.36</v>
      </c>
      <c r="L241" t="s">
        <v>52</v>
      </c>
      <c r="M241" s="8">
        <v>0.32</v>
      </c>
    </row>
    <row r="242" spans="1:13" x14ac:dyDescent="0.25">
      <c r="A242">
        <v>241</v>
      </c>
      <c r="B242">
        <v>6.3</v>
      </c>
      <c r="C242">
        <v>3.2</v>
      </c>
      <c r="D242">
        <v>6.6</v>
      </c>
      <c r="E242">
        <v>2.7</v>
      </c>
      <c r="F242">
        <v>5.2</v>
      </c>
      <c r="G242">
        <v>2.85</v>
      </c>
      <c r="H242" t="s">
        <v>8</v>
      </c>
      <c r="I242">
        <v>17.399999999999999</v>
      </c>
      <c r="J242" t="s">
        <v>13</v>
      </c>
      <c r="K242">
        <v>1.69</v>
      </c>
      <c r="L242" t="s">
        <v>52</v>
      </c>
      <c r="M242" s="8">
        <v>0.36</v>
      </c>
    </row>
    <row r="243" spans="1:13" x14ac:dyDescent="0.25">
      <c r="A243">
        <v>242</v>
      </c>
      <c r="B243">
        <v>8</v>
      </c>
      <c r="C243">
        <v>1.2</v>
      </c>
      <c r="D243">
        <v>8.5</v>
      </c>
      <c r="E243">
        <v>5.2</v>
      </c>
      <c r="F243">
        <v>1.1000000000000001</v>
      </c>
      <c r="G243">
        <v>2.72</v>
      </c>
      <c r="H243" t="s">
        <v>8</v>
      </c>
      <c r="I243">
        <v>15.499999999999998</v>
      </c>
      <c r="J243" t="s">
        <v>13</v>
      </c>
      <c r="K243">
        <v>3.35</v>
      </c>
      <c r="L243" t="s">
        <v>52</v>
      </c>
      <c r="M243" s="8">
        <v>0.52</v>
      </c>
    </row>
    <row r="244" spans="1:13" x14ac:dyDescent="0.25">
      <c r="A244">
        <v>243</v>
      </c>
      <c r="B244">
        <v>8.9</v>
      </c>
      <c r="C244">
        <v>0.2</v>
      </c>
      <c r="D244">
        <v>7.4</v>
      </c>
      <c r="E244">
        <v>0.6</v>
      </c>
      <c r="F244">
        <v>6.9</v>
      </c>
      <c r="G244">
        <v>3.33</v>
      </c>
      <c r="H244" t="s">
        <v>10</v>
      </c>
      <c r="I244">
        <v>16.600000000000001</v>
      </c>
      <c r="J244" t="s">
        <v>15</v>
      </c>
      <c r="K244">
        <v>4.41</v>
      </c>
      <c r="L244" t="s">
        <v>52</v>
      </c>
      <c r="M244" s="8">
        <v>0.54</v>
      </c>
    </row>
    <row r="245" spans="1:13" x14ac:dyDescent="0.25">
      <c r="A245">
        <v>244</v>
      </c>
      <c r="B245">
        <v>8.1</v>
      </c>
      <c r="C245">
        <v>2.8</v>
      </c>
      <c r="D245">
        <v>7.8</v>
      </c>
      <c r="E245">
        <v>0.1</v>
      </c>
      <c r="F245">
        <v>5.2</v>
      </c>
      <c r="G245">
        <v>2.98</v>
      </c>
      <c r="H245" t="s">
        <v>10</v>
      </c>
      <c r="I245">
        <v>16.2</v>
      </c>
      <c r="J245" t="s">
        <v>13</v>
      </c>
      <c r="K245">
        <v>3.41</v>
      </c>
      <c r="L245" t="s">
        <v>52</v>
      </c>
      <c r="M245" s="8">
        <v>0.5</v>
      </c>
    </row>
    <row r="246" spans="1:13" x14ac:dyDescent="0.25">
      <c r="A246">
        <v>245</v>
      </c>
      <c r="B246">
        <v>6.6</v>
      </c>
      <c r="C246">
        <v>2.1</v>
      </c>
      <c r="D246">
        <v>5.4</v>
      </c>
      <c r="E246">
        <v>2.1</v>
      </c>
      <c r="F246">
        <v>7.8</v>
      </c>
      <c r="G246">
        <v>2.79</v>
      </c>
      <c r="H246" t="s">
        <v>10</v>
      </c>
      <c r="I246">
        <v>18.599999999999998</v>
      </c>
      <c r="J246" t="s">
        <v>13</v>
      </c>
      <c r="K246">
        <v>2.98</v>
      </c>
      <c r="L246" t="s">
        <v>52</v>
      </c>
      <c r="M246" s="8">
        <v>0.35</v>
      </c>
    </row>
    <row r="247" spans="1:13" x14ac:dyDescent="0.25">
      <c r="A247">
        <v>246</v>
      </c>
      <c r="B247">
        <v>7.8</v>
      </c>
      <c r="C247">
        <v>2.8</v>
      </c>
      <c r="D247">
        <v>9</v>
      </c>
      <c r="E247">
        <v>0.9</v>
      </c>
      <c r="F247">
        <v>3.5</v>
      </c>
      <c r="G247">
        <v>3.11</v>
      </c>
      <c r="H247" t="s">
        <v>8</v>
      </c>
      <c r="I247">
        <v>15</v>
      </c>
      <c r="J247" t="s">
        <v>15</v>
      </c>
      <c r="K247">
        <v>2.91</v>
      </c>
      <c r="L247" t="s">
        <v>52</v>
      </c>
      <c r="M247" s="8">
        <v>0.52</v>
      </c>
    </row>
    <row r="248" spans="1:13" x14ac:dyDescent="0.25">
      <c r="A248">
        <v>247</v>
      </c>
      <c r="B248">
        <v>5.8</v>
      </c>
      <c r="C248">
        <v>0.4</v>
      </c>
      <c r="D248">
        <v>8.1999999999999993</v>
      </c>
      <c r="E248">
        <v>4.2</v>
      </c>
      <c r="F248">
        <v>5.4</v>
      </c>
      <c r="G248">
        <v>2.88</v>
      </c>
      <c r="H248" t="s">
        <v>9</v>
      </c>
      <c r="I248">
        <v>15.8</v>
      </c>
      <c r="J248" t="s">
        <v>13</v>
      </c>
      <c r="K248">
        <v>2.46</v>
      </c>
      <c r="L248" t="s">
        <v>52</v>
      </c>
      <c r="M248" s="8">
        <v>0.37</v>
      </c>
    </row>
    <row r="249" spans="1:13" x14ac:dyDescent="0.25">
      <c r="A249">
        <v>248</v>
      </c>
      <c r="B249">
        <v>8.5</v>
      </c>
      <c r="C249">
        <v>3.5</v>
      </c>
      <c r="D249">
        <v>8.6</v>
      </c>
      <c r="E249">
        <v>2.7</v>
      </c>
      <c r="F249">
        <v>0.7</v>
      </c>
      <c r="G249">
        <v>3.15</v>
      </c>
      <c r="H249" t="s">
        <v>10</v>
      </c>
      <c r="I249">
        <v>15.399999999999999</v>
      </c>
      <c r="J249" t="s">
        <v>15</v>
      </c>
      <c r="K249">
        <v>3.32</v>
      </c>
      <c r="L249" t="s">
        <v>52</v>
      </c>
      <c r="M249" s="8">
        <v>0.55000000000000004</v>
      </c>
    </row>
    <row r="250" spans="1:13" x14ac:dyDescent="0.25">
      <c r="A250">
        <v>249</v>
      </c>
      <c r="B250">
        <v>6.7</v>
      </c>
      <c r="C250">
        <v>3.3</v>
      </c>
      <c r="D250">
        <v>5.4</v>
      </c>
      <c r="E250">
        <v>5.4</v>
      </c>
      <c r="F250">
        <v>3.2</v>
      </c>
      <c r="G250">
        <v>3.27</v>
      </c>
      <c r="H250" t="s">
        <v>10</v>
      </c>
      <c r="I250">
        <v>18.600000000000001</v>
      </c>
      <c r="J250" t="s">
        <v>15</v>
      </c>
      <c r="K250">
        <v>1.7</v>
      </c>
      <c r="L250" t="s">
        <v>52</v>
      </c>
      <c r="M250" s="8">
        <v>0.36</v>
      </c>
    </row>
    <row r="251" spans="1:13" x14ac:dyDescent="0.25">
      <c r="A251">
        <v>250</v>
      </c>
      <c r="B251">
        <v>7.3</v>
      </c>
      <c r="C251">
        <v>2.6</v>
      </c>
      <c r="D251">
        <v>7.6</v>
      </c>
      <c r="E251">
        <v>4.4000000000000004</v>
      </c>
      <c r="F251">
        <v>2.1</v>
      </c>
      <c r="G251">
        <v>3.13</v>
      </c>
      <c r="H251" t="s">
        <v>8</v>
      </c>
      <c r="I251">
        <v>16.400000000000002</v>
      </c>
      <c r="J251" t="s">
        <v>15</v>
      </c>
      <c r="K251">
        <v>2.35</v>
      </c>
      <c r="L251" t="s">
        <v>52</v>
      </c>
      <c r="M251" s="8">
        <v>0.45</v>
      </c>
    </row>
    <row r="252" spans="1:13" x14ac:dyDescent="0.25">
      <c r="A252">
        <v>251</v>
      </c>
      <c r="B252">
        <v>5.4</v>
      </c>
      <c r="C252">
        <v>0.2</v>
      </c>
      <c r="D252">
        <v>6.2</v>
      </c>
      <c r="E252">
        <v>1</v>
      </c>
      <c r="F252">
        <v>11.2</v>
      </c>
      <c r="G252">
        <v>2.75</v>
      </c>
      <c r="H252" t="s">
        <v>9</v>
      </c>
      <c r="I252">
        <v>17.8</v>
      </c>
      <c r="J252" t="s">
        <v>13</v>
      </c>
      <c r="K252">
        <v>5.05</v>
      </c>
      <c r="L252" t="s">
        <v>52</v>
      </c>
      <c r="M252" s="8">
        <v>0.3</v>
      </c>
    </row>
    <row r="253" spans="1:13" x14ac:dyDescent="0.25">
      <c r="A253">
        <v>252</v>
      </c>
      <c r="B253">
        <v>9.9</v>
      </c>
      <c r="C253">
        <v>1.3</v>
      </c>
      <c r="D253">
        <v>5.9</v>
      </c>
      <c r="E253">
        <v>4.7</v>
      </c>
      <c r="F253">
        <v>2.2000000000000002</v>
      </c>
      <c r="G253">
        <v>3.57</v>
      </c>
      <c r="H253" t="s">
        <v>10</v>
      </c>
      <c r="I253">
        <v>18.100000000000001</v>
      </c>
      <c r="J253" t="s">
        <v>14</v>
      </c>
      <c r="K253">
        <v>3.86</v>
      </c>
      <c r="L253" t="s">
        <v>52</v>
      </c>
      <c r="M253" s="8">
        <v>0.55000000000000004</v>
      </c>
    </row>
    <row r="254" spans="1:13" x14ac:dyDescent="0.25">
      <c r="A254">
        <v>253</v>
      </c>
      <c r="B254">
        <v>8.3000000000000007</v>
      </c>
      <c r="C254">
        <v>2</v>
      </c>
      <c r="D254">
        <v>7.8</v>
      </c>
      <c r="E254">
        <v>4.2</v>
      </c>
      <c r="F254">
        <v>1.7</v>
      </c>
      <c r="G254">
        <v>3.25</v>
      </c>
      <c r="H254" t="s">
        <v>10</v>
      </c>
      <c r="I254">
        <v>16.2</v>
      </c>
      <c r="J254" t="s">
        <v>15</v>
      </c>
      <c r="K254">
        <v>3.04</v>
      </c>
      <c r="L254" t="s">
        <v>52</v>
      </c>
      <c r="M254" s="8">
        <v>0.51</v>
      </c>
    </row>
    <row r="255" spans="1:13" x14ac:dyDescent="0.25">
      <c r="A255">
        <v>254</v>
      </c>
      <c r="B255">
        <v>6</v>
      </c>
      <c r="C255">
        <v>2.7</v>
      </c>
      <c r="D255">
        <v>5.4</v>
      </c>
      <c r="E255">
        <v>0.2</v>
      </c>
      <c r="F255">
        <v>9.6999999999999993</v>
      </c>
      <c r="G255">
        <v>2.92</v>
      </c>
      <c r="H255" t="s">
        <v>10</v>
      </c>
      <c r="I255">
        <v>18.599999999999998</v>
      </c>
      <c r="J255" t="s">
        <v>13</v>
      </c>
      <c r="K255">
        <v>4.12</v>
      </c>
      <c r="L255" t="s">
        <v>52</v>
      </c>
      <c r="M255" s="8">
        <v>0.32</v>
      </c>
    </row>
    <row r="256" spans="1:13" x14ac:dyDescent="0.25">
      <c r="A256">
        <v>255</v>
      </c>
      <c r="B256">
        <v>6.3</v>
      </c>
      <c r="C256">
        <v>1.9</v>
      </c>
      <c r="D256">
        <v>9.3000000000000007</v>
      </c>
      <c r="E256">
        <v>4.4000000000000004</v>
      </c>
      <c r="F256">
        <v>2.1</v>
      </c>
      <c r="G256">
        <v>2.85</v>
      </c>
      <c r="H256" t="s">
        <v>8</v>
      </c>
      <c r="I256">
        <v>14.7</v>
      </c>
      <c r="J256" t="s">
        <v>13</v>
      </c>
      <c r="K256">
        <v>2.09</v>
      </c>
      <c r="L256" t="s">
        <v>52</v>
      </c>
      <c r="M256" s="8">
        <v>0.43</v>
      </c>
    </row>
    <row r="257" spans="1:13" x14ac:dyDescent="0.25">
      <c r="A257">
        <v>256</v>
      </c>
      <c r="B257">
        <v>6.7</v>
      </c>
      <c r="C257">
        <v>1.5</v>
      </c>
      <c r="D257">
        <v>9.9</v>
      </c>
      <c r="E257">
        <v>0.2</v>
      </c>
      <c r="F257">
        <v>5.7</v>
      </c>
      <c r="G257">
        <v>3.32</v>
      </c>
      <c r="H257" t="s">
        <v>8</v>
      </c>
      <c r="I257">
        <v>14.099999999999998</v>
      </c>
      <c r="J257" t="s">
        <v>15</v>
      </c>
      <c r="K257">
        <v>3.16</v>
      </c>
      <c r="L257" t="s">
        <v>52</v>
      </c>
      <c r="M257" s="8">
        <v>0.48</v>
      </c>
    </row>
    <row r="258" spans="1:13" x14ac:dyDescent="0.25">
      <c r="A258">
        <v>257</v>
      </c>
      <c r="B258">
        <v>9.3000000000000007</v>
      </c>
      <c r="C258">
        <v>2.2999999999999998</v>
      </c>
      <c r="D258">
        <v>7.2</v>
      </c>
      <c r="E258">
        <v>3.8</v>
      </c>
      <c r="F258">
        <v>1.4</v>
      </c>
      <c r="G258">
        <v>3.61</v>
      </c>
      <c r="H258" t="s">
        <v>10</v>
      </c>
      <c r="I258">
        <v>16.8</v>
      </c>
      <c r="J258" t="s">
        <v>14</v>
      </c>
      <c r="K258">
        <v>3.54</v>
      </c>
      <c r="L258" t="s">
        <v>52</v>
      </c>
      <c r="M258" s="8">
        <v>0.55000000000000004</v>
      </c>
    </row>
    <row r="259" spans="1:13" x14ac:dyDescent="0.25">
      <c r="A259">
        <v>258</v>
      </c>
      <c r="B259">
        <v>9.5</v>
      </c>
      <c r="C259">
        <v>1.7</v>
      </c>
      <c r="D259">
        <v>6.4</v>
      </c>
      <c r="E259">
        <v>3.6</v>
      </c>
      <c r="F259">
        <v>2.8</v>
      </c>
      <c r="G259">
        <v>3.42</v>
      </c>
      <c r="H259" t="s">
        <v>10</v>
      </c>
      <c r="I259">
        <v>17.599999999999998</v>
      </c>
      <c r="J259" t="s">
        <v>15</v>
      </c>
      <c r="K259">
        <v>3.49</v>
      </c>
      <c r="L259" t="s">
        <v>52</v>
      </c>
      <c r="M259" s="8">
        <v>0.54</v>
      </c>
    </row>
    <row r="260" spans="1:13" x14ac:dyDescent="0.25">
      <c r="A260">
        <v>259</v>
      </c>
      <c r="B260">
        <v>9.6</v>
      </c>
      <c r="C260">
        <v>0.8</v>
      </c>
      <c r="D260">
        <v>8.1</v>
      </c>
      <c r="E260">
        <v>3.5</v>
      </c>
      <c r="F260">
        <v>2</v>
      </c>
      <c r="G260">
        <v>3.31</v>
      </c>
      <c r="H260" t="s">
        <v>10</v>
      </c>
      <c r="I260">
        <v>15.9</v>
      </c>
      <c r="J260" t="s">
        <v>15</v>
      </c>
      <c r="K260">
        <v>3.91</v>
      </c>
      <c r="L260" t="s">
        <v>52</v>
      </c>
      <c r="M260" s="8">
        <v>0.6</v>
      </c>
    </row>
    <row r="261" spans="1:13" x14ac:dyDescent="0.25">
      <c r="A261">
        <v>260</v>
      </c>
      <c r="B261">
        <v>8.6</v>
      </c>
      <c r="C261">
        <v>3.6</v>
      </c>
      <c r="D261">
        <v>5.9</v>
      </c>
      <c r="E261">
        <v>1.4</v>
      </c>
      <c r="F261">
        <v>4.5</v>
      </c>
      <c r="G261">
        <v>3.37</v>
      </c>
      <c r="H261" t="s">
        <v>10</v>
      </c>
      <c r="I261">
        <v>18.100000000000001</v>
      </c>
      <c r="J261" t="s">
        <v>15</v>
      </c>
      <c r="K261">
        <v>3.01</v>
      </c>
      <c r="L261" t="s">
        <v>52</v>
      </c>
      <c r="M261" s="8">
        <v>0.48</v>
      </c>
    </row>
    <row r="262" spans="1:13" x14ac:dyDescent="0.25">
      <c r="A262">
        <v>261</v>
      </c>
      <c r="B262">
        <v>9.9</v>
      </c>
      <c r="C262">
        <v>0.7</v>
      </c>
      <c r="D262">
        <v>9.3000000000000007</v>
      </c>
      <c r="E262">
        <v>2</v>
      </c>
      <c r="F262">
        <v>2.1</v>
      </c>
      <c r="G262">
        <v>3.59</v>
      </c>
      <c r="H262" t="s">
        <v>10</v>
      </c>
      <c r="I262">
        <v>14.7</v>
      </c>
      <c r="J262" t="s">
        <v>14</v>
      </c>
      <c r="K262">
        <v>4.2</v>
      </c>
      <c r="L262" t="s">
        <v>52</v>
      </c>
      <c r="M262" s="8">
        <v>0.67</v>
      </c>
    </row>
    <row r="263" spans="1:13" x14ac:dyDescent="0.25">
      <c r="A263">
        <v>262</v>
      </c>
      <c r="B263">
        <v>7.2</v>
      </c>
      <c r="C263">
        <v>2.1</v>
      </c>
      <c r="D263">
        <v>6.8</v>
      </c>
      <c r="E263">
        <v>3.6</v>
      </c>
      <c r="F263">
        <v>4.3</v>
      </c>
      <c r="G263">
        <v>3.01</v>
      </c>
      <c r="H263" t="s">
        <v>8</v>
      </c>
      <c r="I263">
        <v>17.2</v>
      </c>
      <c r="J263" t="s">
        <v>15</v>
      </c>
      <c r="K263">
        <v>2.14</v>
      </c>
      <c r="L263" t="s">
        <v>52</v>
      </c>
      <c r="M263" s="8">
        <v>0.42</v>
      </c>
    </row>
    <row r="264" spans="1:13" x14ac:dyDescent="0.25">
      <c r="A264">
        <v>263</v>
      </c>
      <c r="B264">
        <v>5.8</v>
      </c>
      <c r="C264">
        <v>1.6</v>
      </c>
      <c r="D264">
        <v>9.8000000000000007</v>
      </c>
      <c r="E264">
        <v>1.5</v>
      </c>
      <c r="F264">
        <v>5.3</v>
      </c>
      <c r="G264">
        <v>2.61</v>
      </c>
      <c r="H264" t="s">
        <v>9</v>
      </c>
      <c r="I264">
        <v>14.2</v>
      </c>
      <c r="J264" t="s">
        <v>13</v>
      </c>
      <c r="K264">
        <v>2.3199999999999998</v>
      </c>
      <c r="L264" t="s">
        <v>52</v>
      </c>
      <c r="M264" s="8">
        <v>0.41</v>
      </c>
    </row>
    <row r="265" spans="1:13" x14ac:dyDescent="0.25">
      <c r="A265">
        <v>264</v>
      </c>
      <c r="B265">
        <v>8.9</v>
      </c>
      <c r="C265">
        <v>0.5</v>
      </c>
      <c r="D265">
        <v>9.8000000000000007</v>
      </c>
      <c r="E265">
        <v>2.2000000000000002</v>
      </c>
      <c r="F265">
        <v>2.6</v>
      </c>
      <c r="G265">
        <v>3.57</v>
      </c>
      <c r="H265" t="s">
        <v>10</v>
      </c>
      <c r="I265">
        <v>14.200000000000001</v>
      </c>
      <c r="J265" t="s">
        <v>14</v>
      </c>
      <c r="K265">
        <v>3.68</v>
      </c>
      <c r="L265" t="s">
        <v>52</v>
      </c>
      <c r="M265" s="8">
        <v>0.63</v>
      </c>
    </row>
    <row r="266" spans="1:13" x14ac:dyDescent="0.25">
      <c r="A266">
        <v>265</v>
      </c>
      <c r="B266">
        <v>6.2</v>
      </c>
      <c r="C266">
        <v>0.3</v>
      </c>
      <c r="D266">
        <v>5.8</v>
      </c>
      <c r="E266">
        <v>3.1</v>
      </c>
      <c r="F266">
        <v>8.6</v>
      </c>
      <c r="G266">
        <v>3.13</v>
      </c>
      <c r="H266" t="s">
        <v>10</v>
      </c>
      <c r="I266">
        <v>18.2</v>
      </c>
      <c r="J266" t="s">
        <v>15</v>
      </c>
      <c r="K266">
        <v>3.62</v>
      </c>
      <c r="L266" t="s">
        <v>52</v>
      </c>
      <c r="M266" s="8">
        <v>0.34</v>
      </c>
    </row>
    <row r="267" spans="1:13" x14ac:dyDescent="0.25">
      <c r="A267">
        <v>266</v>
      </c>
      <c r="B267">
        <v>7.2</v>
      </c>
      <c r="C267">
        <v>1</v>
      </c>
      <c r="D267">
        <v>8.1</v>
      </c>
      <c r="E267">
        <v>4.2</v>
      </c>
      <c r="F267">
        <v>3.5</v>
      </c>
      <c r="G267">
        <v>2.98</v>
      </c>
      <c r="H267" t="s">
        <v>8</v>
      </c>
      <c r="I267">
        <v>15.899999999999999</v>
      </c>
      <c r="J267" t="s">
        <v>13</v>
      </c>
      <c r="K267">
        <v>2.5499999999999998</v>
      </c>
      <c r="L267" t="s">
        <v>52</v>
      </c>
      <c r="M267" s="8">
        <v>0.45</v>
      </c>
    </row>
    <row r="268" spans="1:13" x14ac:dyDescent="0.25">
      <c r="A268">
        <v>267</v>
      </c>
      <c r="B268">
        <v>5.8</v>
      </c>
      <c r="C268">
        <v>0.7</v>
      </c>
      <c r="D268">
        <v>5.2</v>
      </c>
      <c r="E268">
        <v>4.4000000000000004</v>
      </c>
      <c r="F268">
        <v>7.9</v>
      </c>
      <c r="G268">
        <v>2.81</v>
      </c>
      <c r="H268" t="s">
        <v>10</v>
      </c>
      <c r="I268">
        <v>18.8</v>
      </c>
      <c r="J268" t="s">
        <v>13</v>
      </c>
      <c r="K268">
        <v>3.03</v>
      </c>
      <c r="L268" t="s">
        <v>52</v>
      </c>
      <c r="M268" s="8">
        <v>0.31</v>
      </c>
    </row>
    <row r="269" spans="1:13" x14ac:dyDescent="0.25">
      <c r="A269">
        <v>268</v>
      </c>
      <c r="B269">
        <v>9.1999999999999993</v>
      </c>
      <c r="C269">
        <v>3.2</v>
      </c>
      <c r="D269">
        <v>7.9</v>
      </c>
      <c r="E269">
        <v>3.2</v>
      </c>
      <c r="F269">
        <v>0.5</v>
      </c>
      <c r="G269">
        <v>3.8</v>
      </c>
      <c r="H269" t="s">
        <v>10</v>
      </c>
      <c r="I269">
        <v>16.099999999999998</v>
      </c>
      <c r="J269" t="s">
        <v>14</v>
      </c>
      <c r="K269">
        <v>3.68</v>
      </c>
      <c r="L269" t="s">
        <v>52</v>
      </c>
      <c r="M269" s="8">
        <v>0.56999999999999995</v>
      </c>
    </row>
    <row r="270" spans="1:13" x14ac:dyDescent="0.25">
      <c r="A270">
        <v>269</v>
      </c>
      <c r="B270">
        <v>6</v>
      </c>
      <c r="C270">
        <v>0.4</v>
      </c>
      <c r="D270">
        <v>6.3</v>
      </c>
      <c r="E270">
        <v>0.3</v>
      </c>
      <c r="F270">
        <v>11</v>
      </c>
      <c r="G270">
        <v>3.05</v>
      </c>
      <c r="H270" t="s">
        <v>8</v>
      </c>
      <c r="I270">
        <v>17.7</v>
      </c>
      <c r="J270" t="s">
        <v>15</v>
      </c>
      <c r="K270">
        <v>5.13</v>
      </c>
      <c r="L270" t="s">
        <v>52</v>
      </c>
      <c r="M270" s="8">
        <v>0.34</v>
      </c>
    </row>
    <row r="271" spans="1:13" x14ac:dyDescent="0.25">
      <c r="A271">
        <v>270</v>
      </c>
      <c r="B271">
        <v>5.2</v>
      </c>
      <c r="C271">
        <v>0.5</v>
      </c>
      <c r="D271">
        <v>7.3</v>
      </c>
      <c r="E271">
        <v>5.6</v>
      </c>
      <c r="F271">
        <v>5.4</v>
      </c>
      <c r="G271">
        <v>2.79</v>
      </c>
      <c r="H271" t="s">
        <v>9</v>
      </c>
      <c r="I271">
        <v>16.700000000000003</v>
      </c>
      <c r="J271" t="s">
        <v>13</v>
      </c>
      <c r="K271">
        <v>2.46</v>
      </c>
      <c r="L271" t="s">
        <v>52</v>
      </c>
      <c r="M271" s="8">
        <v>0.31</v>
      </c>
    </row>
    <row r="272" spans="1:13" x14ac:dyDescent="0.25">
      <c r="A272">
        <v>271</v>
      </c>
      <c r="B272">
        <v>6.6</v>
      </c>
      <c r="C272">
        <v>2</v>
      </c>
      <c r="D272">
        <v>5.2</v>
      </c>
      <c r="E272">
        <v>0.9</v>
      </c>
      <c r="F272">
        <v>9.3000000000000007</v>
      </c>
      <c r="G272">
        <v>3.17</v>
      </c>
      <c r="H272" t="s">
        <v>10</v>
      </c>
      <c r="I272">
        <v>18.8</v>
      </c>
      <c r="J272" t="s">
        <v>15</v>
      </c>
      <c r="K272">
        <v>3.94</v>
      </c>
      <c r="L272" t="s">
        <v>52</v>
      </c>
      <c r="M272" s="8">
        <v>0.35</v>
      </c>
    </row>
    <row r="273" spans="1:13" x14ac:dyDescent="0.25">
      <c r="A273">
        <v>272</v>
      </c>
      <c r="B273">
        <v>7.3</v>
      </c>
      <c r="C273">
        <v>2.1</v>
      </c>
      <c r="D273">
        <v>7.4</v>
      </c>
      <c r="E273">
        <v>4</v>
      </c>
      <c r="F273">
        <v>3.2</v>
      </c>
      <c r="G273">
        <v>3.16</v>
      </c>
      <c r="H273" t="s">
        <v>8</v>
      </c>
      <c r="I273">
        <v>16.600000000000001</v>
      </c>
      <c r="J273" t="s">
        <v>15</v>
      </c>
      <c r="K273">
        <v>2.2400000000000002</v>
      </c>
      <c r="L273" t="s">
        <v>52</v>
      </c>
      <c r="M273" s="8">
        <v>0.44</v>
      </c>
    </row>
    <row r="274" spans="1:13" x14ac:dyDescent="0.25">
      <c r="A274">
        <v>273</v>
      </c>
      <c r="B274">
        <v>5.7</v>
      </c>
      <c r="C274">
        <v>0.1</v>
      </c>
      <c r="D274">
        <v>6.5</v>
      </c>
      <c r="E274">
        <v>4.2</v>
      </c>
      <c r="F274">
        <v>7.5</v>
      </c>
      <c r="G274">
        <v>2.98</v>
      </c>
      <c r="H274" t="s">
        <v>9</v>
      </c>
      <c r="I274">
        <v>17.5</v>
      </c>
      <c r="J274" t="s">
        <v>13</v>
      </c>
      <c r="K274">
        <v>3.15</v>
      </c>
      <c r="L274" t="s">
        <v>52</v>
      </c>
      <c r="M274" s="8">
        <v>0.33</v>
      </c>
    </row>
    <row r="275" spans="1:13" x14ac:dyDescent="0.25">
      <c r="A275">
        <v>274</v>
      </c>
      <c r="B275">
        <v>9.8000000000000007</v>
      </c>
      <c r="C275">
        <v>0.4</v>
      </c>
      <c r="D275">
        <v>8.4</v>
      </c>
      <c r="E275">
        <v>2.4</v>
      </c>
      <c r="F275">
        <v>3</v>
      </c>
      <c r="G275">
        <v>3.26</v>
      </c>
      <c r="H275" t="s">
        <v>10</v>
      </c>
      <c r="I275">
        <v>15.600000000000001</v>
      </c>
      <c r="J275" t="s">
        <v>15</v>
      </c>
      <c r="K275">
        <v>4.09</v>
      </c>
      <c r="L275" t="s">
        <v>52</v>
      </c>
      <c r="M275" s="8">
        <v>0.63</v>
      </c>
    </row>
    <row r="276" spans="1:13" x14ac:dyDescent="0.25">
      <c r="A276">
        <v>275</v>
      </c>
      <c r="B276">
        <v>9.3000000000000007</v>
      </c>
      <c r="C276">
        <v>0.7</v>
      </c>
      <c r="D276">
        <v>8.5</v>
      </c>
      <c r="E276">
        <v>4.5999999999999996</v>
      </c>
      <c r="F276">
        <v>0.9</v>
      </c>
      <c r="G276">
        <v>3.43</v>
      </c>
      <c r="H276" t="s">
        <v>10</v>
      </c>
      <c r="I276">
        <v>15.5</v>
      </c>
      <c r="J276" t="s">
        <v>15</v>
      </c>
      <c r="K276">
        <v>4.04</v>
      </c>
      <c r="L276" t="s">
        <v>52</v>
      </c>
      <c r="M276" s="8">
        <v>0.6</v>
      </c>
    </row>
    <row r="277" spans="1:13" x14ac:dyDescent="0.25">
      <c r="A277">
        <v>276</v>
      </c>
      <c r="B277">
        <v>7.5</v>
      </c>
      <c r="C277">
        <v>2.5</v>
      </c>
      <c r="D277">
        <v>9.3000000000000007</v>
      </c>
      <c r="E277">
        <v>2.7</v>
      </c>
      <c r="F277">
        <v>2</v>
      </c>
      <c r="G277">
        <v>3.2</v>
      </c>
      <c r="H277" t="s">
        <v>8</v>
      </c>
      <c r="I277">
        <v>14.7</v>
      </c>
      <c r="J277" t="s">
        <v>15</v>
      </c>
      <c r="K277">
        <v>2.57</v>
      </c>
      <c r="L277" t="s">
        <v>52</v>
      </c>
      <c r="M277" s="8">
        <v>0.51</v>
      </c>
    </row>
    <row r="278" spans="1:13" x14ac:dyDescent="0.25">
      <c r="A278">
        <v>277</v>
      </c>
      <c r="B278">
        <v>5.2</v>
      </c>
      <c r="C278">
        <v>3.7</v>
      </c>
      <c r="D278">
        <v>8.4</v>
      </c>
      <c r="E278">
        <v>4.0999999999999996</v>
      </c>
      <c r="F278">
        <v>2.6</v>
      </c>
      <c r="G278">
        <v>2.91</v>
      </c>
      <c r="H278" t="s">
        <v>9</v>
      </c>
      <c r="I278">
        <v>15.6</v>
      </c>
      <c r="J278" t="s">
        <v>13</v>
      </c>
      <c r="K278">
        <v>1.07</v>
      </c>
      <c r="L278" t="s">
        <v>51</v>
      </c>
      <c r="M278" s="8">
        <v>0.33</v>
      </c>
    </row>
    <row r="279" spans="1:13" x14ac:dyDescent="0.25">
      <c r="A279">
        <v>278</v>
      </c>
      <c r="B279">
        <v>7</v>
      </c>
      <c r="C279">
        <v>2.6</v>
      </c>
      <c r="D279">
        <v>5.5</v>
      </c>
      <c r="E279">
        <v>3.9</v>
      </c>
      <c r="F279">
        <v>5</v>
      </c>
      <c r="G279">
        <v>2.82</v>
      </c>
      <c r="H279" t="s">
        <v>10</v>
      </c>
      <c r="I279">
        <v>18.5</v>
      </c>
      <c r="J279" t="s">
        <v>13</v>
      </c>
      <c r="K279">
        <v>1.86</v>
      </c>
      <c r="L279" t="s">
        <v>52</v>
      </c>
      <c r="M279" s="8">
        <v>0.38</v>
      </c>
    </row>
    <row r="280" spans="1:13" x14ac:dyDescent="0.25">
      <c r="A280">
        <v>279</v>
      </c>
      <c r="B280">
        <v>10</v>
      </c>
      <c r="C280">
        <v>0.2</v>
      </c>
      <c r="D280">
        <v>9.9</v>
      </c>
      <c r="E280">
        <v>1.6</v>
      </c>
      <c r="F280">
        <v>2.2999999999999998</v>
      </c>
      <c r="G280">
        <v>3.56</v>
      </c>
      <c r="H280" t="s">
        <v>10</v>
      </c>
      <c r="I280">
        <v>14.099999999999998</v>
      </c>
      <c r="J280" t="s">
        <v>14</v>
      </c>
      <c r="K280">
        <v>4.4000000000000004</v>
      </c>
      <c r="L280" t="s">
        <v>52</v>
      </c>
      <c r="M280" s="8">
        <v>0.71</v>
      </c>
    </row>
    <row r="281" spans="1:13" x14ac:dyDescent="0.25">
      <c r="A281">
        <v>280</v>
      </c>
      <c r="B281">
        <v>7.8</v>
      </c>
      <c r="C281">
        <v>3</v>
      </c>
      <c r="D281">
        <v>9.4</v>
      </c>
      <c r="E281">
        <v>1.5</v>
      </c>
      <c r="F281">
        <v>2.2999999999999998</v>
      </c>
      <c r="G281">
        <v>3.25</v>
      </c>
      <c r="H281" t="s">
        <v>8</v>
      </c>
      <c r="I281">
        <v>14.600000000000001</v>
      </c>
      <c r="J281" t="s">
        <v>15</v>
      </c>
      <c r="K281">
        <v>2.83</v>
      </c>
      <c r="L281" t="s">
        <v>52</v>
      </c>
      <c r="M281" s="8">
        <v>0.53</v>
      </c>
    </row>
    <row r="282" spans="1:13" x14ac:dyDescent="0.25">
      <c r="A282">
        <v>281</v>
      </c>
      <c r="B282">
        <v>6.6</v>
      </c>
      <c r="C282">
        <v>2.7</v>
      </c>
      <c r="D282">
        <v>9</v>
      </c>
      <c r="E282">
        <v>4.3</v>
      </c>
      <c r="F282">
        <v>1.4</v>
      </c>
      <c r="G282">
        <v>2.93</v>
      </c>
      <c r="H282" t="s">
        <v>8</v>
      </c>
      <c r="I282">
        <v>15.000000000000002</v>
      </c>
      <c r="J282" t="s">
        <v>13</v>
      </c>
      <c r="K282">
        <v>2.2400000000000002</v>
      </c>
      <c r="L282" t="s">
        <v>52</v>
      </c>
      <c r="M282" s="8">
        <v>0.44</v>
      </c>
    </row>
    <row r="283" spans="1:13" x14ac:dyDescent="0.25">
      <c r="A283">
        <v>282</v>
      </c>
      <c r="B283">
        <v>9.1</v>
      </c>
      <c r="C283">
        <v>0.5</v>
      </c>
      <c r="D283">
        <v>7.7</v>
      </c>
      <c r="E283">
        <v>0</v>
      </c>
      <c r="F283">
        <v>6.7</v>
      </c>
      <c r="G283">
        <v>3.64</v>
      </c>
      <c r="H283" t="s">
        <v>10</v>
      </c>
      <c r="I283">
        <v>16.3</v>
      </c>
      <c r="J283" t="s">
        <v>14</v>
      </c>
      <c r="K283">
        <v>4.53</v>
      </c>
      <c r="L283" t="s">
        <v>52</v>
      </c>
      <c r="M283" s="8">
        <v>0.56000000000000005</v>
      </c>
    </row>
    <row r="284" spans="1:13" x14ac:dyDescent="0.25">
      <c r="A284">
        <v>283</v>
      </c>
      <c r="B284">
        <v>6.6</v>
      </c>
      <c r="C284">
        <v>1.5</v>
      </c>
      <c r="D284">
        <v>7</v>
      </c>
      <c r="E284">
        <v>4.2</v>
      </c>
      <c r="F284">
        <v>4.7</v>
      </c>
      <c r="G284">
        <v>2.79</v>
      </c>
      <c r="H284" t="s">
        <v>8</v>
      </c>
      <c r="I284">
        <v>17</v>
      </c>
      <c r="J284" t="s">
        <v>13</v>
      </c>
      <c r="K284">
        <v>2.1</v>
      </c>
      <c r="L284" t="s">
        <v>52</v>
      </c>
      <c r="M284" s="8">
        <v>0.39</v>
      </c>
    </row>
    <row r="285" spans="1:13" x14ac:dyDescent="0.25">
      <c r="A285">
        <v>284</v>
      </c>
      <c r="B285">
        <v>6.2</v>
      </c>
      <c r="C285">
        <v>1.5</v>
      </c>
      <c r="D285">
        <v>6.1</v>
      </c>
      <c r="E285">
        <v>0.4</v>
      </c>
      <c r="F285">
        <v>9.8000000000000007</v>
      </c>
      <c r="G285">
        <v>2.5</v>
      </c>
      <c r="H285" t="s">
        <v>8</v>
      </c>
      <c r="I285">
        <v>17.899999999999999</v>
      </c>
      <c r="J285" t="s">
        <v>13</v>
      </c>
      <c r="K285">
        <v>4.3499999999999996</v>
      </c>
      <c r="L285" t="s">
        <v>52</v>
      </c>
      <c r="M285" s="8">
        <v>0.35</v>
      </c>
    </row>
    <row r="286" spans="1:13" x14ac:dyDescent="0.25">
      <c r="A286">
        <v>285</v>
      </c>
      <c r="B286">
        <v>8</v>
      </c>
      <c r="C286">
        <v>2.7</v>
      </c>
      <c r="D286">
        <v>8.1</v>
      </c>
      <c r="E286">
        <v>2.4</v>
      </c>
      <c r="F286">
        <v>2.8</v>
      </c>
      <c r="G286">
        <v>3.4</v>
      </c>
      <c r="H286" t="s">
        <v>8</v>
      </c>
      <c r="I286">
        <v>15.899999999999999</v>
      </c>
      <c r="J286" t="s">
        <v>15</v>
      </c>
      <c r="K286">
        <v>2.69</v>
      </c>
      <c r="L286" t="s">
        <v>52</v>
      </c>
      <c r="M286" s="8">
        <v>0.5</v>
      </c>
    </row>
    <row r="287" spans="1:13" x14ac:dyDescent="0.25">
      <c r="A287">
        <v>286</v>
      </c>
      <c r="B287">
        <v>7.6</v>
      </c>
      <c r="C287">
        <v>1.9</v>
      </c>
      <c r="D287">
        <v>5.0999999999999996</v>
      </c>
      <c r="E287">
        <v>2</v>
      </c>
      <c r="F287">
        <v>7.4</v>
      </c>
      <c r="G287">
        <v>3.08</v>
      </c>
      <c r="H287" t="s">
        <v>10</v>
      </c>
      <c r="I287">
        <v>18.899999999999999</v>
      </c>
      <c r="J287" t="s">
        <v>15</v>
      </c>
      <c r="K287">
        <v>3.21</v>
      </c>
      <c r="L287" t="s">
        <v>52</v>
      </c>
      <c r="M287" s="8">
        <v>0.4</v>
      </c>
    </row>
    <row r="288" spans="1:13" x14ac:dyDescent="0.25">
      <c r="A288">
        <v>287</v>
      </c>
      <c r="B288">
        <v>6.9</v>
      </c>
      <c r="C288">
        <v>1.6</v>
      </c>
      <c r="D288">
        <v>7.9</v>
      </c>
      <c r="E288">
        <v>3.2</v>
      </c>
      <c r="F288">
        <v>4.4000000000000004</v>
      </c>
      <c r="G288">
        <v>3.31</v>
      </c>
      <c r="H288" t="s">
        <v>8</v>
      </c>
      <c r="I288">
        <v>16.100000000000001</v>
      </c>
      <c r="J288" t="s">
        <v>15</v>
      </c>
      <c r="K288">
        <v>2.23</v>
      </c>
      <c r="L288" t="s">
        <v>52</v>
      </c>
      <c r="M288" s="8">
        <v>0.43</v>
      </c>
    </row>
    <row r="289" spans="1:13" x14ac:dyDescent="0.25">
      <c r="A289">
        <v>288</v>
      </c>
      <c r="B289">
        <v>9.1</v>
      </c>
      <c r="C289">
        <v>2.9</v>
      </c>
      <c r="D289">
        <v>9.8000000000000007</v>
      </c>
      <c r="E289">
        <v>0</v>
      </c>
      <c r="F289">
        <v>2.2000000000000002</v>
      </c>
      <c r="G289">
        <v>3.48</v>
      </c>
      <c r="H289" t="s">
        <v>10</v>
      </c>
      <c r="I289">
        <v>14.2</v>
      </c>
      <c r="J289" t="s">
        <v>15</v>
      </c>
      <c r="K289">
        <v>3.9</v>
      </c>
      <c r="L289" t="s">
        <v>52</v>
      </c>
      <c r="M289" s="8">
        <v>0.64</v>
      </c>
    </row>
    <row r="290" spans="1:13" x14ac:dyDescent="0.25">
      <c r="A290">
        <v>289</v>
      </c>
      <c r="B290">
        <v>6</v>
      </c>
      <c r="C290">
        <v>0</v>
      </c>
      <c r="D290">
        <v>8.1999999999999993</v>
      </c>
      <c r="E290">
        <v>5.4</v>
      </c>
      <c r="F290">
        <v>4.4000000000000004</v>
      </c>
      <c r="G290">
        <v>2.92</v>
      </c>
      <c r="H290" t="s">
        <v>8</v>
      </c>
      <c r="I290">
        <v>15.8</v>
      </c>
      <c r="J290" t="s">
        <v>13</v>
      </c>
      <c r="K290">
        <v>2.71</v>
      </c>
      <c r="L290" t="s">
        <v>52</v>
      </c>
      <c r="M290" s="8">
        <v>0.38</v>
      </c>
    </row>
    <row r="291" spans="1:13" x14ac:dyDescent="0.25">
      <c r="A291">
        <v>290</v>
      </c>
      <c r="B291">
        <v>5.3</v>
      </c>
      <c r="C291">
        <v>3.7</v>
      </c>
      <c r="D291">
        <v>6.8</v>
      </c>
      <c r="E291">
        <v>0.6</v>
      </c>
      <c r="F291">
        <v>7.6</v>
      </c>
      <c r="G291">
        <v>2.78</v>
      </c>
      <c r="H291" t="s">
        <v>9</v>
      </c>
      <c r="I291">
        <v>17.2</v>
      </c>
      <c r="J291" t="s">
        <v>13</v>
      </c>
      <c r="K291">
        <v>2.94</v>
      </c>
      <c r="L291" t="s">
        <v>52</v>
      </c>
      <c r="M291" s="8">
        <v>0.31</v>
      </c>
    </row>
    <row r="292" spans="1:13" x14ac:dyDescent="0.25">
      <c r="A292">
        <v>291</v>
      </c>
      <c r="B292">
        <v>7.4</v>
      </c>
      <c r="C292">
        <v>1</v>
      </c>
      <c r="D292">
        <v>6.4</v>
      </c>
      <c r="E292">
        <v>1.8</v>
      </c>
      <c r="F292">
        <v>7.4</v>
      </c>
      <c r="G292">
        <v>3.15</v>
      </c>
      <c r="H292" t="s">
        <v>8</v>
      </c>
      <c r="I292">
        <v>17.600000000000001</v>
      </c>
      <c r="J292" t="s">
        <v>15</v>
      </c>
      <c r="K292">
        <v>3.48</v>
      </c>
      <c r="L292" t="s">
        <v>52</v>
      </c>
      <c r="M292" s="8">
        <v>0.42</v>
      </c>
    </row>
    <row r="293" spans="1:13" x14ac:dyDescent="0.25">
      <c r="A293">
        <v>292</v>
      </c>
      <c r="B293">
        <v>6.6</v>
      </c>
      <c r="C293">
        <v>2.4</v>
      </c>
      <c r="D293">
        <v>8.6</v>
      </c>
      <c r="E293">
        <v>1.6</v>
      </c>
      <c r="F293">
        <v>4.8</v>
      </c>
      <c r="G293">
        <v>3.27</v>
      </c>
      <c r="H293" t="s">
        <v>8</v>
      </c>
      <c r="I293">
        <v>15.399999999999999</v>
      </c>
      <c r="J293" t="s">
        <v>15</v>
      </c>
      <c r="K293">
        <v>2.2799999999999998</v>
      </c>
      <c r="L293" t="s">
        <v>52</v>
      </c>
      <c r="M293" s="8">
        <v>0.43</v>
      </c>
    </row>
    <row r="294" spans="1:13" x14ac:dyDescent="0.25">
      <c r="A294">
        <v>293</v>
      </c>
      <c r="B294">
        <v>7.1</v>
      </c>
      <c r="C294">
        <v>0.5</v>
      </c>
      <c r="D294">
        <v>5.9</v>
      </c>
      <c r="E294">
        <v>4.0999999999999996</v>
      </c>
      <c r="F294">
        <v>6.4</v>
      </c>
      <c r="G294">
        <v>3.09</v>
      </c>
      <c r="H294" t="s">
        <v>10</v>
      </c>
      <c r="I294">
        <v>18.100000000000001</v>
      </c>
      <c r="J294" t="s">
        <v>15</v>
      </c>
      <c r="K294">
        <v>2.97</v>
      </c>
      <c r="L294" t="s">
        <v>52</v>
      </c>
      <c r="M294" s="8">
        <v>0.39</v>
      </c>
    </row>
    <row r="295" spans="1:13" x14ac:dyDescent="0.25">
      <c r="A295">
        <v>294</v>
      </c>
      <c r="B295">
        <v>8.5</v>
      </c>
      <c r="C295">
        <v>0.4</v>
      </c>
      <c r="D295">
        <v>7.8</v>
      </c>
      <c r="E295">
        <v>1.5</v>
      </c>
      <c r="F295">
        <v>5.8</v>
      </c>
      <c r="G295">
        <v>3.01</v>
      </c>
      <c r="H295" t="s">
        <v>10</v>
      </c>
      <c r="I295">
        <v>16.2</v>
      </c>
      <c r="J295" t="s">
        <v>15</v>
      </c>
      <c r="K295">
        <v>3.77</v>
      </c>
      <c r="L295" t="s">
        <v>52</v>
      </c>
      <c r="M295" s="8">
        <v>0.52</v>
      </c>
    </row>
    <row r="296" spans="1:13" x14ac:dyDescent="0.25">
      <c r="A296">
        <v>295</v>
      </c>
      <c r="B296">
        <v>9.8000000000000007</v>
      </c>
      <c r="C296">
        <v>1.9</v>
      </c>
      <c r="D296">
        <v>9</v>
      </c>
      <c r="E296">
        <v>1.8</v>
      </c>
      <c r="F296">
        <v>1.5</v>
      </c>
      <c r="G296">
        <v>3.5</v>
      </c>
      <c r="H296" t="s">
        <v>10</v>
      </c>
      <c r="I296">
        <v>15.000000000000002</v>
      </c>
      <c r="J296" t="s">
        <v>14</v>
      </c>
      <c r="K296">
        <v>4.04</v>
      </c>
      <c r="L296" t="s">
        <v>52</v>
      </c>
      <c r="M296" s="8">
        <v>0.65</v>
      </c>
    </row>
    <row r="297" spans="1:13" x14ac:dyDescent="0.25">
      <c r="A297">
        <v>296</v>
      </c>
      <c r="B297">
        <v>9.8000000000000007</v>
      </c>
      <c r="C297">
        <v>2.4</v>
      </c>
      <c r="D297">
        <v>9.1</v>
      </c>
      <c r="E297">
        <v>2.4</v>
      </c>
      <c r="F297">
        <v>0.3</v>
      </c>
      <c r="G297">
        <v>3.38</v>
      </c>
      <c r="H297" t="s">
        <v>10</v>
      </c>
      <c r="I297">
        <v>14.900000000000002</v>
      </c>
      <c r="J297" t="s">
        <v>15</v>
      </c>
      <c r="K297">
        <v>4.17</v>
      </c>
      <c r="L297" t="s">
        <v>52</v>
      </c>
      <c r="M297" s="8">
        <v>0.66</v>
      </c>
    </row>
    <row r="298" spans="1:13" x14ac:dyDescent="0.25">
      <c r="A298">
        <v>297</v>
      </c>
      <c r="B298">
        <v>6.1</v>
      </c>
      <c r="C298">
        <v>0.8</v>
      </c>
      <c r="D298">
        <v>8.1</v>
      </c>
      <c r="E298">
        <v>2.5</v>
      </c>
      <c r="F298">
        <v>6.5</v>
      </c>
      <c r="G298">
        <v>2.67</v>
      </c>
      <c r="H298" t="s">
        <v>8</v>
      </c>
      <c r="I298">
        <v>15.899999999999999</v>
      </c>
      <c r="J298" t="s">
        <v>13</v>
      </c>
      <c r="K298">
        <v>2.78</v>
      </c>
      <c r="L298" t="s">
        <v>52</v>
      </c>
      <c r="M298" s="8">
        <v>0.38</v>
      </c>
    </row>
    <row r="299" spans="1:13" x14ac:dyDescent="0.25">
      <c r="A299">
        <v>298</v>
      </c>
      <c r="B299">
        <v>8.9</v>
      </c>
      <c r="C299">
        <v>1.1000000000000001</v>
      </c>
      <c r="D299">
        <v>9.1</v>
      </c>
      <c r="E299">
        <v>2.1</v>
      </c>
      <c r="F299">
        <v>2.8</v>
      </c>
      <c r="G299">
        <v>3.2</v>
      </c>
      <c r="H299" t="s">
        <v>10</v>
      </c>
      <c r="I299">
        <v>14.899999999999999</v>
      </c>
      <c r="J299" t="s">
        <v>15</v>
      </c>
      <c r="K299">
        <v>3.52</v>
      </c>
      <c r="L299" t="s">
        <v>52</v>
      </c>
      <c r="M299" s="8">
        <v>0.6</v>
      </c>
    </row>
    <row r="300" spans="1:13" x14ac:dyDescent="0.25">
      <c r="A300">
        <v>299</v>
      </c>
      <c r="B300">
        <v>8.3000000000000007</v>
      </c>
      <c r="C300">
        <v>0.4</v>
      </c>
      <c r="D300">
        <v>8.1</v>
      </c>
      <c r="E300">
        <v>2.7</v>
      </c>
      <c r="F300">
        <v>4.5</v>
      </c>
      <c r="G300">
        <v>3.01</v>
      </c>
      <c r="H300" t="s">
        <v>10</v>
      </c>
      <c r="I300">
        <v>15.900000000000002</v>
      </c>
      <c r="J300" t="s">
        <v>15</v>
      </c>
      <c r="K300">
        <v>3.34</v>
      </c>
      <c r="L300" t="s">
        <v>52</v>
      </c>
      <c r="M300" s="8">
        <v>0.52</v>
      </c>
    </row>
    <row r="301" spans="1:13" x14ac:dyDescent="0.25">
      <c r="A301">
        <v>300</v>
      </c>
      <c r="B301">
        <v>8.6999999999999993</v>
      </c>
      <c r="C301">
        <v>3.5</v>
      </c>
      <c r="D301">
        <v>6.1</v>
      </c>
      <c r="E301">
        <v>0.5</v>
      </c>
      <c r="F301">
        <v>5.2</v>
      </c>
      <c r="G301">
        <v>3.37</v>
      </c>
      <c r="H301" t="s">
        <v>10</v>
      </c>
      <c r="I301">
        <v>17.899999999999999</v>
      </c>
      <c r="J301" t="s">
        <v>15</v>
      </c>
      <c r="K301">
        <v>3.42</v>
      </c>
      <c r="L301" t="s">
        <v>52</v>
      </c>
      <c r="M301" s="8">
        <v>0.49</v>
      </c>
    </row>
    <row r="302" spans="1:13" x14ac:dyDescent="0.25">
      <c r="A302">
        <v>301</v>
      </c>
      <c r="B302">
        <v>5.0999999999999996</v>
      </c>
      <c r="C302">
        <v>2.6</v>
      </c>
      <c r="D302">
        <v>8</v>
      </c>
      <c r="E302">
        <v>3.3</v>
      </c>
      <c r="F302">
        <v>5</v>
      </c>
      <c r="G302">
        <v>2.65</v>
      </c>
      <c r="H302" t="s">
        <v>9</v>
      </c>
      <c r="I302">
        <v>16</v>
      </c>
      <c r="J302" t="s">
        <v>13</v>
      </c>
      <c r="K302">
        <v>1.25</v>
      </c>
      <c r="L302" t="s">
        <v>51</v>
      </c>
      <c r="M302" s="8">
        <v>0.32</v>
      </c>
    </row>
    <row r="303" spans="1:13" x14ac:dyDescent="0.25">
      <c r="A303">
        <v>302</v>
      </c>
      <c r="B303">
        <v>8</v>
      </c>
      <c r="C303">
        <v>2</v>
      </c>
      <c r="D303">
        <v>9.9</v>
      </c>
      <c r="E303">
        <v>0.6</v>
      </c>
      <c r="F303">
        <v>3.5</v>
      </c>
      <c r="G303">
        <v>2.93</v>
      </c>
      <c r="H303" t="s">
        <v>8</v>
      </c>
      <c r="I303">
        <v>14.1</v>
      </c>
      <c r="J303" t="s">
        <v>13</v>
      </c>
      <c r="K303">
        <v>3.21</v>
      </c>
      <c r="L303" t="s">
        <v>52</v>
      </c>
      <c r="M303" s="8">
        <v>0.56999999999999995</v>
      </c>
    </row>
    <row r="304" spans="1:13" x14ac:dyDescent="0.25">
      <c r="A304">
        <v>303</v>
      </c>
      <c r="B304">
        <v>8.5</v>
      </c>
      <c r="C304">
        <v>1.6</v>
      </c>
      <c r="D304">
        <v>7.1</v>
      </c>
      <c r="E304">
        <v>4.3</v>
      </c>
      <c r="F304">
        <v>2.5</v>
      </c>
      <c r="G304">
        <v>3.39</v>
      </c>
      <c r="H304" t="s">
        <v>10</v>
      </c>
      <c r="I304">
        <v>16.899999999999999</v>
      </c>
      <c r="J304" t="s">
        <v>15</v>
      </c>
      <c r="K304">
        <v>3.06</v>
      </c>
      <c r="L304" t="s">
        <v>52</v>
      </c>
      <c r="M304" s="8">
        <v>0.5</v>
      </c>
    </row>
    <row r="305" spans="1:13" x14ac:dyDescent="0.25">
      <c r="A305">
        <v>304</v>
      </c>
      <c r="B305">
        <v>6.4</v>
      </c>
      <c r="C305">
        <v>0.3</v>
      </c>
      <c r="D305">
        <v>5.4</v>
      </c>
      <c r="E305">
        <v>5.4</v>
      </c>
      <c r="F305">
        <v>6.5</v>
      </c>
      <c r="G305">
        <v>3.29</v>
      </c>
      <c r="H305" t="s">
        <v>10</v>
      </c>
      <c r="I305">
        <v>18.600000000000001</v>
      </c>
      <c r="J305" t="s">
        <v>15</v>
      </c>
      <c r="K305">
        <v>2.94</v>
      </c>
      <c r="L305" t="s">
        <v>52</v>
      </c>
      <c r="M305" s="8">
        <v>0.34</v>
      </c>
    </row>
    <row r="306" spans="1:13" x14ac:dyDescent="0.25">
      <c r="A306">
        <v>305</v>
      </c>
      <c r="B306">
        <v>6</v>
      </c>
      <c r="C306">
        <v>1.3</v>
      </c>
      <c r="D306">
        <v>6.1</v>
      </c>
      <c r="E306">
        <v>2.1</v>
      </c>
      <c r="F306">
        <v>8.5</v>
      </c>
      <c r="G306">
        <v>2.91</v>
      </c>
      <c r="H306" t="s">
        <v>8</v>
      </c>
      <c r="I306">
        <v>17.899999999999999</v>
      </c>
      <c r="J306" t="s">
        <v>13</v>
      </c>
      <c r="K306">
        <v>3.38</v>
      </c>
      <c r="L306" t="s">
        <v>52</v>
      </c>
      <c r="M306" s="8">
        <v>0.34</v>
      </c>
    </row>
    <row r="307" spans="1:13" x14ac:dyDescent="0.25">
      <c r="A307">
        <v>306</v>
      </c>
      <c r="B307">
        <v>5.3</v>
      </c>
      <c r="C307">
        <v>3.2</v>
      </c>
      <c r="D307">
        <v>6.2</v>
      </c>
      <c r="E307">
        <v>3.2</v>
      </c>
      <c r="F307">
        <v>6.1</v>
      </c>
      <c r="G307">
        <v>2.64</v>
      </c>
      <c r="H307" t="s">
        <v>9</v>
      </c>
      <c r="I307">
        <v>17.799999999999997</v>
      </c>
      <c r="J307" t="s">
        <v>13</v>
      </c>
      <c r="K307">
        <v>1.48</v>
      </c>
      <c r="L307" t="s">
        <v>51</v>
      </c>
      <c r="M307" s="8">
        <v>0.3</v>
      </c>
    </row>
    <row r="308" spans="1:13" x14ac:dyDescent="0.25">
      <c r="A308">
        <v>307</v>
      </c>
      <c r="B308">
        <v>9.4</v>
      </c>
      <c r="C308">
        <v>2.6</v>
      </c>
      <c r="D308">
        <v>7.7</v>
      </c>
      <c r="E308">
        <v>1.4</v>
      </c>
      <c r="F308">
        <v>2.9</v>
      </c>
      <c r="G308">
        <v>3.66</v>
      </c>
      <c r="H308" t="s">
        <v>10</v>
      </c>
      <c r="I308">
        <v>16.3</v>
      </c>
      <c r="J308" t="s">
        <v>14</v>
      </c>
      <c r="K308">
        <v>3.61</v>
      </c>
      <c r="L308" t="s">
        <v>52</v>
      </c>
      <c r="M308" s="8">
        <v>0.57999999999999996</v>
      </c>
    </row>
    <row r="309" spans="1:13" x14ac:dyDescent="0.25">
      <c r="A309">
        <v>308</v>
      </c>
      <c r="B309">
        <v>10</v>
      </c>
      <c r="C309">
        <v>2.6</v>
      </c>
      <c r="D309">
        <v>7.8</v>
      </c>
      <c r="E309">
        <v>2.6</v>
      </c>
      <c r="F309">
        <v>1</v>
      </c>
      <c r="G309">
        <v>3.26</v>
      </c>
      <c r="H309" t="s">
        <v>10</v>
      </c>
      <c r="I309">
        <v>16.2</v>
      </c>
      <c r="J309" t="s">
        <v>15</v>
      </c>
      <c r="K309">
        <v>4.04</v>
      </c>
      <c r="L309" t="s">
        <v>52</v>
      </c>
      <c r="M309" s="8">
        <v>0.62</v>
      </c>
    </row>
    <row r="310" spans="1:13" x14ac:dyDescent="0.25">
      <c r="A310">
        <v>309</v>
      </c>
      <c r="B310">
        <v>7.3</v>
      </c>
      <c r="C310">
        <v>0.2</v>
      </c>
      <c r="D310">
        <v>7.8</v>
      </c>
      <c r="E310">
        <v>5.7</v>
      </c>
      <c r="F310">
        <v>3</v>
      </c>
      <c r="G310">
        <v>3.2</v>
      </c>
      <c r="H310" t="s">
        <v>8</v>
      </c>
      <c r="I310">
        <v>16.2</v>
      </c>
      <c r="J310" t="s">
        <v>15</v>
      </c>
      <c r="K310">
        <v>3.12</v>
      </c>
      <c r="L310" t="s">
        <v>52</v>
      </c>
      <c r="M310" s="8">
        <v>0.45</v>
      </c>
    </row>
    <row r="311" spans="1:13" x14ac:dyDescent="0.25">
      <c r="A311">
        <v>310</v>
      </c>
      <c r="B311">
        <v>6</v>
      </c>
      <c r="C311">
        <v>2.1</v>
      </c>
      <c r="D311">
        <v>5.5</v>
      </c>
      <c r="E311">
        <v>2.7</v>
      </c>
      <c r="F311">
        <v>7.7</v>
      </c>
      <c r="G311">
        <v>2.72</v>
      </c>
      <c r="H311" t="s">
        <v>10</v>
      </c>
      <c r="I311">
        <v>18.5</v>
      </c>
      <c r="J311" t="s">
        <v>13</v>
      </c>
      <c r="K311">
        <v>2.67</v>
      </c>
      <c r="L311" t="s">
        <v>52</v>
      </c>
      <c r="M311" s="8">
        <v>0.32</v>
      </c>
    </row>
    <row r="312" spans="1:13" x14ac:dyDescent="0.25">
      <c r="A312">
        <v>311</v>
      </c>
      <c r="B312">
        <v>8.8000000000000007</v>
      </c>
      <c r="C312">
        <v>1.4</v>
      </c>
      <c r="D312">
        <v>8.3000000000000007</v>
      </c>
      <c r="E312">
        <v>4.4000000000000004</v>
      </c>
      <c r="F312">
        <v>1.1000000000000001</v>
      </c>
      <c r="G312">
        <v>3.1</v>
      </c>
      <c r="H312" t="s">
        <v>10</v>
      </c>
      <c r="I312">
        <v>15.700000000000001</v>
      </c>
      <c r="J312" t="s">
        <v>15</v>
      </c>
      <c r="K312">
        <v>3.58</v>
      </c>
      <c r="L312" t="s">
        <v>52</v>
      </c>
      <c r="M312" s="8">
        <v>0.56000000000000005</v>
      </c>
    </row>
    <row r="313" spans="1:13" x14ac:dyDescent="0.25">
      <c r="A313">
        <v>312</v>
      </c>
      <c r="B313">
        <v>10</v>
      </c>
      <c r="C313">
        <v>3.7</v>
      </c>
      <c r="D313">
        <v>7.7</v>
      </c>
      <c r="E313">
        <v>2.2000000000000002</v>
      </c>
      <c r="F313">
        <v>0.4</v>
      </c>
      <c r="G313">
        <v>3.44</v>
      </c>
      <c r="H313" t="s">
        <v>10</v>
      </c>
      <c r="I313">
        <v>16.299999999999997</v>
      </c>
      <c r="J313" t="s">
        <v>15</v>
      </c>
      <c r="K313">
        <v>4.17</v>
      </c>
      <c r="L313" t="s">
        <v>52</v>
      </c>
      <c r="M313" s="8">
        <v>0.61</v>
      </c>
    </row>
    <row r="314" spans="1:13" x14ac:dyDescent="0.25">
      <c r="A314">
        <v>313</v>
      </c>
      <c r="B314">
        <v>7.6</v>
      </c>
      <c r="C314">
        <v>2.5</v>
      </c>
      <c r="D314">
        <v>5.4</v>
      </c>
      <c r="E314">
        <v>4.5</v>
      </c>
      <c r="F314">
        <v>4</v>
      </c>
      <c r="G314">
        <v>3.17</v>
      </c>
      <c r="H314" t="s">
        <v>10</v>
      </c>
      <c r="I314">
        <v>18.600000000000001</v>
      </c>
      <c r="J314" t="s">
        <v>15</v>
      </c>
      <c r="K314">
        <v>2.14</v>
      </c>
      <c r="L314" t="s">
        <v>52</v>
      </c>
      <c r="M314" s="8">
        <v>0.41</v>
      </c>
    </row>
    <row r="315" spans="1:13" x14ac:dyDescent="0.25">
      <c r="A315">
        <v>314</v>
      </c>
      <c r="B315">
        <v>8.9</v>
      </c>
      <c r="C315">
        <v>2.8</v>
      </c>
      <c r="D315">
        <v>5.2</v>
      </c>
      <c r="E315">
        <v>1.8</v>
      </c>
      <c r="F315">
        <v>5.3</v>
      </c>
      <c r="G315">
        <v>3.3</v>
      </c>
      <c r="H315" t="s">
        <v>10</v>
      </c>
      <c r="I315">
        <v>18.8</v>
      </c>
      <c r="J315" t="s">
        <v>15</v>
      </c>
      <c r="K315">
        <v>3.16</v>
      </c>
      <c r="L315" t="s">
        <v>52</v>
      </c>
      <c r="M315" s="8">
        <v>0.47</v>
      </c>
    </row>
    <row r="316" spans="1:13" x14ac:dyDescent="0.25">
      <c r="A316">
        <v>315</v>
      </c>
      <c r="B316">
        <v>6.3</v>
      </c>
      <c r="C316">
        <v>1.4</v>
      </c>
      <c r="D316">
        <v>5.4</v>
      </c>
      <c r="E316">
        <v>5.6</v>
      </c>
      <c r="F316">
        <v>5.3</v>
      </c>
      <c r="G316">
        <v>2.58</v>
      </c>
      <c r="H316" t="s">
        <v>10</v>
      </c>
      <c r="I316">
        <v>18.599999999999998</v>
      </c>
      <c r="J316" t="s">
        <v>13</v>
      </c>
      <c r="K316">
        <v>2.21</v>
      </c>
      <c r="L316" t="s">
        <v>52</v>
      </c>
      <c r="M316" s="8">
        <v>0.34</v>
      </c>
    </row>
    <row r="317" spans="1:13" x14ac:dyDescent="0.25">
      <c r="A317">
        <v>316</v>
      </c>
      <c r="B317">
        <v>7</v>
      </c>
      <c r="C317">
        <v>1.8</v>
      </c>
      <c r="D317">
        <v>8</v>
      </c>
      <c r="E317">
        <v>3.1</v>
      </c>
      <c r="F317">
        <v>4.0999999999999996</v>
      </c>
      <c r="G317">
        <v>3.15</v>
      </c>
      <c r="H317" t="s">
        <v>8</v>
      </c>
      <c r="I317">
        <v>16</v>
      </c>
      <c r="J317" t="s">
        <v>15</v>
      </c>
      <c r="K317">
        <v>2.21</v>
      </c>
      <c r="L317" t="s">
        <v>52</v>
      </c>
      <c r="M317" s="8">
        <v>0.44</v>
      </c>
    </row>
    <row r="318" spans="1:13" x14ac:dyDescent="0.25">
      <c r="A318">
        <v>317</v>
      </c>
      <c r="B318">
        <v>9.6</v>
      </c>
      <c r="C318">
        <v>2</v>
      </c>
      <c r="D318">
        <v>10</v>
      </c>
      <c r="E318">
        <v>2</v>
      </c>
      <c r="F318">
        <v>0.4</v>
      </c>
      <c r="G318">
        <v>3.46</v>
      </c>
      <c r="H318" t="s">
        <v>10</v>
      </c>
      <c r="I318">
        <v>14</v>
      </c>
      <c r="J318" t="s">
        <v>15</v>
      </c>
      <c r="K318">
        <v>4.1399999999999997</v>
      </c>
      <c r="L318" t="s">
        <v>52</v>
      </c>
      <c r="M318" s="8">
        <v>0.69</v>
      </c>
    </row>
    <row r="319" spans="1:13" x14ac:dyDescent="0.25">
      <c r="A319">
        <v>318</v>
      </c>
      <c r="B319">
        <v>6.9</v>
      </c>
      <c r="C319">
        <v>3.5</v>
      </c>
      <c r="D319">
        <v>9.3000000000000007</v>
      </c>
      <c r="E319">
        <v>3.5</v>
      </c>
      <c r="F319">
        <v>0.8</v>
      </c>
      <c r="G319">
        <v>3.02</v>
      </c>
      <c r="H319" t="s">
        <v>8</v>
      </c>
      <c r="I319">
        <v>14.700000000000001</v>
      </c>
      <c r="J319" t="s">
        <v>15</v>
      </c>
      <c r="K319">
        <v>2.5</v>
      </c>
      <c r="L319" t="s">
        <v>52</v>
      </c>
      <c r="M319" s="8">
        <v>0.47</v>
      </c>
    </row>
    <row r="320" spans="1:13" x14ac:dyDescent="0.25">
      <c r="A320">
        <v>319</v>
      </c>
      <c r="B320">
        <v>9</v>
      </c>
      <c r="C320">
        <v>1.2</v>
      </c>
      <c r="D320">
        <v>5.4</v>
      </c>
      <c r="E320">
        <v>2.4</v>
      </c>
      <c r="F320">
        <v>6</v>
      </c>
      <c r="G320">
        <v>3.46</v>
      </c>
      <c r="H320" t="s">
        <v>10</v>
      </c>
      <c r="I320">
        <v>18.600000000000001</v>
      </c>
      <c r="J320" t="s">
        <v>15</v>
      </c>
      <c r="K320">
        <v>3.55</v>
      </c>
      <c r="L320" t="s">
        <v>52</v>
      </c>
      <c r="M320" s="8">
        <v>0.48</v>
      </c>
    </row>
    <row r="321" spans="1:13" x14ac:dyDescent="0.25">
      <c r="A321">
        <v>320</v>
      </c>
      <c r="B321">
        <v>6.7</v>
      </c>
      <c r="C321">
        <v>3.9</v>
      </c>
      <c r="D321">
        <v>8.1999999999999993</v>
      </c>
      <c r="E321">
        <v>4.3</v>
      </c>
      <c r="F321">
        <v>0.9</v>
      </c>
      <c r="G321">
        <v>2.83</v>
      </c>
      <c r="H321" t="s">
        <v>8</v>
      </c>
      <c r="I321">
        <v>15.799999999999999</v>
      </c>
      <c r="J321" t="s">
        <v>13</v>
      </c>
      <c r="K321">
        <v>2.38</v>
      </c>
      <c r="L321" t="s">
        <v>52</v>
      </c>
      <c r="M321" s="8">
        <v>0.42</v>
      </c>
    </row>
    <row r="322" spans="1:13" x14ac:dyDescent="0.25">
      <c r="A322">
        <v>321</v>
      </c>
      <c r="B322">
        <v>5.7</v>
      </c>
      <c r="C322">
        <v>3.4</v>
      </c>
      <c r="D322">
        <v>9.6</v>
      </c>
      <c r="E322">
        <v>2.6</v>
      </c>
      <c r="F322">
        <v>2.7</v>
      </c>
      <c r="G322">
        <v>3.13</v>
      </c>
      <c r="H322" t="s">
        <v>9</v>
      </c>
      <c r="I322">
        <v>14.399999999999999</v>
      </c>
      <c r="J322" t="s">
        <v>15</v>
      </c>
      <c r="K322">
        <v>1.44</v>
      </c>
      <c r="L322" t="s">
        <v>51</v>
      </c>
      <c r="M322" s="8">
        <v>0.4</v>
      </c>
    </row>
    <row r="323" spans="1:13" x14ac:dyDescent="0.25">
      <c r="A323">
        <v>322</v>
      </c>
      <c r="B323">
        <v>5.9</v>
      </c>
      <c r="C323">
        <v>2</v>
      </c>
      <c r="D323">
        <v>7</v>
      </c>
      <c r="E323">
        <v>0.9</v>
      </c>
      <c r="F323">
        <v>8.1999999999999993</v>
      </c>
      <c r="G323">
        <v>3</v>
      </c>
      <c r="H323" t="s">
        <v>9</v>
      </c>
      <c r="I323">
        <v>17</v>
      </c>
      <c r="J323" t="s">
        <v>15</v>
      </c>
      <c r="K323">
        <v>3.4</v>
      </c>
      <c r="L323" t="s">
        <v>52</v>
      </c>
      <c r="M323" s="8">
        <v>0.35</v>
      </c>
    </row>
    <row r="324" spans="1:13" x14ac:dyDescent="0.25">
      <c r="A324">
        <v>323</v>
      </c>
      <c r="B324">
        <v>6.8</v>
      </c>
      <c r="C324">
        <v>0.3</v>
      </c>
      <c r="D324">
        <v>5.0999999999999996</v>
      </c>
      <c r="E324">
        <v>0.8</v>
      </c>
      <c r="F324">
        <v>11</v>
      </c>
      <c r="G324">
        <v>3.03</v>
      </c>
      <c r="H324" t="s">
        <v>10</v>
      </c>
      <c r="I324">
        <v>18.899999999999999</v>
      </c>
      <c r="J324" t="s">
        <v>15</v>
      </c>
      <c r="K324">
        <v>5.12</v>
      </c>
      <c r="L324" t="s">
        <v>52</v>
      </c>
      <c r="M324" s="8">
        <v>0.36</v>
      </c>
    </row>
    <row r="325" spans="1:13" x14ac:dyDescent="0.25">
      <c r="A325">
        <v>324</v>
      </c>
      <c r="B325">
        <v>9.8000000000000007</v>
      </c>
      <c r="C325">
        <v>1.7</v>
      </c>
      <c r="D325">
        <v>6.6</v>
      </c>
      <c r="E325">
        <v>3</v>
      </c>
      <c r="F325">
        <v>2.9</v>
      </c>
      <c r="G325">
        <v>3.58</v>
      </c>
      <c r="H325" t="s">
        <v>10</v>
      </c>
      <c r="I325">
        <v>17.399999999999999</v>
      </c>
      <c r="J325" t="s">
        <v>14</v>
      </c>
      <c r="K325">
        <v>3.68</v>
      </c>
      <c r="L325" t="s">
        <v>52</v>
      </c>
      <c r="M325" s="8">
        <v>0.56000000000000005</v>
      </c>
    </row>
    <row r="326" spans="1:13" x14ac:dyDescent="0.25">
      <c r="A326">
        <v>325</v>
      </c>
      <c r="B326">
        <v>7.2</v>
      </c>
      <c r="C326">
        <v>0.4</v>
      </c>
      <c r="D326">
        <v>8.1999999999999993</v>
      </c>
      <c r="E326">
        <v>1.3</v>
      </c>
      <c r="F326">
        <v>6.9</v>
      </c>
      <c r="G326">
        <v>3.39</v>
      </c>
      <c r="H326" t="s">
        <v>8</v>
      </c>
      <c r="I326">
        <v>15.8</v>
      </c>
      <c r="J326" t="s">
        <v>15</v>
      </c>
      <c r="K326">
        <v>3.6</v>
      </c>
      <c r="L326" t="s">
        <v>52</v>
      </c>
      <c r="M326" s="8">
        <v>0.46</v>
      </c>
    </row>
    <row r="327" spans="1:13" x14ac:dyDescent="0.25">
      <c r="A327">
        <v>326</v>
      </c>
      <c r="B327">
        <v>5.8</v>
      </c>
      <c r="C327">
        <v>0.2</v>
      </c>
      <c r="D327">
        <v>8.9</v>
      </c>
      <c r="E327">
        <v>2.8</v>
      </c>
      <c r="F327">
        <v>6.3</v>
      </c>
      <c r="G327">
        <v>3.11</v>
      </c>
      <c r="H327" t="s">
        <v>9</v>
      </c>
      <c r="I327">
        <v>15.100000000000001</v>
      </c>
      <c r="J327" t="s">
        <v>15</v>
      </c>
      <c r="K327">
        <v>2.84</v>
      </c>
      <c r="L327" t="s">
        <v>52</v>
      </c>
      <c r="M327" s="8">
        <v>0.38</v>
      </c>
    </row>
    <row r="328" spans="1:13" x14ac:dyDescent="0.25">
      <c r="A328">
        <v>327</v>
      </c>
      <c r="B328">
        <v>5.3</v>
      </c>
      <c r="C328">
        <v>4</v>
      </c>
      <c r="D328">
        <v>5.3</v>
      </c>
      <c r="E328">
        <v>4.2</v>
      </c>
      <c r="F328">
        <v>5.2</v>
      </c>
      <c r="G328">
        <v>2.67</v>
      </c>
      <c r="H328" t="s">
        <v>10</v>
      </c>
      <c r="I328">
        <v>18.7</v>
      </c>
      <c r="J328" t="s">
        <v>13</v>
      </c>
      <c r="K328">
        <v>0.67</v>
      </c>
      <c r="L328" t="s">
        <v>51</v>
      </c>
      <c r="M328" s="8">
        <v>0.28000000000000003</v>
      </c>
    </row>
    <row r="329" spans="1:13" x14ac:dyDescent="0.25">
      <c r="A329">
        <v>328</v>
      </c>
      <c r="B329">
        <v>8.5</v>
      </c>
      <c r="C329">
        <v>0.2</v>
      </c>
      <c r="D329">
        <v>7.5</v>
      </c>
      <c r="E329">
        <v>6</v>
      </c>
      <c r="F329">
        <v>1.8</v>
      </c>
      <c r="G329">
        <v>3.21</v>
      </c>
      <c r="H329" t="s">
        <v>10</v>
      </c>
      <c r="I329">
        <v>16.5</v>
      </c>
      <c r="J329" t="s">
        <v>15</v>
      </c>
      <c r="K329">
        <v>3.81</v>
      </c>
      <c r="L329" t="s">
        <v>52</v>
      </c>
      <c r="M329" s="8">
        <v>0.52</v>
      </c>
    </row>
    <row r="330" spans="1:13" x14ac:dyDescent="0.25">
      <c r="A330">
        <v>329</v>
      </c>
      <c r="B330">
        <v>9.1</v>
      </c>
      <c r="C330">
        <v>2.5</v>
      </c>
      <c r="D330">
        <v>6.5</v>
      </c>
      <c r="E330">
        <v>3.7</v>
      </c>
      <c r="F330">
        <v>2.2000000000000002</v>
      </c>
      <c r="G330">
        <v>2.85</v>
      </c>
      <c r="H330" t="s">
        <v>10</v>
      </c>
      <c r="I330">
        <v>17.5</v>
      </c>
      <c r="J330" t="s">
        <v>13</v>
      </c>
      <c r="K330">
        <v>3.22</v>
      </c>
      <c r="L330" t="s">
        <v>52</v>
      </c>
      <c r="M330" s="8">
        <v>0.52</v>
      </c>
    </row>
    <row r="331" spans="1:13" x14ac:dyDescent="0.25">
      <c r="A331">
        <v>330</v>
      </c>
      <c r="B331">
        <v>5.7</v>
      </c>
      <c r="C331">
        <v>3.5</v>
      </c>
      <c r="D331">
        <v>7.2</v>
      </c>
      <c r="E331">
        <v>1.2</v>
      </c>
      <c r="F331">
        <v>6.4</v>
      </c>
      <c r="G331">
        <v>3.04</v>
      </c>
      <c r="H331" t="s">
        <v>9</v>
      </c>
      <c r="I331">
        <v>16.799999999999997</v>
      </c>
      <c r="J331" t="s">
        <v>15</v>
      </c>
      <c r="K331">
        <v>2.35</v>
      </c>
      <c r="L331" t="s">
        <v>52</v>
      </c>
      <c r="M331" s="8">
        <v>0.34</v>
      </c>
    </row>
    <row r="332" spans="1:13" x14ac:dyDescent="0.25">
      <c r="A332">
        <v>331</v>
      </c>
      <c r="B332">
        <v>6.8</v>
      </c>
      <c r="C332">
        <v>1.7</v>
      </c>
      <c r="D332">
        <v>9.1</v>
      </c>
      <c r="E332">
        <v>4.4000000000000004</v>
      </c>
      <c r="F332">
        <v>2</v>
      </c>
      <c r="G332">
        <v>2.9</v>
      </c>
      <c r="H332" t="s">
        <v>8</v>
      </c>
      <c r="I332">
        <v>14.9</v>
      </c>
      <c r="J332" t="s">
        <v>13</v>
      </c>
      <c r="K332">
        <v>2.38</v>
      </c>
      <c r="L332" t="s">
        <v>52</v>
      </c>
      <c r="M332" s="8">
        <v>0.46</v>
      </c>
    </row>
    <row r="333" spans="1:13" x14ac:dyDescent="0.25">
      <c r="A333">
        <v>332</v>
      </c>
      <c r="B333">
        <v>5.0999999999999996</v>
      </c>
      <c r="C333">
        <v>1</v>
      </c>
      <c r="D333">
        <v>8.8000000000000007</v>
      </c>
      <c r="E333">
        <v>0.8</v>
      </c>
      <c r="F333">
        <v>8.3000000000000007</v>
      </c>
      <c r="G333">
        <v>2.25</v>
      </c>
      <c r="H333" t="s">
        <v>9</v>
      </c>
      <c r="I333">
        <v>15.2</v>
      </c>
      <c r="J333" t="s">
        <v>16</v>
      </c>
      <c r="K333">
        <v>3.6</v>
      </c>
      <c r="L333" t="s">
        <v>52</v>
      </c>
      <c r="M333" s="8">
        <v>0.34</v>
      </c>
    </row>
    <row r="334" spans="1:13" x14ac:dyDescent="0.25">
      <c r="A334">
        <v>333</v>
      </c>
      <c r="B334">
        <v>7.7</v>
      </c>
      <c r="C334">
        <v>0.9</v>
      </c>
      <c r="D334">
        <v>5.0999999999999996</v>
      </c>
      <c r="E334">
        <v>1.4</v>
      </c>
      <c r="F334">
        <v>8.9</v>
      </c>
      <c r="G334">
        <v>3.15</v>
      </c>
      <c r="H334" t="s">
        <v>10</v>
      </c>
      <c r="I334">
        <v>18.899999999999999</v>
      </c>
      <c r="J334" t="s">
        <v>15</v>
      </c>
      <c r="K334">
        <v>4.16</v>
      </c>
      <c r="L334" t="s">
        <v>52</v>
      </c>
      <c r="M334" s="8">
        <v>0.41</v>
      </c>
    </row>
    <row r="335" spans="1:13" x14ac:dyDescent="0.25">
      <c r="A335">
        <v>334</v>
      </c>
      <c r="B335">
        <v>5.5</v>
      </c>
      <c r="C335">
        <v>2.2000000000000002</v>
      </c>
      <c r="D335">
        <v>7.3</v>
      </c>
      <c r="E335">
        <v>5.0999999999999996</v>
      </c>
      <c r="F335">
        <v>3.9</v>
      </c>
      <c r="G335">
        <v>2.94</v>
      </c>
      <c r="H335" t="s">
        <v>9</v>
      </c>
      <c r="I335">
        <v>16.7</v>
      </c>
      <c r="J335" t="s">
        <v>13</v>
      </c>
      <c r="K335">
        <v>1.48</v>
      </c>
      <c r="L335" t="s">
        <v>51</v>
      </c>
      <c r="M335" s="8">
        <v>0.33</v>
      </c>
    </row>
    <row r="336" spans="1:13" x14ac:dyDescent="0.25">
      <c r="A336">
        <v>335</v>
      </c>
      <c r="B336">
        <v>5.5</v>
      </c>
      <c r="C336">
        <v>2</v>
      </c>
      <c r="D336">
        <v>5.8</v>
      </c>
      <c r="E336">
        <v>1.9</v>
      </c>
      <c r="F336">
        <v>8.8000000000000007</v>
      </c>
      <c r="G336">
        <v>2.79</v>
      </c>
      <c r="H336" t="s">
        <v>10</v>
      </c>
      <c r="I336">
        <v>18.200000000000003</v>
      </c>
      <c r="J336" t="s">
        <v>13</v>
      </c>
      <c r="K336">
        <v>3.29</v>
      </c>
      <c r="L336" t="s">
        <v>52</v>
      </c>
      <c r="M336" s="8">
        <v>0.3</v>
      </c>
    </row>
    <row r="337" spans="1:13" x14ac:dyDescent="0.25">
      <c r="A337">
        <v>336</v>
      </c>
      <c r="B337">
        <v>6.9</v>
      </c>
      <c r="C337">
        <v>1.6</v>
      </c>
      <c r="D337">
        <v>7.3</v>
      </c>
      <c r="E337">
        <v>4.7</v>
      </c>
      <c r="F337">
        <v>3.5</v>
      </c>
      <c r="G337">
        <v>3.38</v>
      </c>
      <c r="H337" t="s">
        <v>8</v>
      </c>
      <c r="I337">
        <v>16.7</v>
      </c>
      <c r="J337" t="s">
        <v>15</v>
      </c>
      <c r="K337">
        <v>2.2200000000000002</v>
      </c>
      <c r="L337" t="s">
        <v>52</v>
      </c>
      <c r="M337" s="8">
        <v>0.41</v>
      </c>
    </row>
    <row r="338" spans="1:13" x14ac:dyDescent="0.25">
      <c r="A338">
        <v>337</v>
      </c>
      <c r="B338">
        <v>9.5</v>
      </c>
      <c r="C338">
        <v>3.8</v>
      </c>
      <c r="D338">
        <v>8.9</v>
      </c>
      <c r="E338">
        <v>0.6</v>
      </c>
      <c r="F338">
        <v>1.2</v>
      </c>
      <c r="G338">
        <v>3.3</v>
      </c>
      <c r="H338" t="s">
        <v>10</v>
      </c>
      <c r="I338">
        <v>15.1</v>
      </c>
      <c r="J338" t="s">
        <v>15</v>
      </c>
      <c r="K338">
        <v>4.0599999999999996</v>
      </c>
      <c r="L338" t="s">
        <v>52</v>
      </c>
      <c r="M338" s="8">
        <v>0.63</v>
      </c>
    </row>
    <row r="339" spans="1:13" x14ac:dyDescent="0.25">
      <c r="A339">
        <v>338</v>
      </c>
      <c r="B339">
        <v>6.3</v>
      </c>
      <c r="C339">
        <v>3.4</v>
      </c>
      <c r="D339">
        <v>5.2</v>
      </c>
      <c r="E339">
        <v>5.4</v>
      </c>
      <c r="F339">
        <v>3.7</v>
      </c>
      <c r="G339">
        <v>3.31</v>
      </c>
      <c r="H339" t="s">
        <v>10</v>
      </c>
      <c r="I339">
        <v>18.8</v>
      </c>
      <c r="J339" t="s">
        <v>15</v>
      </c>
      <c r="K339">
        <v>1.38</v>
      </c>
      <c r="L339" t="s">
        <v>51</v>
      </c>
      <c r="M339" s="8">
        <v>0.34</v>
      </c>
    </row>
    <row r="340" spans="1:13" x14ac:dyDescent="0.25">
      <c r="A340">
        <v>339</v>
      </c>
      <c r="B340">
        <v>7.3</v>
      </c>
      <c r="C340">
        <v>2.5</v>
      </c>
      <c r="D340">
        <v>8.3000000000000007</v>
      </c>
      <c r="E340">
        <v>5.3</v>
      </c>
      <c r="F340">
        <v>0.6</v>
      </c>
      <c r="G340">
        <v>3.36</v>
      </c>
      <c r="H340" t="s">
        <v>8</v>
      </c>
      <c r="I340">
        <v>15.700000000000001</v>
      </c>
      <c r="J340" t="s">
        <v>15</v>
      </c>
      <c r="K340">
        <v>2.96</v>
      </c>
      <c r="L340" t="s">
        <v>52</v>
      </c>
      <c r="M340" s="8">
        <v>0.46</v>
      </c>
    </row>
    <row r="341" spans="1:13" x14ac:dyDescent="0.25">
      <c r="A341">
        <v>340</v>
      </c>
      <c r="B341">
        <v>5.3</v>
      </c>
      <c r="C341">
        <v>2.1</v>
      </c>
      <c r="D341">
        <v>5.8</v>
      </c>
      <c r="E341">
        <v>4.4000000000000004</v>
      </c>
      <c r="F341">
        <v>6.4</v>
      </c>
      <c r="G341">
        <v>3.11</v>
      </c>
      <c r="H341" t="s">
        <v>10</v>
      </c>
      <c r="I341">
        <v>18.200000000000003</v>
      </c>
      <c r="J341" t="s">
        <v>15</v>
      </c>
      <c r="K341">
        <v>1.83</v>
      </c>
      <c r="L341" t="s">
        <v>52</v>
      </c>
      <c r="M341" s="8">
        <v>0.28999999999999998</v>
      </c>
    </row>
    <row r="342" spans="1:13" x14ac:dyDescent="0.25">
      <c r="A342">
        <v>341</v>
      </c>
      <c r="B342">
        <v>7.6</v>
      </c>
      <c r="C342">
        <v>2.7</v>
      </c>
      <c r="D342">
        <v>5.2</v>
      </c>
      <c r="E342">
        <v>0.5</v>
      </c>
      <c r="F342">
        <v>8</v>
      </c>
      <c r="G342">
        <v>3.07</v>
      </c>
      <c r="H342" t="s">
        <v>10</v>
      </c>
      <c r="I342">
        <v>18.8</v>
      </c>
      <c r="J342" t="s">
        <v>15</v>
      </c>
      <c r="K342">
        <v>3.69</v>
      </c>
      <c r="L342" t="s">
        <v>52</v>
      </c>
      <c r="M342" s="8">
        <v>0.4</v>
      </c>
    </row>
    <row r="343" spans="1:13" x14ac:dyDescent="0.25">
      <c r="A343">
        <v>342</v>
      </c>
      <c r="B343">
        <v>5.4</v>
      </c>
      <c r="C343">
        <v>0</v>
      </c>
      <c r="D343">
        <v>9.8000000000000007</v>
      </c>
      <c r="E343">
        <v>4.4000000000000004</v>
      </c>
      <c r="F343">
        <v>4.4000000000000004</v>
      </c>
      <c r="G343">
        <v>2.85</v>
      </c>
      <c r="H343" t="s">
        <v>9</v>
      </c>
      <c r="I343">
        <v>14.200000000000001</v>
      </c>
      <c r="J343" t="s">
        <v>13</v>
      </c>
      <c r="K343">
        <v>2.41</v>
      </c>
      <c r="L343" t="s">
        <v>52</v>
      </c>
      <c r="M343" s="8">
        <v>0.38</v>
      </c>
    </row>
    <row r="344" spans="1:13" x14ac:dyDescent="0.25">
      <c r="A344">
        <v>343</v>
      </c>
      <c r="B344">
        <v>6.8</v>
      </c>
      <c r="C344">
        <v>1.2</v>
      </c>
      <c r="D344">
        <v>6.7</v>
      </c>
      <c r="E344">
        <v>4.5999999999999996</v>
      </c>
      <c r="F344">
        <v>4.7</v>
      </c>
      <c r="G344">
        <v>2.81</v>
      </c>
      <c r="H344" t="s">
        <v>8</v>
      </c>
      <c r="I344">
        <v>17.3</v>
      </c>
      <c r="J344" t="s">
        <v>13</v>
      </c>
      <c r="K344">
        <v>2.3199999999999998</v>
      </c>
      <c r="L344" t="s">
        <v>52</v>
      </c>
      <c r="M344" s="8">
        <v>0.39</v>
      </c>
    </row>
    <row r="345" spans="1:13" x14ac:dyDescent="0.25">
      <c r="A345">
        <v>344</v>
      </c>
      <c r="B345">
        <v>5.9</v>
      </c>
      <c r="C345">
        <v>0.4</v>
      </c>
      <c r="D345">
        <v>8.3000000000000007</v>
      </c>
      <c r="E345">
        <v>4.5999999999999996</v>
      </c>
      <c r="F345">
        <v>4.8</v>
      </c>
      <c r="G345">
        <v>2.99</v>
      </c>
      <c r="H345" t="s">
        <v>9</v>
      </c>
      <c r="I345">
        <v>15.7</v>
      </c>
      <c r="J345" t="s">
        <v>13</v>
      </c>
      <c r="K345">
        <v>2.42</v>
      </c>
      <c r="L345" t="s">
        <v>52</v>
      </c>
      <c r="M345" s="8">
        <v>0.38</v>
      </c>
    </row>
    <row r="346" spans="1:13" x14ac:dyDescent="0.25">
      <c r="A346">
        <v>345</v>
      </c>
      <c r="B346">
        <v>6.3</v>
      </c>
      <c r="C346">
        <v>0.1</v>
      </c>
      <c r="D346">
        <v>5.4</v>
      </c>
      <c r="E346">
        <v>5.8</v>
      </c>
      <c r="F346">
        <v>6.4</v>
      </c>
      <c r="G346">
        <v>3.14</v>
      </c>
      <c r="H346" t="s">
        <v>10</v>
      </c>
      <c r="I346">
        <v>18.600000000000001</v>
      </c>
      <c r="J346" t="s">
        <v>15</v>
      </c>
      <c r="K346">
        <v>3.04</v>
      </c>
      <c r="L346" t="s">
        <v>52</v>
      </c>
      <c r="M346" s="8">
        <v>0.34</v>
      </c>
    </row>
    <row r="347" spans="1:13" x14ac:dyDescent="0.25">
      <c r="A347">
        <v>346</v>
      </c>
      <c r="B347">
        <v>8.1</v>
      </c>
      <c r="C347">
        <v>1.5</v>
      </c>
      <c r="D347">
        <v>6</v>
      </c>
      <c r="E347">
        <v>0.7</v>
      </c>
      <c r="F347">
        <v>7.7</v>
      </c>
      <c r="G347">
        <v>3.06</v>
      </c>
      <c r="H347" t="s">
        <v>10</v>
      </c>
      <c r="I347">
        <v>18</v>
      </c>
      <c r="J347" t="s">
        <v>15</v>
      </c>
      <c r="K347">
        <v>3.94</v>
      </c>
      <c r="L347" t="s">
        <v>52</v>
      </c>
      <c r="M347" s="8">
        <v>0.45</v>
      </c>
    </row>
    <row r="348" spans="1:13" x14ac:dyDescent="0.25">
      <c r="A348">
        <v>347</v>
      </c>
      <c r="B348">
        <v>8.1</v>
      </c>
      <c r="C348">
        <v>3.1</v>
      </c>
      <c r="D348">
        <v>8.1999999999999993</v>
      </c>
      <c r="E348">
        <v>2.4</v>
      </c>
      <c r="F348">
        <v>2.2000000000000002</v>
      </c>
      <c r="G348">
        <v>3.09</v>
      </c>
      <c r="H348" t="s">
        <v>10</v>
      </c>
      <c r="I348">
        <v>15.8</v>
      </c>
      <c r="J348" t="s">
        <v>15</v>
      </c>
      <c r="K348">
        <v>2.79</v>
      </c>
      <c r="L348" t="s">
        <v>52</v>
      </c>
      <c r="M348" s="8">
        <v>0.51</v>
      </c>
    </row>
    <row r="349" spans="1:13" x14ac:dyDescent="0.25">
      <c r="A349">
        <v>348</v>
      </c>
      <c r="B349">
        <v>9.9</v>
      </c>
      <c r="C349">
        <v>2.4</v>
      </c>
      <c r="D349">
        <v>7.9</v>
      </c>
      <c r="E349">
        <v>2.8</v>
      </c>
      <c r="F349">
        <v>1</v>
      </c>
      <c r="G349">
        <v>3.67</v>
      </c>
      <c r="H349" t="s">
        <v>10</v>
      </c>
      <c r="I349">
        <v>16.100000000000001</v>
      </c>
      <c r="J349" t="s">
        <v>14</v>
      </c>
      <c r="K349">
        <v>3.99</v>
      </c>
      <c r="L349" t="s">
        <v>52</v>
      </c>
      <c r="M349" s="8">
        <v>0.61</v>
      </c>
    </row>
    <row r="350" spans="1:13" x14ac:dyDescent="0.25">
      <c r="A350">
        <v>349</v>
      </c>
      <c r="B350">
        <v>9.1</v>
      </c>
      <c r="C350">
        <v>2.6</v>
      </c>
      <c r="D350">
        <v>5.6</v>
      </c>
      <c r="E350">
        <v>2</v>
      </c>
      <c r="F350">
        <v>4.7</v>
      </c>
      <c r="G350">
        <v>3.16</v>
      </c>
      <c r="H350" t="s">
        <v>10</v>
      </c>
      <c r="I350">
        <v>18.399999999999999</v>
      </c>
      <c r="J350" t="s">
        <v>15</v>
      </c>
      <c r="K350">
        <v>3.22</v>
      </c>
      <c r="L350" t="s">
        <v>52</v>
      </c>
      <c r="M350" s="8">
        <v>0.49</v>
      </c>
    </row>
    <row r="351" spans="1:13" x14ac:dyDescent="0.25">
      <c r="A351">
        <v>350</v>
      </c>
      <c r="B351">
        <v>7.2</v>
      </c>
      <c r="C351">
        <v>2.5</v>
      </c>
      <c r="D351">
        <v>9.6999999999999993</v>
      </c>
      <c r="E351">
        <v>1.1000000000000001</v>
      </c>
      <c r="F351">
        <v>3.5</v>
      </c>
      <c r="G351">
        <v>2.69</v>
      </c>
      <c r="H351" t="s">
        <v>8</v>
      </c>
      <c r="I351">
        <v>14.299999999999999</v>
      </c>
      <c r="J351" t="s">
        <v>13</v>
      </c>
      <c r="K351">
        <v>2.61</v>
      </c>
      <c r="L351" t="s">
        <v>52</v>
      </c>
      <c r="M351" s="8">
        <v>0.5</v>
      </c>
    </row>
    <row r="352" spans="1:13" x14ac:dyDescent="0.25">
      <c r="A352">
        <v>351</v>
      </c>
      <c r="B352">
        <v>5.6</v>
      </c>
      <c r="C352">
        <v>0.8</v>
      </c>
      <c r="D352">
        <v>9.4</v>
      </c>
      <c r="E352">
        <v>3.9</v>
      </c>
      <c r="F352">
        <v>4.3</v>
      </c>
      <c r="G352">
        <v>3.01</v>
      </c>
      <c r="H352" t="s">
        <v>9</v>
      </c>
      <c r="I352">
        <v>14.599999999999998</v>
      </c>
      <c r="J352" t="s">
        <v>15</v>
      </c>
      <c r="K352">
        <v>2.0299999999999998</v>
      </c>
      <c r="L352" t="s">
        <v>52</v>
      </c>
      <c r="M352" s="8">
        <v>0.38</v>
      </c>
    </row>
    <row r="353" spans="1:13" x14ac:dyDescent="0.25">
      <c r="A353">
        <v>352</v>
      </c>
      <c r="B353">
        <v>9.3000000000000007</v>
      </c>
      <c r="C353">
        <v>3.4</v>
      </c>
      <c r="D353">
        <v>9.6</v>
      </c>
      <c r="E353">
        <v>0.4</v>
      </c>
      <c r="F353">
        <v>1.3</v>
      </c>
      <c r="G353">
        <v>3.28</v>
      </c>
      <c r="H353" t="s">
        <v>10</v>
      </c>
      <c r="I353">
        <v>14.400000000000002</v>
      </c>
      <c r="J353" t="s">
        <v>15</v>
      </c>
      <c r="K353">
        <v>4</v>
      </c>
      <c r="L353" t="s">
        <v>52</v>
      </c>
      <c r="M353" s="8">
        <v>0.65</v>
      </c>
    </row>
    <row r="354" spans="1:13" x14ac:dyDescent="0.25">
      <c r="A354">
        <v>353</v>
      </c>
      <c r="B354">
        <v>8.8000000000000007</v>
      </c>
      <c r="C354">
        <v>1.8</v>
      </c>
      <c r="D354">
        <v>9.1999999999999993</v>
      </c>
      <c r="E354">
        <v>3.1</v>
      </c>
      <c r="F354">
        <v>1.1000000000000001</v>
      </c>
      <c r="G354">
        <v>3.45</v>
      </c>
      <c r="H354" t="s">
        <v>10</v>
      </c>
      <c r="I354">
        <v>14.8</v>
      </c>
      <c r="J354" t="s">
        <v>15</v>
      </c>
      <c r="K354">
        <v>3.5</v>
      </c>
      <c r="L354" t="s">
        <v>52</v>
      </c>
      <c r="M354" s="8">
        <v>0.59</v>
      </c>
    </row>
    <row r="355" spans="1:13" x14ac:dyDescent="0.25">
      <c r="A355">
        <v>354</v>
      </c>
      <c r="B355">
        <v>5.9</v>
      </c>
      <c r="C355">
        <v>2.2000000000000002</v>
      </c>
      <c r="D355">
        <v>9.9</v>
      </c>
      <c r="E355">
        <v>5.6</v>
      </c>
      <c r="F355">
        <v>0.4</v>
      </c>
      <c r="G355">
        <v>3.12</v>
      </c>
      <c r="H355" t="s">
        <v>9</v>
      </c>
      <c r="I355">
        <v>14.100000000000001</v>
      </c>
      <c r="J355" t="s">
        <v>15</v>
      </c>
      <c r="K355">
        <v>2.68</v>
      </c>
      <c r="L355" t="s">
        <v>52</v>
      </c>
      <c r="M355" s="8">
        <v>0.42</v>
      </c>
    </row>
    <row r="356" spans="1:13" x14ac:dyDescent="0.25">
      <c r="A356">
        <v>355</v>
      </c>
      <c r="B356">
        <v>5.2</v>
      </c>
      <c r="C356">
        <v>0.7</v>
      </c>
      <c r="D356">
        <v>5.7</v>
      </c>
      <c r="E356">
        <v>4.4000000000000004</v>
      </c>
      <c r="F356">
        <v>8</v>
      </c>
      <c r="G356">
        <v>2.67</v>
      </c>
      <c r="H356" t="s">
        <v>10</v>
      </c>
      <c r="I356">
        <v>18.3</v>
      </c>
      <c r="J356" t="s">
        <v>13</v>
      </c>
      <c r="K356">
        <v>3.01</v>
      </c>
      <c r="L356" t="s">
        <v>52</v>
      </c>
      <c r="M356" s="8">
        <v>0.28000000000000003</v>
      </c>
    </row>
    <row r="357" spans="1:13" x14ac:dyDescent="0.25">
      <c r="A357">
        <v>356</v>
      </c>
      <c r="B357">
        <v>7.5</v>
      </c>
      <c r="C357">
        <v>3.4</v>
      </c>
      <c r="D357">
        <v>8.6999999999999993</v>
      </c>
      <c r="E357">
        <v>2.4</v>
      </c>
      <c r="F357">
        <v>2</v>
      </c>
      <c r="G357">
        <v>3.24</v>
      </c>
      <c r="H357" t="s">
        <v>8</v>
      </c>
      <c r="I357">
        <v>15.3</v>
      </c>
      <c r="J357" t="s">
        <v>15</v>
      </c>
      <c r="K357">
        <v>2.52</v>
      </c>
      <c r="L357" t="s">
        <v>52</v>
      </c>
      <c r="M357" s="8">
        <v>0.49</v>
      </c>
    </row>
    <row r="358" spans="1:13" x14ac:dyDescent="0.25">
      <c r="A358">
        <v>357</v>
      </c>
      <c r="B358">
        <v>8</v>
      </c>
      <c r="C358">
        <v>2</v>
      </c>
      <c r="D358">
        <v>6.5</v>
      </c>
      <c r="E358">
        <v>3.4</v>
      </c>
      <c r="F358">
        <v>4.0999999999999996</v>
      </c>
      <c r="G358">
        <v>3.35</v>
      </c>
      <c r="H358" t="s">
        <v>8</v>
      </c>
      <c r="I358">
        <v>17.5</v>
      </c>
      <c r="J358" t="s">
        <v>15</v>
      </c>
      <c r="K358">
        <v>2.57</v>
      </c>
      <c r="L358" t="s">
        <v>52</v>
      </c>
      <c r="M358" s="8">
        <v>0.46</v>
      </c>
    </row>
    <row r="359" spans="1:13" x14ac:dyDescent="0.25">
      <c r="A359">
        <v>358</v>
      </c>
      <c r="B359">
        <v>8.1999999999999993</v>
      </c>
      <c r="C359">
        <v>3</v>
      </c>
      <c r="D359">
        <v>5.8</v>
      </c>
      <c r="E359">
        <v>2.8</v>
      </c>
      <c r="F359">
        <v>4.2</v>
      </c>
      <c r="G359">
        <v>3.31</v>
      </c>
      <c r="H359" t="s">
        <v>10</v>
      </c>
      <c r="I359">
        <v>18.2</v>
      </c>
      <c r="J359" t="s">
        <v>15</v>
      </c>
      <c r="K359">
        <v>2.5099999999999998</v>
      </c>
      <c r="L359" t="s">
        <v>52</v>
      </c>
      <c r="M359" s="8">
        <v>0.45</v>
      </c>
    </row>
    <row r="360" spans="1:13" x14ac:dyDescent="0.25">
      <c r="A360">
        <v>359</v>
      </c>
      <c r="B360">
        <v>5</v>
      </c>
      <c r="C360">
        <v>1</v>
      </c>
      <c r="D360">
        <v>8.6</v>
      </c>
      <c r="E360">
        <v>6</v>
      </c>
      <c r="F360">
        <v>3.4</v>
      </c>
      <c r="G360">
        <v>2.71</v>
      </c>
      <c r="H360" t="s">
        <v>9</v>
      </c>
      <c r="I360">
        <v>15.4</v>
      </c>
      <c r="J360" t="s">
        <v>13</v>
      </c>
      <c r="K360">
        <v>2.1800000000000002</v>
      </c>
      <c r="L360" t="s">
        <v>52</v>
      </c>
      <c r="M360" s="8">
        <v>0.32</v>
      </c>
    </row>
    <row r="361" spans="1:13" x14ac:dyDescent="0.25">
      <c r="A361">
        <v>360</v>
      </c>
      <c r="B361">
        <v>9</v>
      </c>
      <c r="C361">
        <v>0.8</v>
      </c>
      <c r="D361">
        <v>7.8</v>
      </c>
      <c r="E361">
        <v>4.4000000000000004</v>
      </c>
      <c r="F361">
        <v>2</v>
      </c>
      <c r="G361">
        <v>3.18</v>
      </c>
      <c r="H361" t="s">
        <v>10</v>
      </c>
      <c r="I361">
        <v>16.200000000000003</v>
      </c>
      <c r="J361" t="s">
        <v>15</v>
      </c>
      <c r="K361">
        <v>3.62</v>
      </c>
      <c r="L361" t="s">
        <v>52</v>
      </c>
      <c r="M361" s="8">
        <v>0.56000000000000005</v>
      </c>
    </row>
    <row r="362" spans="1:13" x14ac:dyDescent="0.25">
      <c r="A362">
        <v>361</v>
      </c>
      <c r="B362">
        <v>8.1</v>
      </c>
      <c r="C362">
        <v>0.8</v>
      </c>
      <c r="D362">
        <v>6.8</v>
      </c>
      <c r="E362">
        <v>4.7</v>
      </c>
      <c r="F362">
        <v>3.6</v>
      </c>
      <c r="G362">
        <v>3.19</v>
      </c>
      <c r="H362" t="s">
        <v>10</v>
      </c>
      <c r="I362">
        <v>17.200000000000003</v>
      </c>
      <c r="J362" t="s">
        <v>15</v>
      </c>
      <c r="K362">
        <v>3.02</v>
      </c>
      <c r="L362" t="s">
        <v>52</v>
      </c>
      <c r="M362" s="8">
        <v>0.47</v>
      </c>
    </row>
    <row r="363" spans="1:13" x14ac:dyDescent="0.25">
      <c r="A363">
        <v>362</v>
      </c>
      <c r="B363">
        <v>8.8000000000000007</v>
      </c>
      <c r="C363">
        <v>0.1</v>
      </c>
      <c r="D363">
        <v>8.6999999999999993</v>
      </c>
      <c r="E363">
        <v>1.2</v>
      </c>
      <c r="F363">
        <v>5.2</v>
      </c>
      <c r="G363">
        <v>3.32</v>
      </c>
      <c r="H363" t="s">
        <v>10</v>
      </c>
      <c r="I363">
        <v>15.3</v>
      </c>
      <c r="J363" t="s">
        <v>15</v>
      </c>
      <c r="K363">
        <v>3.98</v>
      </c>
      <c r="L363" t="s">
        <v>52</v>
      </c>
      <c r="M363" s="8">
        <v>0.57999999999999996</v>
      </c>
    </row>
    <row r="364" spans="1:13" x14ac:dyDescent="0.25">
      <c r="A364">
        <v>363</v>
      </c>
      <c r="B364">
        <v>9.8000000000000007</v>
      </c>
      <c r="C364">
        <v>1.5</v>
      </c>
      <c r="D364">
        <v>6.6</v>
      </c>
      <c r="E364">
        <v>0.9</v>
      </c>
      <c r="F364">
        <v>5.2</v>
      </c>
      <c r="G364">
        <v>3.61</v>
      </c>
      <c r="H364" t="s">
        <v>10</v>
      </c>
      <c r="I364">
        <v>17.400000000000002</v>
      </c>
      <c r="J364" t="s">
        <v>14</v>
      </c>
      <c r="K364">
        <v>4.0999999999999996</v>
      </c>
      <c r="L364" t="s">
        <v>52</v>
      </c>
      <c r="M364" s="8">
        <v>0.56000000000000005</v>
      </c>
    </row>
    <row r="365" spans="1:13" x14ac:dyDescent="0.25">
      <c r="A365">
        <v>364</v>
      </c>
      <c r="B365">
        <v>10</v>
      </c>
      <c r="C365">
        <v>1.5</v>
      </c>
      <c r="D365">
        <v>7.2</v>
      </c>
      <c r="E365">
        <v>3.8</v>
      </c>
      <c r="F365">
        <v>1.5</v>
      </c>
      <c r="G365">
        <v>3.43</v>
      </c>
      <c r="H365" t="s">
        <v>10</v>
      </c>
      <c r="I365">
        <v>16.8</v>
      </c>
      <c r="J365" t="s">
        <v>15</v>
      </c>
      <c r="K365">
        <v>4.0199999999999996</v>
      </c>
      <c r="L365" t="s">
        <v>52</v>
      </c>
      <c r="M365" s="8">
        <v>0.6</v>
      </c>
    </row>
    <row r="366" spans="1:13" x14ac:dyDescent="0.25">
      <c r="A366">
        <v>365</v>
      </c>
      <c r="B366">
        <v>9.4</v>
      </c>
      <c r="C366">
        <v>2.4</v>
      </c>
      <c r="D366">
        <v>7</v>
      </c>
      <c r="E366">
        <v>2.1</v>
      </c>
      <c r="F366">
        <v>3.1</v>
      </c>
      <c r="G366">
        <v>3.1</v>
      </c>
      <c r="H366" t="s">
        <v>10</v>
      </c>
      <c r="I366">
        <v>17</v>
      </c>
      <c r="J366" t="s">
        <v>15</v>
      </c>
      <c r="K366">
        <v>3.46</v>
      </c>
      <c r="L366" t="s">
        <v>52</v>
      </c>
      <c r="M366" s="8">
        <v>0.55000000000000004</v>
      </c>
    </row>
    <row r="367" spans="1:13" x14ac:dyDescent="0.25">
      <c r="A367">
        <v>366</v>
      </c>
      <c r="B367">
        <v>9</v>
      </c>
      <c r="C367">
        <v>0.4</v>
      </c>
      <c r="D367">
        <v>7.9</v>
      </c>
      <c r="E367">
        <v>2.9</v>
      </c>
      <c r="F367">
        <v>3.8</v>
      </c>
      <c r="G367">
        <v>3.6</v>
      </c>
      <c r="H367" t="s">
        <v>10</v>
      </c>
      <c r="I367">
        <v>16.100000000000001</v>
      </c>
      <c r="J367" t="s">
        <v>14</v>
      </c>
      <c r="K367">
        <v>3.62</v>
      </c>
      <c r="L367" t="s">
        <v>52</v>
      </c>
      <c r="M367" s="8">
        <v>0.56000000000000005</v>
      </c>
    </row>
    <row r="368" spans="1:13" x14ac:dyDescent="0.25">
      <c r="A368">
        <v>367</v>
      </c>
      <c r="B368">
        <v>8.1999999999999993</v>
      </c>
      <c r="C368">
        <v>0.3</v>
      </c>
      <c r="D368">
        <v>7.9</v>
      </c>
      <c r="E368">
        <v>3.4</v>
      </c>
      <c r="F368">
        <v>4.2</v>
      </c>
      <c r="G368">
        <v>3.64</v>
      </c>
      <c r="H368" t="s">
        <v>10</v>
      </c>
      <c r="I368">
        <v>16.100000000000001</v>
      </c>
      <c r="J368" t="s">
        <v>14</v>
      </c>
      <c r="K368">
        <v>3.25</v>
      </c>
      <c r="L368" t="s">
        <v>52</v>
      </c>
      <c r="M368" s="8">
        <v>0.51</v>
      </c>
    </row>
    <row r="369" spans="1:13" x14ac:dyDescent="0.25">
      <c r="A369">
        <v>368</v>
      </c>
      <c r="B369">
        <v>8.4</v>
      </c>
      <c r="C369">
        <v>3.2</v>
      </c>
      <c r="D369">
        <v>6.3</v>
      </c>
      <c r="E369">
        <v>5</v>
      </c>
      <c r="F369">
        <v>1.1000000000000001</v>
      </c>
      <c r="G369">
        <v>3.5</v>
      </c>
      <c r="H369" t="s">
        <v>10</v>
      </c>
      <c r="I369">
        <v>17.700000000000003</v>
      </c>
      <c r="J369" t="s">
        <v>14</v>
      </c>
      <c r="K369">
        <v>3.09</v>
      </c>
      <c r="L369" t="s">
        <v>52</v>
      </c>
      <c r="M369" s="8">
        <v>0.47</v>
      </c>
    </row>
    <row r="370" spans="1:13" x14ac:dyDescent="0.25">
      <c r="A370">
        <v>369</v>
      </c>
      <c r="B370">
        <v>7.5</v>
      </c>
      <c r="C370">
        <v>0.3</v>
      </c>
      <c r="D370">
        <v>5.3</v>
      </c>
      <c r="E370">
        <v>2</v>
      </c>
      <c r="F370">
        <v>8.9</v>
      </c>
      <c r="G370">
        <v>3.26</v>
      </c>
      <c r="H370" t="s">
        <v>10</v>
      </c>
      <c r="I370">
        <v>18.700000000000003</v>
      </c>
      <c r="J370" t="s">
        <v>15</v>
      </c>
      <c r="K370">
        <v>4.17</v>
      </c>
      <c r="L370" t="s">
        <v>52</v>
      </c>
      <c r="M370" s="8">
        <v>0.4</v>
      </c>
    </row>
    <row r="371" spans="1:13" x14ac:dyDescent="0.25">
      <c r="A371">
        <v>370</v>
      </c>
      <c r="B371">
        <v>8.9</v>
      </c>
      <c r="C371">
        <v>2.1</v>
      </c>
      <c r="D371">
        <v>7.2</v>
      </c>
      <c r="E371">
        <v>0.9</v>
      </c>
      <c r="F371">
        <v>4.9000000000000004</v>
      </c>
      <c r="G371">
        <v>3.53</v>
      </c>
      <c r="H371" t="s">
        <v>10</v>
      </c>
      <c r="I371">
        <v>16.8</v>
      </c>
      <c r="J371" t="s">
        <v>14</v>
      </c>
      <c r="K371">
        <v>3.55</v>
      </c>
      <c r="L371" t="s">
        <v>52</v>
      </c>
      <c r="M371" s="8">
        <v>0.53</v>
      </c>
    </row>
    <row r="372" spans="1:13" x14ac:dyDescent="0.25">
      <c r="A372">
        <v>371</v>
      </c>
      <c r="B372">
        <v>6.6</v>
      </c>
      <c r="C372">
        <v>1.7</v>
      </c>
      <c r="D372">
        <v>5.4</v>
      </c>
      <c r="E372">
        <v>1.3</v>
      </c>
      <c r="F372">
        <v>9</v>
      </c>
      <c r="G372">
        <v>3.29</v>
      </c>
      <c r="H372" t="s">
        <v>10</v>
      </c>
      <c r="I372">
        <v>18.600000000000001</v>
      </c>
      <c r="J372" t="s">
        <v>15</v>
      </c>
      <c r="K372">
        <v>3.77</v>
      </c>
      <c r="L372" t="s">
        <v>52</v>
      </c>
      <c r="M372" s="8">
        <v>0.35</v>
      </c>
    </row>
    <row r="373" spans="1:13" x14ac:dyDescent="0.25">
      <c r="A373">
        <v>372</v>
      </c>
      <c r="B373">
        <v>10</v>
      </c>
      <c r="C373">
        <v>3.7</v>
      </c>
      <c r="D373">
        <v>8.1999999999999993</v>
      </c>
      <c r="E373">
        <v>0.9</v>
      </c>
      <c r="F373">
        <v>1.2</v>
      </c>
      <c r="G373">
        <v>3.63</v>
      </c>
      <c r="H373" t="s">
        <v>10</v>
      </c>
      <c r="I373">
        <v>15.799999999999999</v>
      </c>
      <c r="J373" t="s">
        <v>14</v>
      </c>
      <c r="K373">
        <v>4.22</v>
      </c>
      <c r="L373" t="s">
        <v>52</v>
      </c>
      <c r="M373" s="8">
        <v>0.63</v>
      </c>
    </row>
    <row r="374" spans="1:13" x14ac:dyDescent="0.25">
      <c r="A374">
        <v>373</v>
      </c>
      <c r="B374">
        <v>8.1999999999999993</v>
      </c>
      <c r="C374">
        <v>3.1</v>
      </c>
      <c r="D374">
        <v>5.6</v>
      </c>
      <c r="E374">
        <v>2.5</v>
      </c>
      <c r="F374">
        <v>4.5999999999999996</v>
      </c>
      <c r="G374">
        <v>3.16</v>
      </c>
      <c r="H374" t="s">
        <v>10</v>
      </c>
      <c r="I374">
        <v>18.399999999999999</v>
      </c>
      <c r="J374" t="s">
        <v>15</v>
      </c>
      <c r="K374">
        <v>2.56</v>
      </c>
      <c r="L374" t="s">
        <v>52</v>
      </c>
      <c r="M374" s="8">
        <v>0.45</v>
      </c>
    </row>
    <row r="375" spans="1:13" x14ac:dyDescent="0.25">
      <c r="A375">
        <v>374</v>
      </c>
      <c r="B375">
        <v>7.9</v>
      </c>
      <c r="C375">
        <v>2.4</v>
      </c>
      <c r="D375">
        <v>5.9</v>
      </c>
      <c r="E375">
        <v>2.2000000000000002</v>
      </c>
      <c r="F375">
        <v>5.6</v>
      </c>
      <c r="G375">
        <v>3.4</v>
      </c>
      <c r="H375" t="s">
        <v>10</v>
      </c>
      <c r="I375">
        <v>18.100000000000001</v>
      </c>
      <c r="J375" t="s">
        <v>15</v>
      </c>
      <c r="K375">
        <v>2.74</v>
      </c>
      <c r="L375" t="s">
        <v>52</v>
      </c>
      <c r="M375" s="8">
        <v>0.44</v>
      </c>
    </row>
    <row r="376" spans="1:13" x14ac:dyDescent="0.25">
      <c r="A376">
        <v>375</v>
      </c>
      <c r="B376">
        <v>6.7</v>
      </c>
      <c r="C376">
        <v>0.1</v>
      </c>
      <c r="D376">
        <v>5.0999999999999996</v>
      </c>
      <c r="E376">
        <v>5</v>
      </c>
      <c r="F376">
        <v>7.1</v>
      </c>
      <c r="G376">
        <v>3.03</v>
      </c>
      <c r="H376" t="s">
        <v>10</v>
      </c>
      <c r="I376">
        <v>18.899999999999999</v>
      </c>
      <c r="J376" t="s">
        <v>15</v>
      </c>
      <c r="K376">
        <v>3.21</v>
      </c>
      <c r="L376" t="s">
        <v>52</v>
      </c>
      <c r="M376" s="8">
        <v>0.35</v>
      </c>
    </row>
    <row r="377" spans="1:13" x14ac:dyDescent="0.25">
      <c r="A377">
        <v>376</v>
      </c>
      <c r="B377">
        <v>6.5</v>
      </c>
      <c r="C377">
        <v>3.8</v>
      </c>
      <c r="D377">
        <v>6.3</v>
      </c>
      <c r="E377">
        <v>2.6</v>
      </c>
      <c r="F377">
        <v>4.8</v>
      </c>
      <c r="G377">
        <v>2.62</v>
      </c>
      <c r="H377" t="s">
        <v>8</v>
      </c>
      <c r="I377">
        <v>17.7</v>
      </c>
      <c r="J377" t="s">
        <v>13</v>
      </c>
      <c r="K377">
        <v>1.65</v>
      </c>
      <c r="L377" t="s">
        <v>52</v>
      </c>
      <c r="M377" s="8">
        <v>0.37</v>
      </c>
    </row>
    <row r="378" spans="1:13" x14ac:dyDescent="0.25">
      <c r="A378">
        <v>377</v>
      </c>
      <c r="B378">
        <v>9.4</v>
      </c>
      <c r="C378">
        <v>3.4</v>
      </c>
      <c r="D378">
        <v>5.9</v>
      </c>
      <c r="E378">
        <v>4.3</v>
      </c>
      <c r="F378">
        <v>1</v>
      </c>
      <c r="G378">
        <v>3.18</v>
      </c>
      <c r="H378" t="s">
        <v>10</v>
      </c>
      <c r="I378">
        <v>18.100000000000001</v>
      </c>
      <c r="J378" t="s">
        <v>15</v>
      </c>
      <c r="K378">
        <v>3.54</v>
      </c>
      <c r="L378" t="s">
        <v>52</v>
      </c>
      <c r="M378" s="8">
        <v>0.52</v>
      </c>
    </row>
    <row r="379" spans="1:13" x14ac:dyDescent="0.25">
      <c r="A379">
        <v>378</v>
      </c>
      <c r="B379">
        <v>5.7</v>
      </c>
      <c r="C379">
        <v>0.3</v>
      </c>
      <c r="D379">
        <v>8.6</v>
      </c>
      <c r="E379">
        <v>3</v>
      </c>
      <c r="F379">
        <v>6.4</v>
      </c>
      <c r="G379">
        <v>2.2799999999999998</v>
      </c>
      <c r="H379" t="s">
        <v>9</v>
      </c>
      <c r="I379">
        <v>15.4</v>
      </c>
      <c r="J379" t="s">
        <v>16</v>
      </c>
      <c r="K379">
        <v>2.78</v>
      </c>
      <c r="L379" t="s">
        <v>52</v>
      </c>
      <c r="M379" s="8">
        <v>0.37</v>
      </c>
    </row>
    <row r="380" spans="1:13" x14ac:dyDescent="0.25">
      <c r="A380">
        <v>379</v>
      </c>
      <c r="B380">
        <v>7.2</v>
      </c>
      <c r="C380">
        <v>2.9</v>
      </c>
      <c r="D380">
        <v>8.8000000000000007</v>
      </c>
      <c r="E380">
        <v>0.8</v>
      </c>
      <c r="F380">
        <v>4.3</v>
      </c>
      <c r="G380">
        <v>2.88</v>
      </c>
      <c r="H380" t="s">
        <v>8</v>
      </c>
      <c r="I380">
        <v>15.2</v>
      </c>
      <c r="J380" t="s">
        <v>13</v>
      </c>
      <c r="K380">
        <v>2.68</v>
      </c>
      <c r="L380" t="s">
        <v>52</v>
      </c>
      <c r="M380" s="8">
        <v>0.47</v>
      </c>
    </row>
    <row r="381" spans="1:13" x14ac:dyDescent="0.25">
      <c r="A381">
        <v>380</v>
      </c>
      <c r="B381">
        <v>8.8000000000000007</v>
      </c>
      <c r="C381">
        <v>2.6</v>
      </c>
      <c r="D381">
        <v>9.8000000000000007</v>
      </c>
      <c r="E381">
        <v>0.2</v>
      </c>
      <c r="F381">
        <v>2.6</v>
      </c>
      <c r="G381">
        <v>3.38</v>
      </c>
      <c r="H381" t="s">
        <v>10</v>
      </c>
      <c r="I381">
        <v>14.2</v>
      </c>
      <c r="J381" t="s">
        <v>15</v>
      </c>
      <c r="K381">
        <v>3.68</v>
      </c>
      <c r="L381" t="s">
        <v>52</v>
      </c>
      <c r="M381" s="8">
        <v>0.62</v>
      </c>
    </row>
    <row r="382" spans="1:13" x14ac:dyDescent="0.25">
      <c r="A382">
        <v>381</v>
      </c>
      <c r="B382">
        <v>5.3</v>
      </c>
      <c r="C382">
        <v>1.1000000000000001</v>
      </c>
      <c r="D382">
        <v>6.3</v>
      </c>
      <c r="E382">
        <v>1.5</v>
      </c>
      <c r="F382">
        <v>9.8000000000000007</v>
      </c>
      <c r="G382">
        <v>2.75</v>
      </c>
      <c r="H382" t="s">
        <v>9</v>
      </c>
      <c r="I382">
        <v>17.700000000000003</v>
      </c>
      <c r="J382" t="s">
        <v>13</v>
      </c>
      <c r="K382">
        <v>4.05</v>
      </c>
      <c r="L382" t="s">
        <v>52</v>
      </c>
      <c r="M382" s="8">
        <v>0.3</v>
      </c>
    </row>
    <row r="383" spans="1:13" x14ac:dyDescent="0.25">
      <c r="A383">
        <v>382</v>
      </c>
      <c r="B383">
        <v>6.4</v>
      </c>
      <c r="C383">
        <v>3</v>
      </c>
      <c r="D383">
        <v>7.2</v>
      </c>
      <c r="E383">
        <v>4.7</v>
      </c>
      <c r="F383">
        <v>2.7</v>
      </c>
      <c r="G383">
        <v>3.03</v>
      </c>
      <c r="H383" t="s">
        <v>8</v>
      </c>
      <c r="I383">
        <v>16.8</v>
      </c>
      <c r="J383" t="s">
        <v>15</v>
      </c>
      <c r="K383">
        <v>1.71</v>
      </c>
      <c r="L383" t="s">
        <v>52</v>
      </c>
      <c r="M383" s="8">
        <v>0.38</v>
      </c>
    </row>
    <row r="384" spans="1:13" x14ac:dyDescent="0.25">
      <c r="A384">
        <v>383</v>
      </c>
      <c r="B384">
        <v>5.3</v>
      </c>
      <c r="C384">
        <v>2</v>
      </c>
      <c r="D384">
        <v>5.2</v>
      </c>
      <c r="E384">
        <v>0.4</v>
      </c>
      <c r="F384">
        <v>11.1</v>
      </c>
      <c r="G384">
        <v>2.31</v>
      </c>
      <c r="H384" t="s">
        <v>10</v>
      </c>
      <c r="I384">
        <v>18.8</v>
      </c>
      <c r="J384" t="s">
        <v>16</v>
      </c>
      <c r="K384">
        <v>4.7300000000000004</v>
      </c>
      <c r="L384" t="s">
        <v>52</v>
      </c>
      <c r="M384" s="8">
        <v>0.28000000000000003</v>
      </c>
    </row>
    <row r="385" spans="1:13" x14ac:dyDescent="0.25">
      <c r="A385">
        <v>384</v>
      </c>
      <c r="B385">
        <v>6.7</v>
      </c>
      <c r="C385">
        <v>3.6</v>
      </c>
      <c r="D385">
        <v>5.0999999999999996</v>
      </c>
      <c r="E385">
        <v>4</v>
      </c>
      <c r="F385">
        <v>4.5999999999999996</v>
      </c>
      <c r="G385">
        <v>3.18</v>
      </c>
      <c r="H385" t="s">
        <v>10</v>
      </c>
      <c r="I385">
        <v>18.899999999999999</v>
      </c>
      <c r="J385" t="s">
        <v>15</v>
      </c>
      <c r="K385">
        <v>1.38</v>
      </c>
      <c r="L385" t="s">
        <v>51</v>
      </c>
      <c r="M385" s="8">
        <v>0.35</v>
      </c>
    </row>
    <row r="386" spans="1:13" x14ac:dyDescent="0.25">
      <c r="A386">
        <v>385</v>
      </c>
      <c r="B386">
        <v>9.8000000000000007</v>
      </c>
      <c r="C386">
        <v>2.2000000000000002</v>
      </c>
      <c r="D386">
        <v>9.6999999999999993</v>
      </c>
      <c r="E386">
        <v>0.1</v>
      </c>
      <c r="F386">
        <v>2.2000000000000002</v>
      </c>
      <c r="G386">
        <v>3.16</v>
      </c>
      <c r="H386" t="s">
        <v>10</v>
      </c>
      <c r="I386">
        <v>14.3</v>
      </c>
      <c r="J386" t="s">
        <v>15</v>
      </c>
      <c r="K386">
        <v>4.2699999999999996</v>
      </c>
      <c r="L386" t="s">
        <v>52</v>
      </c>
      <c r="M386" s="8">
        <v>0.69</v>
      </c>
    </row>
    <row r="387" spans="1:13" x14ac:dyDescent="0.25">
      <c r="A387">
        <v>386</v>
      </c>
      <c r="B387">
        <v>8.6999999999999993</v>
      </c>
      <c r="C387">
        <v>3.9</v>
      </c>
      <c r="D387">
        <v>6.3</v>
      </c>
      <c r="E387">
        <v>3.3</v>
      </c>
      <c r="F387">
        <v>1.8</v>
      </c>
      <c r="G387">
        <v>3.2</v>
      </c>
      <c r="H387" t="s">
        <v>10</v>
      </c>
      <c r="I387">
        <v>17.7</v>
      </c>
      <c r="J387" t="s">
        <v>15</v>
      </c>
      <c r="K387">
        <v>2.98</v>
      </c>
      <c r="L387" t="s">
        <v>52</v>
      </c>
      <c r="M387" s="8">
        <v>0.49</v>
      </c>
    </row>
    <row r="388" spans="1:13" x14ac:dyDescent="0.25">
      <c r="A388">
        <v>387</v>
      </c>
      <c r="B388">
        <v>6</v>
      </c>
      <c r="C388">
        <v>2.2999999999999998</v>
      </c>
      <c r="D388">
        <v>7.3</v>
      </c>
      <c r="E388">
        <v>5.8</v>
      </c>
      <c r="F388">
        <v>2.6</v>
      </c>
      <c r="G388">
        <v>2.58</v>
      </c>
      <c r="H388" t="s">
        <v>8</v>
      </c>
      <c r="I388">
        <v>16.700000000000003</v>
      </c>
      <c r="J388" t="s">
        <v>13</v>
      </c>
      <c r="K388">
        <v>2</v>
      </c>
      <c r="L388" t="s">
        <v>52</v>
      </c>
      <c r="M388" s="8">
        <v>0.36</v>
      </c>
    </row>
    <row r="389" spans="1:13" x14ac:dyDescent="0.25">
      <c r="A389">
        <v>388</v>
      </c>
      <c r="B389">
        <v>5.6</v>
      </c>
      <c r="C389">
        <v>0.6</v>
      </c>
      <c r="D389">
        <v>6.1</v>
      </c>
      <c r="E389">
        <v>1.5</v>
      </c>
      <c r="F389">
        <v>10.199999999999999</v>
      </c>
      <c r="G389">
        <v>3.07</v>
      </c>
      <c r="H389" t="s">
        <v>9</v>
      </c>
      <c r="I389">
        <v>17.899999999999999</v>
      </c>
      <c r="J389" t="s">
        <v>15</v>
      </c>
      <c r="K389">
        <v>4.3899999999999997</v>
      </c>
      <c r="L389" t="s">
        <v>52</v>
      </c>
      <c r="M389" s="8">
        <v>0.31</v>
      </c>
    </row>
    <row r="390" spans="1:13" x14ac:dyDescent="0.25">
      <c r="A390">
        <v>389</v>
      </c>
      <c r="B390">
        <v>9.3000000000000007</v>
      </c>
      <c r="C390">
        <v>2.2000000000000002</v>
      </c>
      <c r="D390">
        <v>7.6</v>
      </c>
      <c r="E390">
        <v>0.6</v>
      </c>
      <c r="F390">
        <v>4.3</v>
      </c>
      <c r="G390">
        <v>3.48</v>
      </c>
      <c r="H390" t="s">
        <v>10</v>
      </c>
      <c r="I390">
        <v>16.399999999999999</v>
      </c>
      <c r="J390" t="s">
        <v>15</v>
      </c>
      <c r="K390">
        <v>3.78</v>
      </c>
      <c r="L390" t="s">
        <v>52</v>
      </c>
      <c r="M390" s="8">
        <v>0.56999999999999995</v>
      </c>
    </row>
    <row r="391" spans="1:13" x14ac:dyDescent="0.25">
      <c r="A391">
        <v>390</v>
      </c>
      <c r="B391">
        <v>5.3</v>
      </c>
      <c r="C391">
        <v>2.8</v>
      </c>
      <c r="D391">
        <v>7.7</v>
      </c>
      <c r="E391">
        <v>0.5</v>
      </c>
      <c r="F391">
        <v>7.7</v>
      </c>
      <c r="G391">
        <v>2.93</v>
      </c>
      <c r="H391" t="s">
        <v>9</v>
      </c>
      <c r="I391">
        <v>16.3</v>
      </c>
      <c r="J391" t="s">
        <v>13</v>
      </c>
      <c r="K391">
        <v>3.11</v>
      </c>
      <c r="L391" t="s">
        <v>52</v>
      </c>
      <c r="M391" s="8">
        <v>0.33</v>
      </c>
    </row>
    <row r="392" spans="1:13" x14ac:dyDescent="0.25">
      <c r="A392">
        <v>391</v>
      </c>
      <c r="B392">
        <v>7.3</v>
      </c>
      <c r="C392">
        <v>1.9</v>
      </c>
      <c r="D392">
        <v>5.8</v>
      </c>
      <c r="E392">
        <v>5.7</v>
      </c>
      <c r="F392">
        <v>3.3</v>
      </c>
      <c r="G392">
        <v>3.18</v>
      </c>
      <c r="H392" t="s">
        <v>10</v>
      </c>
      <c r="I392">
        <v>18.2</v>
      </c>
      <c r="J392" t="s">
        <v>15</v>
      </c>
      <c r="K392">
        <v>2.41</v>
      </c>
      <c r="L392" t="s">
        <v>52</v>
      </c>
      <c r="M392" s="8">
        <v>0.4</v>
      </c>
    </row>
    <row r="393" spans="1:13" x14ac:dyDescent="0.25">
      <c r="A393">
        <v>392</v>
      </c>
      <c r="B393">
        <v>7.3</v>
      </c>
      <c r="C393">
        <v>1.6</v>
      </c>
      <c r="D393">
        <v>8.3000000000000007</v>
      </c>
      <c r="E393">
        <v>3.3</v>
      </c>
      <c r="F393">
        <v>3.5</v>
      </c>
      <c r="G393">
        <v>3.28</v>
      </c>
      <c r="H393" t="s">
        <v>8</v>
      </c>
      <c r="I393">
        <v>15.7</v>
      </c>
      <c r="J393" t="s">
        <v>15</v>
      </c>
      <c r="K393">
        <v>2.41</v>
      </c>
      <c r="L393" t="s">
        <v>52</v>
      </c>
      <c r="M393" s="8">
        <v>0.46</v>
      </c>
    </row>
    <row r="394" spans="1:13" x14ac:dyDescent="0.25">
      <c r="A394">
        <v>393</v>
      </c>
      <c r="B394">
        <v>5.3</v>
      </c>
      <c r="C394">
        <v>2.1</v>
      </c>
      <c r="D394">
        <v>9</v>
      </c>
      <c r="E394">
        <v>2.8</v>
      </c>
      <c r="F394">
        <v>4.8</v>
      </c>
      <c r="G394">
        <v>2.67</v>
      </c>
      <c r="H394" t="s">
        <v>9</v>
      </c>
      <c r="I394">
        <v>15</v>
      </c>
      <c r="J394" t="s">
        <v>13</v>
      </c>
      <c r="K394">
        <v>1.54</v>
      </c>
      <c r="L394" t="s">
        <v>52</v>
      </c>
      <c r="M394" s="8">
        <v>0.35</v>
      </c>
    </row>
    <row r="395" spans="1:13" x14ac:dyDescent="0.25">
      <c r="A395">
        <v>394</v>
      </c>
      <c r="B395">
        <v>5.8</v>
      </c>
      <c r="C395">
        <v>1.3</v>
      </c>
      <c r="D395">
        <v>8.8000000000000007</v>
      </c>
      <c r="E395">
        <v>3.1</v>
      </c>
      <c r="F395">
        <v>5</v>
      </c>
      <c r="G395">
        <v>2.71</v>
      </c>
      <c r="H395" t="s">
        <v>9</v>
      </c>
      <c r="I395">
        <v>15.2</v>
      </c>
      <c r="J395" t="s">
        <v>13</v>
      </c>
      <c r="K395">
        <v>2.0099999999999998</v>
      </c>
      <c r="L395" t="s">
        <v>52</v>
      </c>
      <c r="M395" s="8">
        <v>0.38</v>
      </c>
    </row>
    <row r="396" spans="1:13" x14ac:dyDescent="0.25">
      <c r="A396">
        <v>395</v>
      </c>
      <c r="B396">
        <v>6</v>
      </c>
      <c r="C396">
        <v>3.5</v>
      </c>
      <c r="D396">
        <v>9.4</v>
      </c>
      <c r="E396">
        <v>4.4000000000000004</v>
      </c>
      <c r="F396">
        <v>0.7</v>
      </c>
      <c r="G396">
        <v>2.84</v>
      </c>
      <c r="H396" t="s">
        <v>8</v>
      </c>
      <c r="I396">
        <v>14.6</v>
      </c>
      <c r="J396" t="s">
        <v>13</v>
      </c>
      <c r="K396">
        <v>2.2200000000000002</v>
      </c>
      <c r="L396" t="s">
        <v>52</v>
      </c>
      <c r="M396" s="8">
        <v>0.41</v>
      </c>
    </row>
    <row r="397" spans="1:13" x14ac:dyDescent="0.25">
      <c r="A397">
        <v>396</v>
      </c>
      <c r="B397">
        <v>9.9</v>
      </c>
      <c r="C397">
        <v>3.1</v>
      </c>
      <c r="D397">
        <v>5.0999999999999996</v>
      </c>
      <c r="E397">
        <v>0.4</v>
      </c>
      <c r="F397">
        <v>5.5</v>
      </c>
      <c r="G397">
        <v>3.17</v>
      </c>
      <c r="H397" t="s">
        <v>10</v>
      </c>
      <c r="I397">
        <v>18.899999999999999</v>
      </c>
      <c r="J397" t="s">
        <v>15</v>
      </c>
      <c r="K397">
        <v>4.03</v>
      </c>
      <c r="L397" t="s">
        <v>52</v>
      </c>
      <c r="M397" s="8">
        <v>0.52</v>
      </c>
    </row>
    <row r="398" spans="1:13" x14ac:dyDescent="0.25">
      <c r="A398">
        <v>397</v>
      </c>
      <c r="B398">
        <v>7.3</v>
      </c>
      <c r="C398">
        <v>3.6</v>
      </c>
      <c r="D398">
        <v>7.7</v>
      </c>
      <c r="E398">
        <v>2.7</v>
      </c>
      <c r="F398">
        <v>2.7</v>
      </c>
      <c r="G398">
        <v>3.15</v>
      </c>
      <c r="H398" t="s">
        <v>8</v>
      </c>
      <c r="I398">
        <v>16.3</v>
      </c>
      <c r="J398" t="s">
        <v>15</v>
      </c>
      <c r="K398">
        <v>2.19</v>
      </c>
      <c r="L398" t="s">
        <v>52</v>
      </c>
      <c r="M398" s="8">
        <v>0.45</v>
      </c>
    </row>
    <row r="399" spans="1:13" x14ac:dyDescent="0.25">
      <c r="A399">
        <v>398</v>
      </c>
      <c r="B399">
        <v>9.1</v>
      </c>
      <c r="C399">
        <v>1.5</v>
      </c>
      <c r="D399">
        <v>8.9</v>
      </c>
      <c r="E399">
        <v>4.3</v>
      </c>
      <c r="F399">
        <v>0.2</v>
      </c>
      <c r="G399">
        <v>3.21</v>
      </c>
      <c r="H399" t="s">
        <v>10</v>
      </c>
      <c r="I399">
        <v>15.099999999999998</v>
      </c>
      <c r="J399" t="s">
        <v>15</v>
      </c>
      <c r="K399">
        <v>3.94</v>
      </c>
      <c r="L399" t="s">
        <v>52</v>
      </c>
      <c r="M399" s="8">
        <v>0.6</v>
      </c>
    </row>
    <row r="400" spans="1:13" x14ac:dyDescent="0.25">
      <c r="A400">
        <v>399</v>
      </c>
      <c r="B400">
        <v>6</v>
      </c>
      <c r="C400">
        <v>2.1</v>
      </c>
      <c r="D400">
        <v>6.4</v>
      </c>
      <c r="E400">
        <v>4.8</v>
      </c>
      <c r="F400">
        <v>4.7</v>
      </c>
      <c r="G400">
        <v>3.27</v>
      </c>
      <c r="H400" t="s">
        <v>8</v>
      </c>
      <c r="I400">
        <v>17.599999999999998</v>
      </c>
      <c r="J400" t="s">
        <v>15</v>
      </c>
      <c r="K400">
        <v>1.64</v>
      </c>
      <c r="L400" t="s">
        <v>52</v>
      </c>
      <c r="M400" s="8">
        <v>0.34</v>
      </c>
    </row>
    <row r="401" spans="1:13" x14ac:dyDescent="0.25">
      <c r="A401">
        <v>400</v>
      </c>
      <c r="B401">
        <v>9</v>
      </c>
      <c r="C401">
        <v>1.6</v>
      </c>
      <c r="D401">
        <v>9.6</v>
      </c>
      <c r="E401">
        <v>2</v>
      </c>
      <c r="F401">
        <v>1.8</v>
      </c>
      <c r="G401">
        <v>3.57</v>
      </c>
      <c r="H401" t="s">
        <v>10</v>
      </c>
      <c r="I401">
        <v>14.4</v>
      </c>
      <c r="J401" t="s">
        <v>14</v>
      </c>
      <c r="K401">
        <v>3.6</v>
      </c>
      <c r="L401" t="s">
        <v>52</v>
      </c>
      <c r="M401" s="8">
        <v>0.62</v>
      </c>
    </row>
    <row r="402" spans="1:13" x14ac:dyDescent="0.25">
      <c r="A402">
        <v>401</v>
      </c>
      <c r="B402">
        <v>5.8</v>
      </c>
      <c r="C402">
        <v>2.8</v>
      </c>
      <c r="D402">
        <v>9</v>
      </c>
      <c r="E402">
        <v>1.9</v>
      </c>
      <c r="F402">
        <v>4.5</v>
      </c>
      <c r="G402">
        <v>2.8</v>
      </c>
      <c r="H402" t="s">
        <v>9</v>
      </c>
      <c r="I402">
        <v>15</v>
      </c>
      <c r="J402" t="s">
        <v>13</v>
      </c>
      <c r="K402">
        <v>1.74</v>
      </c>
      <c r="L402" t="s">
        <v>52</v>
      </c>
      <c r="M402" s="8">
        <v>0.39</v>
      </c>
    </row>
    <row r="403" spans="1:13" x14ac:dyDescent="0.25">
      <c r="A403">
        <v>402</v>
      </c>
      <c r="B403">
        <v>5.9</v>
      </c>
      <c r="C403">
        <v>3.6</v>
      </c>
      <c r="D403">
        <v>8.3000000000000007</v>
      </c>
      <c r="E403">
        <v>0.9</v>
      </c>
      <c r="F403">
        <v>5.3</v>
      </c>
      <c r="G403">
        <v>2.8</v>
      </c>
      <c r="H403" t="s">
        <v>9</v>
      </c>
      <c r="I403">
        <v>15.7</v>
      </c>
      <c r="J403" t="s">
        <v>13</v>
      </c>
      <c r="K403">
        <v>2.2400000000000002</v>
      </c>
      <c r="L403" t="s">
        <v>52</v>
      </c>
      <c r="M403" s="8">
        <v>0.38</v>
      </c>
    </row>
    <row r="404" spans="1:13" x14ac:dyDescent="0.25">
      <c r="A404">
        <v>403</v>
      </c>
      <c r="B404">
        <v>7.2</v>
      </c>
      <c r="C404">
        <v>2.5</v>
      </c>
      <c r="D404">
        <v>5.4</v>
      </c>
      <c r="E404">
        <v>5.3</v>
      </c>
      <c r="F404">
        <v>3.6</v>
      </c>
      <c r="G404">
        <v>3.08</v>
      </c>
      <c r="H404" t="s">
        <v>10</v>
      </c>
      <c r="I404">
        <v>18.600000000000001</v>
      </c>
      <c r="J404" t="s">
        <v>15</v>
      </c>
      <c r="K404">
        <v>2.0499999999999998</v>
      </c>
      <c r="L404" t="s">
        <v>52</v>
      </c>
      <c r="M404" s="8">
        <v>0.39</v>
      </c>
    </row>
    <row r="405" spans="1:13" x14ac:dyDescent="0.25">
      <c r="A405">
        <v>404</v>
      </c>
      <c r="B405">
        <v>9.8000000000000007</v>
      </c>
      <c r="C405">
        <v>1.7</v>
      </c>
      <c r="D405">
        <v>9.9</v>
      </c>
      <c r="E405">
        <v>1.7</v>
      </c>
      <c r="F405">
        <v>0.9</v>
      </c>
      <c r="G405">
        <v>3.75</v>
      </c>
      <c r="H405" t="s">
        <v>10</v>
      </c>
      <c r="I405">
        <v>14.1</v>
      </c>
      <c r="J405" t="s">
        <v>14</v>
      </c>
      <c r="K405">
        <v>4.2</v>
      </c>
      <c r="L405" t="s">
        <v>52</v>
      </c>
      <c r="M405" s="8">
        <v>0.7</v>
      </c>
    </row>
    <row r="406" spans="1:13" x14ac:dyDescent="0.25">
      <c r="A406">
        <v>405</v>
      </c>
      <c r="B406">
        <v>8.1999999999999993</v>
      </c>
      <c r="C406">
        <v>0.7</v>
      </c>
      <c r="D406">
        <v>9.4</v>
      </c>
      <c r="E406">
        <v>2.4</v>
      </c>
      <c r="F406">
        <v>3.3</v>
      </c>
      <c r="G406">
        <v>3.47</v>
      </c>
      <c r="H406" t="s">
        <v>10</v>
      </c>
      <c r="I406">
        <v>14.599999999999998</v>
      </c>
      <c r="J406" t="s">
        <v>15</v>
      </c>
      <c r="K406">
        <v>3.22</v>
      </c>
      <c r="L406" t="s">
        <v>52</v>
      </c>
      <c r="M406" s="8">
        <v>0.56000000000000005</v>
      </c>
    </row>
    <row r="407" spans="1:13" x14ac:dyDescent="0.25">
      <c r="A407">
        <v>406</v>
      </c>
      <c r="B407">
        <v>8.6</v>
      </c>
      <c r="C407">
        <v>3.6</v>
      </c>
      <c r="D407">
        <v>5.4</v>
      </c>
      <c r="E407">
        <v>4.4000000000000004</v>
      </c>
      <c r="F407">
        <v>2</v>
      </c>
      <c r="G407">
        <v>3.81</v>
      </c>
      <c r="H407" t="s">
        <v>10</v>
      </c>
      <c r="I407">
        <v>18.600000000000001</v>
      </c>
      <c r="J407" t="s">
        <v>14</v>
      </c>
      <c r="K407">
        <v>2.82</v>
      </c>
      <c r="L407" t="s">
        <v>52</v>
      </c>
      <c r="M407" s="8">
        <v>0.46</v>
      </c>
    </row>
    <row r="408" spans="1:13" x14ac:dyDescent="0.25">
      <c r="A408">
        <v>407</v>
      </c>
      <c r="B408">
        <v>5.9</v>
      </c>
      <c r="C408">
        <v>3.4</v>
      </c>
      <c r="D408">
        <v>9.1</v>
      </c>
      <c r="E408">
        <v>3</v>
      </c>
      <c r="F408">
        <v>2.6</v>
      </c>
      <c r="G408">
        <v>2.68</v>
      </c>
      <c r="H408" t="s">
        <v>9</v>
      </c>
      <c r="I408">
        <v>14.9</v>
      </c>
      <c r="J408" t="s">
        <v>13</v>
      </c>
      <c r="K408">
        <v>1.49</v>
      </c>
      <c r="L408" t="s">
        <v>51</v>
      </c>
      <c r="M408" s="8">
        <v>0.4</v>
      </c>
    </row>
    <row r="409" spans="1:13" x14ac:dyDescent="0.25">
      <c r="A409">
        <v>408</v>
      </c>
      <c r="B409">
        <v>7.4</v>
      </c>
      <c r="C409">
        <v>3.3</v>
      </c>
      <c r="D409">
        <v>7.3</v>
      </c>
      <c r="E409">
        <v>2.1</v>
      </c>
      <c r="F409">
        <v>3.9</v>
      </c>
      <c r="G409">
        <v>3.34</v>
      </c>
      <c r="H409" t="s">
        <v>8</v>
      </c>
      <c r="I409">
        <v>16.7</v>
      </c>
      <c r="J409" t="s">
        <v>15</v>
      </c>
      <c r="K409">
        <v>2.2799999999999998</v>
      </c>
      <c r="L409" t="s">
        <v>52</v>
      </c>
      <c r="M409" s="8">
        <v>0.44</v>
      </c>
    </row>
    <row r="410" spans="1:13" x14ac:dyDescent="0.25">
      <c r="A410">
        <v>409</v>
      </c>
      <c r="B410">
        <v>7.5</v>
      </c>
      <c r="C410">
        <v>3.3</v>
      </c>
      <c r="D410">
        <v>6.7</v>
      </c>
      <c r="E410">
        <v>1</v>
      </c>
      <c r="F410">
        <v>5.5</v>
      </c>
      <c r="G410">
        <v>3.29</v>
      </c>
      <c r="H410" t="s">
        <v>8</v>
      </c>
      <c r="I410">
        <v>17.3</v>
      </c>
      <c r="J410" t="s">
        <v>15</v>
      </c>
      <c r="K410">
        <v>2.8</v>
      </c>
      <c r="L410" t="s">
        <v>52</v>
      </c>
      <c r="M410" s="8">
        <v>0.43</v>
      </c>
    </row>
    <row r="411" spans="1:13" x14ac:dyDescent="0.25">
      <c r="A411">
        <v>410</v>
      </c>
      <c r="B411">
        <v>5.5</v>
      </c>
      <c r="C411">
        <v>1</v>
      </c>
      <c r="D411">
        <v>5.7</v>
      </c>
      <c r="E411">
        <v>2.1</v>
      </c>
      <c r="F411">
        <v>9.6999999999999993</v>
      </c>
      <c r="G411">
        <v>2.93</v>
      </c>
      <c r="H411" t="s">
        <v>10</v>
      </c>
      <c r="I411">
        <v>18.299999999999997</v>
      </c>
      <c r="J411" t="s">
        <v>13</v>
      </c>
      <c r="K411">
        <v>3.92</v>
      </c>
      <c r="L411" t="s">
        <v>52</v>
      </c>
      <c r="M411" s="8">
        <v>0.3</v>
      </c>
    </row>
    <row r="412" spans="1:13" x14ac:dyDescent="0.25">
      <c r="A412">
        <v>411</v>
      </c>
      <c r="B412">
        <v>7.3</v>
      </c>
      <c r="C412">
        <v>3</v>
      </c>
      <c r="D412">
        <v>8.3000000000000007</v>
      </c>
      <c r="E412">
        <v>3.4</v>
      </c>
      <c r="F412">
        <v>2</v>
      </c>
      <c r="G412">
        <v>3.29</v>
      </c>
      <c r="H412" t="s">
        <v>8</v>
      </c>
      <c r="I412">
        <v>15.700000000000001</v>
      </c>
      <c r="J412" t="s">
        <v>15</v>
      </c>
      <c r="K412">
        <v>2.33</v>
      </c>
      <c r="L412" t="s">
        <v>52</v>
      </c>
      <c r="M412" s="8">
        <v>0.46</v>
      </c>
    </row>
    <row r="413" spans="1:13" x14ac:dyDescent="0.25">
      <c r="A413">
        <v>412</v>
      </c>
      <c r="B413">
        <v>7.4</v>
      </c>
      <c r="C413">
        <v>3.9</v>
      </c>
      <c r="D413">
        <v>8.1999999999999993</v>
      </c>
      <c r="E413">
        <v>0.6</v>
      </c>
      <c r="F413">
        <v>3.9</v>
      </c>
      <c r="G413">
        <v>3.02</v>
      </c>
      <c r="H413" t="s">
        <v>8</v>
      </c>
      <c r="I413">
        <v>15.8</v>
      </c>
      <c r="J413" t="s">
        <v>15</v>
      </c>
      <c r="K413">
        <v>2.78</v>
      </c>
      <c r="L413" t="s">
        <v>52</v>
      </c>
      <c r="M413" s="8">
        <v>0.47</v>
      </c>
    </row>
    <row r="414" spans="1:13" x14ac:dyDescent="0.25">
      <c r="A414">
        <v>413</v>
      </c>
      <c r="B414">
        <v>8.4</v>
      </c>
      <c r="C414">
        <v>1.3</v>
      </c>
      <c r="D414">
        <v>8.4</v>
      </c>
      <c r="E414">
        <v>0.4</v>
      </c>
      <c r="F414">
        <v>5.5</v>
      </c>
      <c r="G414">
        <v>3.32</v>
      </c>
      <c r="H414" t="s">
        <v>10</v>
      </c>
      <c r="I414">
        <v>15.600000000000001</v>
      </c>
      <c r="J414" t="s">
        <v>15</v>
      </c>
      <c r="K414">
        <v>3.73</v>
      </c>
      <c r="L414" t="s">
        <v>52</v>
      </c>
      <c r="M414" s="8">
        <v>0.54</v>
      </c>
    </row>
    <row r="415" spans="1:13" x14ac:dyDescent="0.25">
      <c r="A415">
        <v>414</v>
      </c>
      <c r="B415">
        <v>6.1</v>
      </c>
      <c r="C415">
        <v>3.3</v>
      </c>
      <c r="D415">
        <v>6.4</v>
      </c>
      <c r="E415">
        <v>3.9</v>
      </c>
      <c r="F415">
        <v>4.3</v>
      </c>
      <c r="G415">
        <v>2.86</v>
      </c>
      <c r="H415" t="s">
        <v>8</v>
      </c>
      <c r="I415">
        <v>17.599999999999998</v>
      </c>
      <c r="J415" t="s">
        <v>13</v>
      </c>
      <c r="K415">
        <v>1.21</v>
      </c>
      <c r="L415" t="s">
        <v>51</v>
      </c>
      <c r="M415" s="8">
        <v>0.35</v>
      </c>
    </row>
    <row r="416" spans="1:13" x14ac:dyDescent="0.25">
      <c r="A416">
        <v>415</v>
      </c>
      <c r="B416">
        <v>8.5</v>
      </c>
      <c r="C416">
        <v>2.1</v>
      </c>
      <c r="D416">
        <v>6.5</v>
      </c>
      <c r="E416">
        <v>1.3</v>
      </c>
      <c r="F416">
        <v>5.6</v>
      </c>
      <c r="G416">
        <v>3.38</v>
      </c>
      <c r="H416" t="s">
        <v>10</v>
      </c>
      <c r="I416">
        <v>17.5</v>
      </c>
      <c r="J416" t="s">
        <v>15</v>
      </c>
      <c r="K416">
        <v>3.32</v>
      </c>
      <c r="L416" t="s">
        <v>52</v>
      </c>
      <c r="M416" s="8">
        <v>0.49</v>
      </c>
    </row>
    <row r="417" spans="1:13" x14ac:dyDescent="0.25">
      <c r="A417">
        <v>416</v>
      </c>
      <c r="B417">
        <v>9.4</v>
      </c>
      <c r="C417">
        <v>3.1</v>
      </c>
      <c r="D417">
        <v>8.9</v>
      </c>
      <c r="E417">
        <v>1.7</v>
      </c>
      <c r="F417">
        <v>0.9</v>
      </c>
      <c r="G417">
        <v>3.45</v>
      </c>
      <c r="H417" t="s">
        <v>10</v>
      </c>
      <c r="I417">
        <v>15.1</v>
      </c>
      <c r="J417" t="s">
        <v>15</v>
      </c>
      <c r="K417">
        <v>3.86</v>
      </c>
      <c r="L417" t="s">
        <v>52</v>
      </c>
      <c r="M417" s="8">
        <v>0.62</v>
      </c>
    </row>
    <row r="418" spans="1:13" x14ac:dyDescent="0.25">
      <c r="A418">
        <v>417</v>
      </c>
      <c r="B418">
        <v>6.3</v>
      </c>
      <c r="C418">
        <v>3.6</v>
      </c>
      <c r="D418">
        <v>8.4</v>
      </c>
      <c r="E418">
        <v>3.2</v>
      </c>
      <c r="F418">
        <v>2.5</v>
      </c>
      <c r="G418">
        <v>2.92</v>
      </c>
      <c r="H418" t="s">
        <v>8</v>
      </c>
      <c r="I418">
        <v>15.600000000000001</v>
      </c>
      <c r="J418" t="s">
        <v>13</v>
      </c>
      <c r="K418">
        <v>1.66</v>
      </c>
      <c r="L418" t="s">
        <v>52</v>
      </c>
      <c r="M418" s="8">
        <v>0.4</v>
      </c>
    </row>
    <row r="419" spans="1:13" x14ac:dyDescent="0.25">
      <c r="A419">
        <v>418</v>
      </c>
      <c r="B419">
        <v>7.3</v>
      </c>
      <c r="C419">
        <v>3.5</v>
      </c>
      <c r="D419">
        <v>7.7</v>
      </c>
      <c r="E419">
        <v>2.1</v>
      </c>
      <c r="F419">
        <v>3.4</v>
      </c>
      <c r="G419">
        <v>2.9</v>
      </c>
      <c r="H419" t="s">
        <v>8</v>
      </c>
      <c r="I419">
        <v>16.3</v>
      </c>
      <c r="J419" t="s">
        <v>13</v>
      </c>
      <c r="K419">
        <v>2.2400000000000002</v>
      </c>
      <c r="L419" t="s">
        <v>52</v>
      </c>
      <c r="M419" s="8">
        <v>0.45</v>
      </c>
    </row>
    <row r="420" spans="1:13" x14ac:dyDescent="0.25">
      <c r="A420">
        <v>419</v>
      </c>
      <c r="B420">
        <v>9.9</v>
      </c>
      <c r="C420">
        <v>0.4</v>
      </c>
      <c r="D420">
        <v>7.1</v>
      </c>
      <c r="E420">
        <v>0.3</v>
      </c>
      <c r="F420">
        <v>6.3</v>
      </c>
      <c r="G420">
        <v>3.55</v>
      </c>
      <c r="H420" t="s">
        <v>10</v>
      </c>
      <c r="I420">
        <v>16.900000000000002</v>
      </c>
      <c r="J420" t="s">
        <v>14</v>
      </c>
      <c r="K420">
        <v>4.71</v>
      </c>
      <c r="L420" t="s">
        <v>52</v>
      </c>
      <c r="M420" s="8">
        <v>0.59</v>
      </c>
    </row>
    <row r="421" spans="1:13" x14ac:dyDescent="0.25">
      <c r="A421">
        <v>420</v>
      </c>
      <c r="B421">
        <v>6.4</v>
      </c>
      <c r="C421">
        <v>3.4</v>
      </c>
      <c r="D421">
        <v>6.5</v>
      </c>
      <c r="E421">
        <v>5.5</v>
      </c>
      <c r="F421">
        <v>2.2000000000000002</v>
      </c>
      <c r="G421">
        <v>3</v>
      </c>
      <c r="H421" t="s">
        <v>8</v>
      </c>
      <c r="I421">
        <v>17.5</v>
      </c>
      <c r="J421" t="s">
        <v>15</v>
      </c>
      <c r="K421">
        <v>1.92</v>
      </c>
      <c r="L421" t="s">
        <v>52</v>
      </c>
      <c r="M421" s="8">
        <v>0.37</v>
      </c>
    </row>
    <row r="422" spans="1:13" x14ac:dyDescent="0.25">
      <c r="A422">
        <v>421</v>
      </c>
      <c r="B422">
        <v>8.8000000000000007</v>
      </c>
      <c r="C422">
        <v>3.2</v>
      </c>
      <c r="D422">
        <v>5.0999999999999996</v>
      </c>
      <c r="E422">
        <v>5.8</v>
      </c>
      <c r="F422">
        <v>1.1000000000000001</v>
      </c>
      <c r="G422">
        <v>3.13</v>
      </c>
      <c r="H422" t="s">
        <v>10</v>
      </c>
      <c r="I422">
        <v>18.900000000000002</v>
      </c>
      <c r="J422" t="s">
        <v>15</v>
      </c>
      <c r="K422">
        <v>3.33</v>
      </c>
      <c r="L422" t="s">
        <v>52</v>
      </c>
      <c r="M422" s="8">
        <v>0.47</v>
      </c>
    </row>
    <row r="423" spans="1:13" x14ac:dyDescent="0.25">
      <c r="A423">
        <v>422</v>
      </c>
      <c r="B423">
        <v>9.1</v>
      </c>
      <c r="C423">
        <v>1.1000000000000001</v>
      </c>
      <c r="D423">
        <v>9.4</v>
      </c>
      <c r="E423">
        <v>0.5</v>
      </c>
      <c r="F423">
        <v>3.9</v>
      </c>
      <c r="G423">
        <v>3.58</v>
      </c>
      <c r="H423" t="s">
        <v>10</v>
      </c>
      <c r="I423">
        <v>14.6</v>
      </c>
      <c r="J423" t="s">
        <v>14</v>
      </c>
      <c r="K423">
        <v>3.92</v>
      </c>
      <c r="L423" t="s">
        <v>52</v>
      </c>
      <c r="M423" s="8">
        <v>0.62</v>
      </c>
    </row>
    <row r="424" spans="1:13" x14ac:dyDescent="0.25">
      <c r="A424">
        <v>423</v>
      </c>
      <c r="B424">
        <v>8.5</v>
      </c>
      <c r="C424">
        <v>2.2000000000000002</v>
      </c>
      <c r="D424">
        <v>5.5</v>
      </c>
      <c r="E424">
        <v>1.5</v>
      </c>
      <c r="F424">
        <v>6.3</v>
      </c>
      <c r="G424">
        <v>3.27</v>
      </c>
      <c r="H424" t="s">
        <v>10</v>
      </c>
      <c r="I424">
        <v>18.5</v>
      </c>
      <c r="J424" t="s">
        <v>15</v>
      </c>
      <c r="K424">
        <v>3.34</v>
      </c>
      <c r="L424" t="s">
        <v>52</v>
      </c>
      <c r="M424" s="8">
        <v>0.46</v>
      </c>
    </row>
    <row r="425" spans="1:13" x14ac:dyDescent="0.25">
      <c r="A425">
        <v>424</v>
      </c>
      <c r="B425">
        <v>6.5</v>
      </c>
      <c r="C425">
        <v>2.4</v>
      </c>
      <c r="D425">
        <v>6.5</v>
      </c>
      <c r="E425">
        <v>1.8</v>
      </c>
      <c r="F425">
        <v>6.8</v>
      </c>
      <c r="G425">
        <v>2.91</v>
      </c>
      <c r="H425" t="s">
        <v>8</v>
      </c>
      <c r="I425">
        <v>17.5</v>
      </c>
      <c r="J425" t="s">
        <v>13</v>
      </c>
      <c r="K425">
        <v>2.64</v>
      </c>
      <c r="L425" t="s">
        <v>52</v>
      </c>
      <c r="M425" s="8">
        <v>0.37</v>
      </c>
    </row>
    <row r="426" spans="1:13" x14ac:dyDescent="0.25">
      <c r="A426">
        <v>425</v>
      </c>
      <c r="B426">
        <v>8.6999999999999993</v>
      </c>
      <c r="C426">
        <v>0.2</v>
      </c>
      <c r="D426">
        <v>9.5</v>
      </c>
      <c r="E426">
        <v>4.8</v>
      </c>
      <c r="F426">
        <v>0.8</v>
      </c>
      <c r="G426">
        <v>3.5</v>
      </c>
      <c r="H426" t="s">
        <v>10</v>
      </c>
      <c r="I426">
        <v>14.5</v>
      </c>
      <c r="J426" t="s">
        <v>14</v>
      </c>
      <c r="K426">
        <v>3.95</v>
      </c>
      <c r="L426" t="s">
        <v>52</v>
      </c>
      <c r="M426" s="8">
        <v>0.6</v>
      </c>
    </row>
    <row r="427" spans="1:13" x14ac:dyDescent="0.25">
      <c r="A427">
        <v>426</v>
      </c>
      <c r="B427">
        <v>9.5</v>
      </c>
      <c r="C427">
        <v>0.7</v>
      </c>
      <c r="D427">
        <v>5.4</v>
      </c>
      <c r="E427">
        <v>1.4</v>
      </c>
      <c r="F427">
        <v>7</v>
      </c>
      <c r="G427">
        <v>3.77</v>
      </c>
      <c r="H427" t="s">
        <v>10</v>
      </c>
      <c r="I427">
        <v>18.600000000000001</v>
      </c>
      <c r="J427" t="s">
        <v>14</v>
      </c>
      <c r="K427">
        <v>4.29</v>
      </c>
      <c r="L427" t="s">
        <v>52</v>
      </c>
      <c r="M427" s="8">
        <v>0.51</v>
      </c>
    </row>
    <row r="428" spans="1:13" x14ac:dyDescent="0.25">
      <c r="A428">
        <v>427</v>
      </c>
      <c r="B428">
        <v>9</v>
      </c>
      <c r="C428">
        <v>0.1</v>
      </c>
      <c r="D428">
        <v>7.9</v>
      </c>
      <c r="E428">
        <v>6</v>
      </c>
      <c r="F428">
        <v>1</v>
      </c>
      <c r="G428">
        <v>3.36</v>
      </c>
      <c r="H428" t="s">
        <v>10</v>
      </c>
      <c r="I428">
        <v>16.100000000000001</v>
      </c>
      <c r="J428" t="s">
        <v>15</v>
      </c>
      <c r="K428">
        <v>4.21</v>
      </c>
      <c r="L428" t="s">
        <v>52</v>
      </c>
      <c r="M428" s="8">
        <v>0.56000000000000005</v>
      </c>
    </row>
    <row r="429" spans="1:13" x14ac:dyDescent="0.25">
      <c r="A429">
        <v>428</v>
      </c>
      <c r="B429">
        <v>5.3</v>
      </c>
      <c r="C429">
        <v>3.3</v>
      </c>
      <c r="D429">
        <v>8</v>
      </c>
      <c r="E429">
        <v>0.7</v>
      </c>
      <c r="F429">
        <v>6.7</v>
      </c>
      <c r="G429">
        <v>3.03</v>
      </c>
      <c r="H429" t="s">
        <v>9</v>
      </c>
      <c r="I429">
        <v>16</v>
      </c>
      <c r="J429" t="s">
        <v>15</v>
      </c>
      <c r="K429">
        <v>2.61</v>
      </c>
      <c r="L429" t="s">
        <v>52</v>
      </c>
      <c r="M429" s="8">
        <v>0.33</v>
      </c>
    </row>
    <row r="430" spans="1:13" x14ac:dyDescent="0.25">
      <c r="A430">
        <v>429</v>
      </c>
      <c r="B430">
        <v>5.5</v>
      </c>
      <c r="C430">
        <v>3.6</v>
      </c>
      <c r="D430">
        <v>8.3000000000000007</v>
      </c>
      <c r="E430">
        <v>5</v>
      </c>
      <c r="F430">
        <v>1.6</v>
      </c>
      <c r="G430">
        <v>2.86</v>
      </c>
      <c r="H430" t="s">
        <v>9</v>
      </c>
      <c r="I430">
        <v>15.7</v>
      </c>
      <c r="J430" t="s">
        <v>13</v>
      </c>
      <c r="K430">
        <v>1.75</v>
      </c>
      <c r="L430" t="s">
        <v>52</v>
      </c>
      <c r="M430" s="8">
        <v>0.35</v>
      </c>
    </row>
    <row r="431" spans="1:13" x14ac:dyDescent="0.25">
      <c r="A431">
        <v>430</v>
      </c>
      <c r="B431">
        <v>7.6</v>
      </c>
      <c r="C431">
        <v>1.7</v>
      </c>
      <c r="D431">
        <v>6.6</v>
      </c>
      <c r="E431">
        <v>2.6</v>
      </c>
      <c r="F431">
        <v>5.5</v>
      </c>
      <c r="G431">
        <v>3.34</v>
      </c>
      <c r="H431" t="s">
        <v>8</v>
      </c>
      <c r="I431">
        <v>17.399999999999999</v>
      </c>
      <c r="J431" t="s">
        <v>15</v>
      </c>
      <c r="K431">
        <v>2.71</v>
      </c>
      <c r="L431" t="s">
        <v>52</v>
      </c>
      <c r="M431" s="8">
        <v>0.44</v>
      </c>
    </row>
    <row r="432" spans="1:13" x14ac:dyDescent="0.25">
      <c r="A432">
        <v>431</v>
      </c>
      <c r="B432">
        <v>8.9</v>
      </c>
      <c r="C432">
        <v>2.4</v>
      </c>
      <c r="D432">
        <v>9.5</v>
      </c>
      <c r="E432">
        <v>1.4</v>
      </c>
      <c r="F432">
        <v>1.8</v>
      </c>
      <c r="G432">
        <v>3.66</v>
      </c>
      <c r="H432" t="s">
        <v>10</v>
      </c>
      <c r="I432">
        <v>14.500000000000002</v>
      </c>
      <c r="J432" t="s">
        <v>14</v>
      </c>
      <c r="K432">
        <v>3.54</v>
      </c>
      <c r="L432" t="s">
        <v>52</v>
      </c>
      <c r="M432" s="8">
        <v>0.61</v>
      </c>
    </row>
    <row r="433" spans="1:13" x14ac:dyDescent="0.25">
      <c r="A433">
        <v>432</v>
      </c>
      <c r="B433">
        <v>8</v>
      </c>
      <c r="C433">
        <v>2.8</v>
      </c>
      <c r="D433">
        <v>6.2</v>
      </c>
      <c r="E433">
        <v>3.1</v>
      </c>
      <c r="F433">
        <v>3.9</v>
      </c>
      <c r="G433">
        <v>3.46</v>
      </c>
      <c r="H433" t="s">
        <v>8</v>
      </c>
      <c r="I433">
        <v>17.8</v>
      </c>
      <c r="J433" t="s">
        <v>15</v>
      </c>
      <c r="K433">
        <v>2.41</v>
      </c>
      <c r="L433" t="s">
        <v>52</v>
      </c>
      <c r="M433" s="8">
        <v>0.45</v>
      </c>
    </row>
    <row r="434" spans="1:13" x14ac:dyDescent="0.25">
      <c r="A434">
        <v>433</v>
      </c>
      <c r="B434">
        <v>5.5</v>
      </c>
      <c r="C434">
        <v>1.5</v>
      </c>
      <c r="D434">
        <v>7.4</v>
      </c>
      <c r="E434">
        <v>3.9</v>
      </c>
      <c r="F434">
        <v>5.7</v>
      </c>
      <c r="G434">
        <v>2.85</v>
      </c>
      <c r="H434" t="s">
        <v>9</v>
      </c>
      <c r="I434">
        <v>16.600000000000001</v>
      </c>
      <c r="J434" t="s">
        <v>13</v>
      </c>
      <c r="K434">
        <v>1.94</v>
      </c>
      <c r="L434" t="s">
        <v>52</v>
      </c>
      <c r="M434" s="8">
        <v>0.33</v>
      </c>
    </row>
    <row r="435" spans="1:13" x14ac:dyDescent="0.25">
      <c r="A435">
        <v>434</v>
      </c>
      <c r="B435">
        <v>8.6999999999999993</v>
      </c>
      <c r="C435">
        <v>2</v>
      </c>
      <c r="D435">
        <v>8.1999999999999993</v>
      </c>
      <c r="E435">
        <v>0.4</v>
      </c>
      <c r="F435">
        <v>4.7</v>
      </c>
      <c r="G435">
        <v>3.42</v>
      </c>
      <c r="H435" t="s">
        <v>10</v>
      </c>
      <c r="I435">
        <v>15.8</v>
      </c>
      <c r="J435" t="s">
        <v>15</v>
      </c>
      <c r="K435">
        <v>3.63</v>
      </c>
      <c r="L435" t="s">
        <v>52</v>
      </c>
      <c r="M435" s="8">
        <v>0.55000000000000004</v>
      </c>
    </row>
    <row r="436" spans="1:13" x14ac:dyDescent="0.25">
      <c r="A436">
        <v>435</v>
      </c>
      <c r="B436">
        <v>6.3</v>
      </c>
      <c r="C436">
        <v>1.4</v>
      </c>
      <c r="D436">
        <v>7.4</v>
      </c>
      <c r="E436">
        <v>0.3</v>
      </c>
      <c r="F436">
        <v>8.6</v>
      </c>
      <c r="G436">
        <v>2.86</v>
      </c>
      <c r="H436" t="s">
        <v>8</v>
      </c>
      <c r="I436">
        <v>16.599999999999998</v>
      </c>
      <c r="J436" t="s">
        <v>13</v>
      </c>
      <c r="K436">
        <v>3.95</v>
      </c>
      <c r="L436" t="s">
        <v>52</v>
      </c>
      <c r="M436" s="8">
        <v>0.38</v>
      </c>
    </row>
    <row r="437" spans="1:13" x14ac:dyDescent="0.25">
      <c r="A437">
        <v>436</v>
      </c>
      <c r="B437">
        <v>9.9</v>
      </c>
      <c r="C437">
        <v>1.3</v>
      </c>
      <c r="D437">
        <v>7.4</v>
      </c>
      <c r="E437">
        <v>1.1000000000000001</v>
      </c>
      <c r="F437">
        <v>4.3</v>
      </c>
      <c r="G437">
        <v>3.35</v>
      </c>
      <c r="H437" t="s">
        <v>10</v>
      </c>
      <c r="I437">
        <v>16.600000000000001</v>
      </c>
      <c r="J437" t="s">
        <v>15</v>
      </c>
      <c r="K437">
        <v>4.0999999999999996</v>
      </c>
      <c r="L437" t="s">
        <v>52</v>
      </c>
      <c r="M437" s="8">
        <v>0.6</v>
      </c>
    </row>
    <row r="438" spans="1:13" x14ac:dyDescent="0.25">
      <c r="A438">
        <v>437</v>
      </c>
      <c r="B438">
        <v>8.1</v>
      </c>
      <c r="C438">
        <v>1.1000000000000001</v>
      </c>
      <c r="D438">
        <v>6</v>
      </c>
      <c r="E438">
        <v>3.1</v>
      </c>
      <c r="F438">
        <v>5.7</v>
      </c>
      <c r="G438">
        <v>3.15</v>
      </c>
      <c r="H438" t="s">
        <v>10</v>
      </c>
      <c r="I438">
        <v>18</v>
      </c>
      <c r="J438" t="s">
        <v>15</v>
      </c>
      <c r="K438">
        <v>3.05</v>
      </c>
      <c r="L438" t="s">
        <v>52</v>
      </c>
      <c r="M438" s="8">
        <v>0.45</v>
      </c>
    </row>
    <row r="439" spans="1:13" x14ac:dyDescent="0.25">
      <c r="A439">
        <v>438</v>
      </c>
      <c r="B439">
        <v>9</v>
      </c>
      <c r="C439">
        <v>2.2999999999999998</v>
      </c>
      <c r="D439">
        <v>7.6</v>
      </c>
      <c r="E439">
        <v>1.5</v>
      </c>
      <c r="F439">
        <v>3.6</v>
      </c>
      <c r="G439">
        <v>3.2</v>
      </c>
      <c r="H439" t="s">
        <v>10</v>
      </c>
      <c r="I439">
        <v>16.400000000000002</v>
      </c>
      <c r="J439" t="s">
        <v>15</v>
      </c>
      <c r="K439">
        <v>3.38</v>
      </c>
      <c r="L439" t="s">
        <v>52</v>
      </c>
      <c r="M439" s="8">
        <v>0.55000000000000004</v>
      </c>
    </row>
    <row r="440" spans="1:13" x14ac:dyDescent="0.25">
      <c r="A440">
        <v>439</v>
      </c>
      <c r="B440">
        <v>9.6999999999999993</v>
      </c>
      <c r="C440">
        <v>1.6</v>
      </c>
      <c r="D440">
        <v>5.4</v>
      </c>
      <c r="E440">
        <v>3.7</v>
      </c>
      <c r="F440">
        <v>3.6</v>
      </c>
      <c r="G440">
        <v>3.39</v>
      </c>
      <c r="H440" t="s">
        <v>10</v>
      </c>
      <c r="I440">
        <v>18.600000000000001</v>
      </c>
      <c r="J440" t="s">
        <v>15</v>
      </c>
      <c r="K440">
        <v>3.5</v>
      </c>
      <c r="L440" t="s">
        <v>52</v>
      </c>
      <c r="M440" s="8">
        <v>0.52</v>
      </c>
    </row>
    <row r="441" spans="1:13" x14ac:dyDescent="0.25">
      <c r="A441">
        <v>440</v>
      </c>
      <c r="B441">
        <v>7.5</v>
      </c>
      <c r="C441">
        <v>3.5</v>
      </c>
      <c r="D441">
        <v>7.5</v>
      </c>
      <c r="E441">
        <v>3.9</v>
      </c>
      <c r="F441">
        <v>1.6</v>
      </c>
      <c r="G441">
        <v>2.97</v>
      </c>
      <c r="H441" t="s">
        <v>8</v>
      </c>
      <c r="I441">
        <v>16.5</v>
      </c>
      <c r="J441" t="s">
        <v>13</v>
      </c>
      <c r="K441">
        <v>2.46</v>
      </c>
      <c r="L441" t="s">
        <v>52</v>
      </c>
      <c r="M441" s="8">
        <v>0.45</v>
      </c>
    </row>
    <row r="442" spans="1:13" x14ac:dyDescent="0.25">
      <c r="A442">
        <v>441</v>
      </c>
      <c r="B442">
        <v>10</v>
      </c>
      <c r="C442">
        <v>0.5</v>
      </c>
      <c r="D442">
        <v>6.4</v>
      </c>
      <c r="E442">
        <v>2.4</v>
      </c>
      <c r="F442">
        <v>4.7</v>
      </c>
      <c r="G442">
        <v>3.14</v>
      </c>
      <c r="H442" t="s">
        <v>10</v>
      </c>
      <c r="I442">
        <v>17.600000000000001</v>
      </c>
      <c r="J442" t="s">
        <v>15</v>
      </c>
      <c r="K442">
        <v>4.1100000000000003</v>
      </c>
      <c r="L442" t="s">
        <v>52</v>
      </c>
      <c r="M442" s="8">
        <v>0.56999999999999995</v>
      </c>
    </row>
    <row r="443" spans="1:13" x14ac:dyDescent="0.25">
      <c r="A443">
        <v>442</v>
      </c>
      <c r="B443">
        <v>9.5</v>
      </c>
      <c r="C443">
        <v>2.9</v>
      </c>
      <c r="D443">
        <v>8</v>
      </c>
      <c r="E443">
        <v>1.1000000000000001</v>
      </c>
      <c r="F443">
        <v>2.5</v>
      </c>
      <c r="G443">
        <v>3.11</v>
      </c>
      <c r="H443" t="s">
        <v>10</v>
      </c>
      <c r="I443">
        <v>16</v>
      </c>
      <c r="J443" t="s">
        <v>15</v>
      </c>
      <c r="K443">
        <v>3.75</v>
      </c>
      <c r="L443" t="s">
        <v>52</v>
      </c>
      <c r="M443" s="8">
        <v>0.59</v>
      </c>
    </row>
    <row r="444" spans="1:13" x14ac:dyDescent="0.25">
      <c r="A444">
        <v>443</v>
      </c>
      <c r="B444">
        <v>9.1</v>
      </c>
      <c r="C444">
        <v>3.8</v>
      </c>
      <c r="D444">
        <v>9.1</v>
      </c>
      <c r="E444">
        <v>0</v>
      </c>
      <c r="F444">
        <v>2</v>
      </c>
      <c r="G444">
        <v>3.27</v>
      </c>
      <c r="H444" t="s">
        <v>10</v>
      </c>
      <c r="I444">
        <v>14.899999999999999</v>
      </c>
      <c r="J444" t="s">
        <v>15</v>
      </c>
      <c r="K444">
        <v>3.91</v>
      </c>
      <c r="L444" t="s">
        <v>52</v>
      </c>
      <c r="M444" s="8">
        <v>0.61</v>
      </c>
    </row>
    <row r="445" spans="1:13" x14ac:dyDescent="0.25">
      <c r="A445">
        <v>444</v>
      </c>
      <c r="B445">
        <v>6.3</v>
      </c>
      <c r="C445">
        <v>0.2</v>
      </c>
      <c r="D445">
        <v>8</v>
      </c>
      <c r="E445">
        <v>4.0999999999999996</v>
      </c>
      <c r="F445">
        <v>5.4</v>
      </c>
      <c r="G445">
        <v>2.97</v>
      </c>
      <c r="H445" t="s">
        <v>8</v>
      </c>
      <c r="I445">
        <v>16</v>
      </c>
      <c r="J445" t="s">
        <v>13</v>
      </c>
      <c r="K445">
        <v>2.69</v>
      </c>
      <c r="L445" t="s">
        <v>52</v>
      </c>
      <c r="M445" s="8">
        <v>0.39</v>
      </c>
    </row>
    <row r="446" spans="1:13" x14ac:dyDescent="0.25">
      <c r="A446">
        <v>445</v>
      </c>
      <c r="B446">
        <v>5.6</v>
      </c>
      <c r="C446">
        <v>1.5</v>
      </c>
      <c r="D446">
        <v>7.3</v>
      </c>
      <c r="E446">
        <v>2.2000000000000002</v>
      </c>
      <c r="F446">
        <v>7.4</v>
      </c>
      <c r="G446">
        <v>2.8</v>
      </c>
      <c r="H446" t="s">
        <v>9</v>
      </c>
      <c r="I446">
        <v>16.700000000000003</v>
      </c>
      <c r="J446" t="s">
        <v>13</v>
      </c>
      <c r="K446">
        <v>2.8</v>
      </c>
      <c r="L446" t="s">
        <v>52</v>
      </c>
      <c r="M446" s="8">
        <v>0.34</v>
      </c>
    </row>
    <row r="447" spans="1:13" x14ac:dyDescent="0.25">
      <c r="A447">
        <v>446</v>
      </c>
      <c r="B447">
        <v>8.8000000000000007</v>
      </c>
      <c r="C447">
        <v>0.3</v>
      </c>
      <c r="D447">
        <v>5.4</v>
      </c>
      <c r="E447">
        <v>2.1</v>
      </c>
      <c r="F447">
        <v>7.4</v>
      </c>
      <c r="G447">
        <v>3.12</v>
      </c>
      <c r="H447" t="s">
        <v>10</v>
      </c>
      <c r="I447">
        <v>18.600000000000001</v>
      </c>
      <c r="J447" t="s">
        <v>15</v>
      </c>
      <c r="K447">
        <v>4.09</v>
      </c>
      <c r="L447" t="s">
        <v>52</v>
      </c>
      <c r="M447" s="8">
        <v>0.47</v>
      </c>
    </row>
    <row r="448" spans="1:13" x14ac:dyDescent="0.25">
      <c r="A448">
        <v>447</v>
      </c>
      <c r="B448">
        <v>9.6999999999999993</v>
      </c>
      <c r="C448">
        <v>2.7</v>
      </c>
      <c r="D448">
        <v>8.4</v>
      </c>
      <c r="E448">
        <v>1.2</v>
      </c>
      <c r="F448">
        <v>2</v>
      </c>
      <c r="G448">
        <v>3.44</v>
      </c>
      <c r="H448" t="s">
        <v>10</v>
      </c>
      <c r="I448">
        <v>15.599999999999998</v>
      </c>
      <c r="J448" t="s">
        <v>15</v>
      </c>
      <c r="K448">
        <v>3.91</v>
      </c>
      <c r="L448" t="s">
        <v>52</v>
      </c>
      <c r="M448" s="8">
        <v>0.62</v>
      </c>
    </row>
    <row r="449" spans="1:13" x14ac:dyDescent="0.25">
      <c r="A449">
        <v>448</v>
      </c>
      <c r="B449">
        <v>8.1999999999999993</v>
      </c>
      <c r="C449">
        <v>3.7</v>
      </c>
      <c r="D449">
        <v>8.1</v>
      </c>
      <c r="E449">
        <v>3.5</v>
      </c>
      <c r="F449">
        <v>0.5</v>
      </c>
      <c r="G449">
        <v>3.23</v>
      </c>
      <c r="H449" t="s">
        <v>10</v>
      </c>
      <c r="I449">
        <v>15.899999999999999</v>
      </c>
      <c r="J449" t="s">
        <v>15</v>
      </c>
      <c r="K449">
        <v>3.17</v>
      </c>
      <c r="L449" t="s">
        <v>52</v>
      </c>
      <c r="M449" s="8">
        <v>0.52</v>
      </c>
    </row>
    <row r="450" spans="1:13" x14ac:dyDescent="0.25">
      <c r="A450">
        <v>449</v>
      </c>
      <c r="B450">
        <v>8.6</v>
      </c>
      <c r="C450">
        <v>0.5</v>
      </c>
      <c r="D450">
        <v>9.5</v>
      </c>
      <c r="E450">
        <v>0.4</v>
      </c>
      <c r="F450">
        <v>5</v>
      </c>
      <c r="G450">
        <v>3.06</v>
      </c>
      <c r="H450" t="s">
        <v>10</v>
      </c>
      <c r="I450">
        <v>14.5</v>
      </c>
      <c r="J450" t="s">
        <v>15</v>
      </c>
      <c r="K450">
        <v>3.95</v>
      </c>
      <c r="L450" t="s">
        <v>52</v>
      </c>
      <c r="M450" s="8">
        <v>0.59</v>
      </c>
    </row>
    <row r="451" spans="1:13" x14ac:dyDescent="0.25">
      <c r="A451">
        <v>450</v>
      </c>
      <c r="B451">
        <v>5.0999999999999996</v>
      </c>
      <c r="C451">
        <v>1.7</v>
      </c>
      <c r="D451">
        <v>6.5</v>
      </c>
      <c r="E451">
        <v>2.9</v>
      </c>
      <c r="F451">
        <v>7.8</v>
      </c>
      <c r="G451">
        <v>2.79</v>
      </c>
      <c r="H451" t="s">
        <v>9</v>
      </c>
      <c r="I451">
        <v>17.5</v>
      </c>
      <c r="J451" t="s">
        <v>13</v>
      </c>
      <c r="K451">
        <v>2.68</v>
      </c>
      <c r="L451" t="s">
        <v>52</v>
      </c>
      <c r="M451" s="8">
        <v>0.28999999999999998</v>
      </c>
    </row>
    <row r="452" spans="1:13" x14ac:dyDescent="0.25">
      <c r="A452">
        <v>451</v>
      </c>
      <c r="B452">
        <v>7.9</v>
      </c>
      <c r="C452">
        <v>0.2</v>
      </c>
      <c r="D452">
        <v>5.6</v>
      </c>
      <c r="E452">
        <v>3.4</v>
      </c>
      <c r="F452">
        <v>6.9</v>
      </c>
      <c r="G452">
        <v>3.44</v>
      </c>
      <c r="H452" t="s">
        <v>10</v>
      </c>
      <c r="I452">
        <v>18.399999999999999</v>
      </c>
      <c r="J452" t="s">
        <v>15</v>
      </c>
      <c r="K452">
        <v>3.51</v>
      </c>
      <c r="L452" t="s">
        <v>52</v>
      </c>
      <c r="M452" s="8">
        <v>0.43</v>
      </c>
    </row>
    <row r="453" spans="1:13" x14ac:dyDescent="0.25">
      <c r="A453">
        <v>452</v>
      </c>
      <c r="B453">
        <v>8.3000000000000007</v>
      </c>
      <c r="C453">
        <v>3.4</v>
      </c>
      <c r="D453">
        <v>8.5</v>
      </c>
      <c r="E453">
        <v>1.6</v>
      </c>
      <c r="F453">
        <v>2.2000000000000002</v>
      </c>
      <c r="G453">
        <v>3.07</v>
      </c>
      <c r="H453" t="s">
        <v>10</v>
      </c>
      <c r="I453">
        <v>15.5</v>
      </c>
      <c r="J453" t="s">
        <v>15</v>
      </c>
      <c r="K453">
        <v>3.04</v>
      </c>
      <c r="L453" t="s">
        <v>52</v>
      </c>
      <c r="M453" s="8">
        <v>0.54</v>
      </c>
    </row>
    <row r="454" spans="1:13" x14ac:dyDescent="0.25">
      <c r="A454">
        <v>453</v>
      </c>
      <c r="B454">
        <v>8.4</v>
      </c>
      <c r="C454">
        <v>1.1000000000000001</v>
      </c>
      <c r="D454">
        <v>6.5</v>
      </c>
      <c r="E454">
        <v>4.7</v>
      </c>
      <c r="F454">
        <v>3.3</v>
      </c>
      <c r="G454">
        <v>3.54</v>
      </c>
      <c r="H454" t="s">
        <v>10</v>
      </c>
      <c r="I454">
        <v>17.5</v>
      </c>
      <c r="J454" t="s">
        <v>14</v>
      </c>
      <c r="K454">
        <v>3.07</v>
      </c>
      <c r="L454" t="s">
        <v>52</v>
      </c>
      <c r="M454" s="8">
        <v>0.48</v>
      </c>
    </row>
    <row r="455" spans="1:13" x14ac:dyDescent="0.25">
      <c r="A455">
        <v>454</v>
      </c>
      <c r="B455">
        <v>9.1</v>
      </c>
      <c r="C455">
        <v>3.4</v>
      </c>
      <c r="D455">
        <v>9.6</v>
      </c>
      <c r="E455">
        <v>0.8</v>
      </c>
      <c r="F455">
        <v>1.1000000000000001</v>
      </c>
      <c r="G455">
        <v>3.31</v>
      </c>
      <c r="H455" t="s">
        <v>10</v>
      </c>
      <c r="I455">
        <v>14.4</v>
      </c>
      <c r="J455" t="s">
        <v>15</v>
      </c>
      <c r="K455">
        <v>3.85</v>
      </c>
      <c r="L455" t="s">
        <v>52</v>
      </c>
      <c r="M455" s="8">
        <v>0.63</v>
      </c>
    </row>
    <row r="456" spans="1:13" x14ac:dyDescent="0.25">
      <c r="A456">
        <v>455</v>
      </c>
      <c r="B456">
        <v>6.6</v>
      </c>
      <c r="C456">
        <v>2.2999999999999998</v>
      </c>
      <c r="D456">
        <v>6.9</v>
      </c>
      <c r="E456">
        <v>3.6</v>
      </c>
      <c r="F456">
        <v>4.5999999999999996</v>
      </c>
      <c r="G456">
        <v>3.2</v>
      </c>
      <c r="H456" t="s">
        <v>8</v>
      </c>
      <c r="I456">
        <v>17.099999999999998</v>
      </c>
      <c r="J456" t="s">
        <v>15</v>
      </c>
      <c r="K456">
        <v>1.81</v>
      </c>
      <c r="L456" t="s">
        <v>52</v>
      </c>
      <c r="M456" s="8">
        <v>0.39</v>
      </c>
    </row>
    <row r="457" spans="1:13" x14ac:dyDescent="0.25">
      <c r="A457">
        <v>456</v>
      </c>
      <c r="B457">
        <v>6.9</v>
      </c>
      <c r="C457">
        <v>0.7</v>
      </c>
      <c r="D457">
        <v>7.2</v>
      </c>
      <c r="E457">
        <v>0.9</v>
      </c>
      <c r="F457">
        <v>8.3000000000000007</v>
      </c>
      <c r="G457">
        <v>3.26</v>
      </c>
      <c r="H457" t="s">
        <v>8</v>
      </c>
      <c r="I457">
        <v>16.8</v>
      </c>
      <c r="J457" t="s">
        <v>15</v>
      </c>
      <c r="K457">
        <v>3.97</v>
      </c>
      <c r="L457" t="s">
        <v>52</v>
      </c>
      <c r="M457" s="8">
        <v>0.41</v>
      </c>
    </row>
    <row r="458" spans="1:13" x14ac:dyDescent="0.25">
      <c r="A458">
        <v>457</v>
      </c>
      <c r="B458">
        <v>9.5</v>
      </c>
      <c r="C458">
        <v>1.4</v>
      </c>
      <c r="D458">
        <v>5.8</v>
      </c>
      <c r="E458">
        <v>0.2</v>
      </c>
      <c r="F458">
        <v>7.1</v>
      </c>
      <c r="G458">
        <v>3.69</v>
      </c>
      <c r="H458" t="s">
        <v>10</v>
      </c>
      <c r="I458">
        <v>18.2</v>
      </c>
      <c r="J458" t="s">
        <v>14</v>
      </c>
      <c r="K458">
        <v>4.47</v>
      </c>
      <c r="L458" t="s">
        <v>52</v>
      </c>
      <c r="M458" s="8">
        <v>0.52</v>
      </c>
    </row>
    <row r="459" spans="1:13" x14ac:dyDescent="0.25">
      <c r="A459">
        <v>458</v>
      </c>
      <c r="B459">
        <v>6.7</v>
      </c>
      <c r="C459">
        <v>0.3</v>
      </c>
      <c r="D459">
        <v>7</v>
      </c>
      <c r="E459">
        <v>1.9</v>
      </c>
      <c r="F459">
        <v>8.1</v>
      </c>
      <c r="G459">
        <v>3.28</v>
      </c>
      <c r="H459" t="s">
        <v>8</v>
      </c>
      <c r="I459">
        <v>17</v>
      </c>
      <c r="J459" t="s">
        <v>15</v>
      </c>
      <c r="K459">
        <v>3.74</v>
      </c>
      <c r="L459" t="s">
        <v>52</v>
      </c>
      <c r="M459" s="8">
        <v>0.39</v>
      </c>
    </row>
    <row r="460" spans="1:13" x14ac:dyDescent="0.25">
      <c r="A460">
        <v>459</v>
      </c>
      <c r="B460">
        <v>8.4</v>
      </c>
      <c r="C460">
        <v>2.4</v>
      </c>
      <c r="D460">
        <v>6.8</v>
      </c>
      <c r="E460">
        <v>1.3</v>
      </c>
      <c r="F460">
        <v>5.0999999999999996</v>
      </c>
      <c r="G460">
        <v>3.25</v>
      </c>
      <c r="H460" t="s">
        <v>10</v>
      </c>
      <c r="I460">
        <v>17.200000000000003</v>
      </c>
      <c r="J460" t="s">
        <v>15</v>
      </c>
      <c r="K460">
        <v>3.17</v>
      </c>
      <c r="L460" t="s">
        <v>52</v>
      </c>
      <c r="M460" s="8">
        <v>0.49</v>
      </c>
    </row>
    <row r="461" spans="1:13" x14ac:dyDescent="0.25">
      <c r="A461">
        <v>460</v>
      </c>
      <c r="B461">
        <v>8.4</v>
      </c>
      <c r="C461">
        <v>0.6</v>
      </c>
      <c r="D461">
        <v>7.4</v>
      </c>
      <c r="E461">
        <v>0.2</v>
      </c>
      <c r="F461">
        <v>7.4</v>
      </c>
      <c r="G461">
        <v>3.32</v>
      </c>
      <c r="H461" t="s">
        <v>10</v>
      </c>
      <c r="I461">
        <v>16.600000000000001</v>
      </c>
      <c r="J461" t="s">
        <v>15</v>
      </c>
      <c r="K461">
        <v>4.3499999999999996</v>
      </c>
      <c r="L461" t="s">
        <v>52</v>
      </c>
      <c r="M461" s="8">
        <v>0.51</v>
      </c>
    </row>
    <row r="462" spans="1:13" x14ac:dyDescent="0.25">
      <c r="A462">
        <v>461</v>
      </c>
      <c r="B462">
        <v>7.5</v>
      </c>
      <c r="C462">
        <v>3.9</v>
      </c>
      <c r="D462">
        <v>6.9</v>
      </c>
      <c r="E462">
        <v>0.2</v>
      </c>
      <c r="F462">
        <v>5.5</v>
      </c>
      <c r="G462">
        <v>3.11</v>
      </c>
      <c r="H462" t="s">
        <v>8</v>
      </c>
      <c r="I462">
        <v>17.100000000000001</v>
      </c>
      <c r="J462" t="s">
        <v>15</v>
      </c>
      <c r="K462">
        <v>3.09</v>
      </c>
      <c r="L462" t="s">
        <v>52</v>
      </c>
      <c r="M462" s="8">
        <v>0.44</v>
      </c>
    </row>
    <row r="463" spans="1:13" x14ac:dyDescent="0.25">
      <c r="A463">
        <v>462</v>
      </c>
      <c r="B463">
        <v>5.8</v>
      </c>
      <c r="C463">
        <v>0.1</v>
      </c>
      <c r="D463">
        <v>8.8000000000000007</v>
      </c>
      <c r="E463">
        <v>2.8</v>
      </c>
      <c r="F463">
        <v>6.5</v>
      </c>
      <c r="G463">
        <v>2.8</v>
      </c>
      <c r="H463" t="s">
        <v>9</v>
      </c>
      <c r="I463">
        <v>15.2</v>
      </c>
      <c r="J463" t="s">
        <v>13</v>
      </c>
      <c r="K463">
        <v>2.94</v>
      </c>
      <c r="L463" t="s">
        <v>52</v>
      </c>
      <c r="M463" s="8">
        <v>0.38</v>
      </c>
    </row>
    <row r="464" spans="1:13" x14ac:dyDescent="0.25">
      <c r="A464">
        <v>463</v>
      </c>
      <c r="B464">
        <v>6.4</v>
      </c>
      <c r="C464">
        <v>3.6</v>
      </c>
      <c r="D464">
        <v>5.6</v>
      </c>
      <c r="E464">
        <v>5.7</v>
      </c>
      <c r="F464">
        <v>2.7</v>
      </c>
      <c r="G464">
        <v>3.1</v>
      </c>
      <c r="H464" t="s">
        <v>10</v>
      </c>
      <c r="I464">
        <v>18.399999999999999</v>
      </c>
      <c r="J464" t="s">
        <v>15</v>
      </c>
      <c r="K464">
        <v>1.74</v>
      </c>
      <c r="L464" t="s">
        <v>52</v>
      </c>
      <c r="M464" s="8">
        <v>0.35</v>
      </c>
    </row>
    <row r="465" spans="1:13" x14ac:dyDescent="0.25">
      <c r="A465">
        <v>464</v>
      </c>
      <c r="B465">
        <v>8</v>
      </c>
      <c r="C465">
        <v>3.3</v>
      </c>
      <c r="D465">
        <v>9.9</v>
      </c>
      <c r="E465">
        <v>0.8</v>
      </c>
      <c r="F465">
        <v>2</v>
      </c>
      <c r="G465">
        <v>3.13</v>
      </c>
      <c r="H465" t="s">
        <v>8</v>
      </c>
      <c r="I465">
        <v>14.100000000000001</v>
      </c>
      <c r="J465" t="s">
        <v>15</v>
      </c>
      <c r="K465">
        <v>3.15</v>
      </c>
      <c r="L465" t="s">
        <v>52</v>
      </c>
      <c r="M465" s="8">
        <v>0.56999999999999995</v>
      </c>
    </row>
    <row r="466" spans="1:13" x14ac:dyDescent="0.25">
      <c r="A466">
        <v>465</v>
      </c>
      <c r="B466">
        <v>9.8000000000000007</v>
      </c>
      <c r="C466">
        <v>1.6</v>
      </c>
      <c r="D466">
        <v>6.9</v>
      </c>
      <c r="E466">
        <v>1.9</v>
      </c>
      <c r="F466">
        <v>3.8</v>
      </c>
      <c r="G466">
        <v>3.23</v>
      </c>
      <c r="H466" t="s">
        <v>10</v>
      </c>
      <c r="I466">
        <v>17.100000000000001</v>
      </c>
      <c r="J466" t="s">
        <v>15</v>
      </c>
      <c r="K466">
        <v>3.81</v>
      </c>
      <c r="L466" t="s">
        <v>52</v>
      </c>
      <c r="M466" s="8">
        <v>0.56999999999999995</v>
      </c>
    </row>
    <row r="467" spans="1:13" x14ac:dyDescent="0.25">
      <c r="A467">
        <v>466</v>
      </c>
      <c r="B467">
        <v>7.8</v>
      </c>
      <c r="C467">
        <v>2.2000000000000002</v>
      </c>
      <c r="D467">
        <v>8.8000000000000007</v>
      </c>
      <c r="E467">
        <v>4.3</v>
      </c>
      <c r="F467">
        <v>0.9</v>
      </c>
      <c r="G467">
        <v>3.2</v>
      </c>
      <c r="H467" t="s">
        <v>8</v>
      </c>
      <c r="I467">
        <v>15.200000000000001</v>
      </c>
      <c r="J467" t="s">
        <v>15</v>
      </c>
      <c r="K467">
        <v>3.01</v>
      </c>
      <c r="L467" t="s">
        <v>52</v>
      </c>
      <c r="M467" s="8">
        <v>0.51</v>
      </c>
    </row>
    <row r="468" spans="1:13" x14ac:dyDescent="0.25">
      <c r="A468">
        <v>467</v>
      </c>
      <c r="B468">
        <v>7.2</v>
      </c>
      <c r="C468">
        <v>1.2</v>
      </c>
      <c r="D468">
        <v>6.3</v>
      </c>
      <c r="E468">
        <v>1.2</v>
      </c>
      <c r="F468">
        <v>8.1</v>
      </c>
      <c r="G468">
        <v>3.05</v>
      </c>
      <c r="H468" t="s">
        <v>8</v>
      </c>
      <c r="I468">
        <v>17.7</v>
      </c>
      <c r="J468" t="s">
        <v>15</v>
      </c>
      <c r="K468">
        <v>3.74</v>
      </c>
      <c r="L468" t="s">
        <v>52</v>
      </c>
      <c r="M468" s="8">
        <v>0.41</v>
      </c>
    </row>
    <row r="469" spans="1:13" x14ac:dyDescent="0.25">
      <c r="A469">
        <v>468</v>
      </c>
      <c r="B469">
        <v>6.4</v>
      </c>
      <c r="C469">
        <v>3.9</v>
      </c>
      <c r="D469">
        <v>7.8</v>
      </c>
      <c r="E469">
        <v>2</v>
      </c>
      <c r="F469">
        <v>3.9</v>
      </c>
      <c r="G469">
        <v>2.87</v>
      </c>
      <c r="H469" t="s">
        <v>8</v>
      </c>
      <c r="I469">
        <v>16.2</v>
      </c>
      <c r="J469" t="s">
        <v>13</v>
      </c>
      <c r="K469">
        <v>1.8</v>
      </c>
      <c r="L469" t="s">
        <v>52</v>
      </c>
      <c r="M469" s="8">
        <v>0.4</v>
      </c>
    </row>
    <row r="470" spans="1:13" x14ac:dyDescent="0.25">
      <c r="A470">
        <v>469</v>
      </c>
      <c r="B470">
        <v>7.9</v>
      </c>
      <c r="C470">
        <v>0.6</v>
      </c>
      <c r="D470">
        <v>7.2</v>
      </c>
      <c r="E470">
        <v>3.8</v>
      </c>
      <c r="F470">
        <v>4.5</v>
      </c>
      <c r="G470">
        <v>2.68</v>
      </c>
      <c r="H470" t="s">
        <v>8</v>
      </c>
      <c r="I470">
        <v>16.8</v>
      </c>
      <c r="J470" t="s">
        <v>13</v>
      </c>
      <c r="K470">
        <v>2.99</v>
      </c>
      <c r="L470" t="s">
        <v>52</v>
      </c>
      <c r="M470" s="8">
        <v>0.47</v>
      </c>
    </row>
    <row r="471" spans="1:13" x14ac:dyDescent="0.25">
      <c r="A471">
        <v>470</v>
      </c>
      <c r="B471">
        <v>10</v>
      </c>
      <c r="C471">
        <v>3.5</v>
      </c>
      <c r="D471">
        <v>8.1</v>
      </c>
      <c r="E471">
        <v>1.4</v>
      </c>
      <c r="F471">
        <v>1</v>
      </c>
      <c r="G471">
        <v>3.44</v>
      </c>
      <c r="H471" t="s">
        <v>10</v>
      </c>
      <c r="I471">
        <v>15.9</v>
      </c>
      <c r="J471" t="s">
        <v>15</v>
      </c>
      <c r="K471">
        <v>4.16</v>
      </c>
      <c r="L471" t="s">
        <v>52</v>
      </c>
      <c r="M471" s="8">
        <v>0.63</v>
      </c>
    </row>
    <row r="472" spans="1:13" x14ac:dyDescent="0.25">
      <c r="A472">
        <v>471</v>
      </c>
      <c r="B472">
        <v>8.1</v>
      </c>
      <c r="C472">
        <v>0.8</v>
      </c>
      <c r="D472">
        <v>7</v>
      </c>
      <c r="E472">
        <v>0.2</v>
      </c>
      <c r="F472">
        <v>7.9</v>
      </c>
      <c r="G472">
        <v>3.74</v>
      </c>
      <c r="H472" t="s">
        <v>10</v>
      </c>
      <c r="I472">
        <v>17</v>
      </c>
      <c r="J472" t="s">
        <v>14</v>
      </c>
      <c r="K472">
        <v>4.34</v>
      </c>
      <c r="L472" t="s">
        <v>52</v>
      </c>
      <c r="M472" s="8">
        <v>0.48</v>
      </c>
    </row>
    <row r="473" spans="1:13" x14ac:dyDescent="0.25">
      <c r="A473">
        <v>472</v>
      </c>
      <c r="B473">
        <v>6.1</v>
      </c>
      <c r="C473">
        <v>3.9</v>
      </c>
      <c r="D473">
        <v>9.5</v>
      </c>
      <c r="E473">
        <v>3.2</v>
      </c>
      <c r="F473">
        <v>1.3</v>
      </c>
      <c r="G473">
        <v>2.61</v>
      </c>
      <c r="H473" t="s">
        <v>8</v>
      </c>
      <c r="I473">
        <v>14.5</v>
      </c>
      <c r="J473" t="s">
        <v>13</v>
      </c>
      <c r="K473">
        <v>1.98</v>
      </c>
      <c r="L473" t="s">
        <v>52</v>
      </c>
      <c r="M473" s="8">
        <v>0.42</v>
      </c>
    </row>
    <row r="474" spans="1:13" x14ac:dyDescent="0.25">
      <c r="A474">
        <v>473</v>
      </c>
      <c r="B474">
        <v>7.7</v>
      </c>
      <c r="C474">
        <v>3.5</v>
      </c>
      <c r="D474">
        <v>5.7</v>
      </c>
      <c r="E474">
        <v>4.7</v>
      </c>
      <c r="F474">
        <v>2.4</v>
      </c>
      <c r="G474">
        <v>3.21</v>
      </c>
      <c r="H474" t="s">
        <v>10</v>
      </c>
      <c r="I474">
        <v>18.299999999999997</v>
      </c>
      <c r="J474" t="s">
        <v>15</v>
      </c>
      <c r="K474">
        <v>2.29</v>
      </c>
      <c r="L474" t="s">
        <v>52</v>
      </c>
      <c r="M474" s="8">
        <v>0.42</v>
      </c>
    </row>
    <row r="475" spans="1:13" x14ac:dyDescent="0.25">
      <c r="A475">
        <v>474</v>
      </c>
      <c r="B475">
        <v>6.4</v>
      </c>
      <c r="C475">
        <v>3.5</v>
      </c>
      <c r="D475">
        <v>9.6999999999999993</v>
      </c>
      <c r="E475">
        <v>0.7</v>
      </c>
      <c r="F475">
        <v>3.7</v>
      </c>
      <c r="G475">
        <v>2.89</v>
      </c>
      <c r="H475" t="s">
        <v>8</v>
      </c>
      <c r="I475">
        <v>14.3</v>
      </c>
      <c r="J475" t="s">
        <v>13</v>
      </c>
      <c r="K475">
        <v>2.33</v>
      </c>
      <c r="L475" t="s">
        <v>52</v>
      </c>
      <c r="M475" s="8">
        <v>0.45</v>
      </c>
    </row>
    <row r="476" spans="1:13" x14ac:dyDescent="0.25">
      <c r="A476">
        <v>475</v>
      </c>
      <c r="B476">
        <v>7.3</v>
      </c>
      <c r="C476">
        <v>3.9</v>
      </c>
      <c r="D476">
        <v>7.4</v>
      </c>
      <c r="E476">
        <v>4.7</v>
      </c>
      <c r="F476">
        <v>0.7</v>
      </c>
      <c r="G476">
        <v>2.74</v>
      </c>
      <c r="H476" t="s">
        <v>8</v>
      </c>
      <c r="I476">
        <v>16.599999999999998</v>
      </c>
      <c r="J476" t="s">
        <v>13</v>
      </c>
      <c r="K476">
        <v>2.72</v>
      </c>
      <c r="L476" t="s">
        <v>52</v>
      </c>
      <c r="M476" s="8">
        <v>0.44</v>
      </c>
    </row>
    <row r="477" spans="1:13" x14ac:dyDescent="0.25">
      <c r="A477">
        <v>476</v>
      </c>
      <c r="B477">
        <v>6.4</v>
      </c>
      <c r="C477">
        <v>0.8</v>
      </c>
      <c r="D477">
        <v>8.8000000000000007</v>
      </c>
      <c r="E477">
        <v>2.2999999999999998</v>
      </c>
      <c r="F477">
        <v>5.7</v>
      </c>
      <c r="G477">
        <v>3.21</v>
      </c>
      <c r="H477" t="s">
        <v>8</v>
      </c>
      <c r="I477">
        <v>15.2</v>
      </c>
      <c r="J477" t="s">
        <v>15</v>
      </c>
      <c r="K477">
        <v>2.68</v>
      </c>
      <c r="L477" t="s">
        <v>52</v>
      </c>
      <c r="M477" s="8">
        <v>0.42</v>
      </c>
    </row>
    <row r="478" spans="1:13" x14ac:dyDescent="0.25">
      <c r="A478">
        <v>477</v>
      </c>
      <c r="B478">
        <v>7.6</v>
      </c>
      <c r="C478">
        <v>2</v>
      </c>
      <c r="D478">
        <v>7.9</v>
      </c>
      <c r="E478">
        <v>5.2</v>
      </c>
      <c r="F478">
        <v>1.3</v>
      </c>
      <c r="G478">
        <v>3.13</v>
      </c>
      <c r="H478" t="s">
        <v>8</v>
      </c>
      <c r="I478">
        <v>16.100000000000001</v>
      </c>
      <c r="J478" t="s">
        <v>15</v>
      </c>
      <c r="K478">
        <v>2.93</v>
      </c>
      <c r="L478" t="s">
        <v>52</v>
      </c>
      <c r="M478" s="8">
        <v>0.47</v>
      </c>
    </row>
    <row r="479" spans="1:13" x14ac:dyDescent="0.25">
      <c r="A479">
        <v>478</v>
      </c>
      <c r="B479">
        <v>9.1</v>
      </c>
      <c r="C479">
        <v>3.1</v>
      </c>
      <c r="D479">
        <v>7.9</v>
      </c>
      <c r="E479">
        <v>3.7</v>
      </c>
      <c r="F479">
        <v>0.2</v>
      </c>
      <c r="G479">
        <v>3.42</v>
      </c>
      <c r="H479" t="s">
        <v>10</v>
      </c>
      <c r="I479">
        <v>16.099999999999998</v>
      </c>
      <c r="J479" t="s">
        <v>15</v>
      </c>
      <c r="K479">
        <v>3.71</v>
      </c>
      <c r="L479" t="s">
        <v>52</v>
      </c>
      <c r="M479" s="8">
        <v>0.56999999999999995</v>
      </c>
    </row>
    <row r="480" spans="1:13" x14ac:dyDescent="0.25">
      <c r="A480">
        <v>479</v>
      </c>
      <c r="B480">
        <v>6</v>
      </c>
      <c r="C480">
        <v>0.4</v>
      </c>
      <c r="D480">
        <v>9.3000000000000007</v>
      </c>
      <c r="E480">
        <v>2.6</v>
      </c>
      <c r="F480">
        <v>5.7</v>
      </c>
      <c r="G480">
        <v>3.02</v>
      </c>
      <c r="H480" t="s">
        <v>8</v>
      </c>
      <c r="I480">
        <v>14.7</v>
      </c>
      <c r="J480" t="s">
        <v>15</v>
      </c>
      <c r="K480">
        <v>2.67</v>
      </c>
      <c r="L480" t="s">
        <v>52</v>
      </c>
      <c r="M480" s="8">
        <v>0.41</v>
      </c>
    </row>
    <row r="481" spans="1:13" x14ac:dyDescent="0.25">
      <c r="A481">
        <v>480</v>
      </c>
      <c r="B481">
        <v>8.1</v>
      </c>
      <c r="C481">
        <v>3.7</v>
      </c>
      <c r="D481">
        <v>5.0999999999999996</v>
      </c>
      <c r="E481">
        <v>2.9</v>
      </c>
      <c r="F481">
        <v>4.2</v>
      </c>
      <c r="G481">
        <v>2.63</v>
      </c>
      <c r="H481" t="s">
        <v>10</v>
      </c>
      <c r="I481">
        <v>18.900000000000002</v>
      </c>
      <c r="J481" t="s">
        <v>13</v>
      </c>
      <c r="K481">
        <v>2.31</v>
      </c>
      <c r="L481" t="s">
        <v>52</v>
      </c>
      <c r="M481" s="8">
        <v>0.43</v>
      </c>
    </row>
    <row r="482" spans="1:13" x14ac:dyDescent="0.25">
      <c r="A482">
        <v>481</v>
      </c>
      <c r="B482">
        <v>8.4</v>
      </c>
      <c r="C482">
        <v>2.9</v>
      </c>
      <c r="D482">
        <v>8.5</v>
      </c>
      <c r="E482">
        <v>0.6</v>
      </c>
      <c r="F482">
        <v>3.6</v>
      </c>
      <c r="G482">
        <v>3.07</v>
      </c>
      <c r="H482" t="s">
        <v>10</v>
      </c>
      <c r="I482">
        <v>15.5</v>
      </c>
      <c r="J482" t="s">
        <v>15</v>
      </c>
      <c r="K482">
        <v>3.28</v>
      </c>
      <c r="L482" t="s">
        <v>52</v>
      </c>
      <c r="M482" s="8">
        <v>0.54</v>
      </c>
    </row>
    <row r="483" spans="1:13" x14ac:dyDescent="0.25">
      <c r="A483">
        <v>482</v>
      </c>
      <c r="B483">
        <v>9</v>
      </c>
      <c r="C483">
        <v>1.1000000000000001</v>
      </c>
      <c r="D483">
        <v>6.1</v>
      </c>
      <c r="E483">
        <v>5.7</v>
      </c>
      <c r="F483">
        <v>2.1</v>
      </c>
      <c r="G483">
        <v>3.07</v>
      </c>
      <c r="H483" t="s">
        <v>10</v>
      </c>
      <c r="I483">
        <v>17.900000000000002</v>
      </c>
      <c r="J483" t="s">
        <v>15</v>
      </c>
      <c r="K483">
        <v>3.61</v>
      </c>
      <c r="L483" t="s">
        <v>52</v>
      </c>
      <c r="M483" s="8">
        <v>0.5</v>
      </c>
    </row>
    <row r="484" spans="1:13" x14ac:dyDescent="0.25">
      <c r="A484">
        <v>483</v>
      </c>
      <c r="B484">
        <v>5</v>
      </c>
      <c r="C484">
        <v>4</v>
      </c>
      <c r="D484">
        <v>8.4</v>
      </c>
      <c r="E484">
        <v>5</v>
      </c>
      <c r="F484">
        <v>1.6</v>
      </c>
      <c r="G484">
        <v>2.9</v>
      </c>
      <c r="H484" t="s">
        <v>9</v>
      </c>
      <c r="I484">
        <v>15.6</v>
      </c>
      <c r="J484" t="s">
        <v>13</v>
      </c>
      <c r="K484">
        <v>1.6</v>
      </c>
      <c r="L484" t="s">
        <v>52</v>
      </c>
      <c r="M484" s="8">
        <v>0.32</v>
      </c>
    </row>
    <row r="485" spans="1:13" x14ac:dyDescent="0.25">
      <c r="A485">
        <v>484</v>
      </c>
      <c r="B485">
        <v>8.6999999999999993</v>
      </c>
      <c r="C485">
        <v>0.6</v>
      </c>
      <c r="D485">
        <v>8.8000000000000007</v>
      </c>
      <c r="E485">
        <v>4.5</v>
      </c>
      <c r="F485">
        <v>1.4</v>
      </c>
      <c r="G485">
        <v>3.41</v>
      </c>
      <c r="H485" t="s">
        <v>10</v>
      </c>
      <c r="I485">
        <v>15.2</v>
      </c>
      <c r="J485" t="s">
        <v>15</v>
      </c>
      <c r="K485">
        <v>3.67</v>
      </c>
      <c r="L485" t="s">
        <v>52</v>
      </c>
      <c r="M485" s="8">
        <v>0.56999999999999995</v>
      </c>
    </row>
    <row r="486" spans="1:13" x14ac:dyDescent="0.25">
      <c r="A486">
        <v>485</v>
      </c>
      <c r="B486">
        <v>8.3000000000000007</v>
      </c>
      <c r="C486">
        <v>3.1</v>
      </c>
      <c r="D486">
        <v>9.1999999999999993</v>
      </c>
      <c r="E486">
        <v>2.1</v>
      </c>
      <c r="F486">
        <v>1.3</v>
      </c>
      <c r="G486">
        <v>3.24</v>
      </c>
      <c r="H486" t="s">
        <v>10</v>
      </c>
      <c r="I486">
        <v>14.8</v>
      </c>
      <c r="J486" t="s">
        <v>15</v>
      </c>
      <c r="K486">
        <v>3.15</v>
      </c>
      <c r="L486" t="s">
        <v>52</v>
      </c>
      <c r="M486" s="8">
        <v>0.56000000000000005</v>
      </c>
    </row>
    <row r="487" spans="1:13" x14ac:dyDescent="0.25">
      <c r="A487">
        <v>486</v>
      </c>
      <c r="B487">
        <v>5.4</v>
      </c>
      <c r="C487">
        <v>1.6</v>
      </c>
      <c r="D487">
        <v>7</v>
      </c>
      <c r="E487">
        <v>0.4</v>
      </c>
      <c r="F487">
        <v>9.6</v>
      </c>
      <c r="G487">
        <v>2.63</v>
      </c>
      <c r="H487" t="s">
        <v>9</v>
      </c>
      <c r="I487">
        <v>17</v>
      </c>
      <c r="J487" t="s">
        <v>13</v>
      </c>
      <c r="K487">
        <v>4.1500000000000004</v>
      </c>
      <c r="L487" t="s">
        <v>52</v>
      </c>
      <c r="M487" s="8">
        <v>0.32</v>
      </c>
    </row>
    <row r="488" spans="1:13" x14ac:dyDescent="0.25">
      <c r="A488">
        <v>487</v>
      </c>
      <c r="B488">
        <v>6.7</v>
      </c>
      <c r="C488">
        <v>0.4</v>
      </c>
      <c r="D488">
        <v>9</v>
      </c>
      <c r="E488">
        <v>5.7</v>
      </c>
      <c r="F488">
        <v>2.2000000000000002</v>
      </c>
      <c r="G488">
        <v>2.63</v>
      </c>
      <c r="H488" t="s">
        <v>8</v>
      </c>
      <c r="I488">
        <v>15</v>
      </c>
      <c r="J488" t="s">
        <v>13</v>
      </c>
      <c r="K488">
        <v>2.95</v>
      </c>
      <c r="L488" t="s">
        <v>52</v>
      </c>
      <c r="M488" s="8">
        <v>0.45</v>
      </c>
    </row>
    <row r="489" spans="1:13" x14ac:dyDescent="0.25">
      <c r="A489">
        <v>488</v>
      </c>
      <c r="B489">
        <v>5.4</v>
      </c>
      <c r="C489">
        <v>2</v>
      </c>
      <c r="D489">
        <v>9</v>
      </c>
      <c r="E489">
        <v>4.2</v>
      </c>
      <c r="F489">
        <v>3.4</v>
      </c>
      <c r="G489">
        <v>2.85</v>
      </c>
      <c r="H489" t="s">
        <v>9</v>
      </c>
      <c r="I489">
        <v>15.000000000000002</v>
      </c>
      <c r="J489" t="s">
        <v>13</v>
      </c>
      <c r="K489">
        <v>1.43</v>
      </c>
      <c r="L489" t="s">
        <v>51</v>
      </c>
      <c r="M489" s="8">
        <v>0.36</v>
      </c>
    </row>
    <row r="490" spans="1:13" x14ac:dyDescent="0.25">
      <c r="A490">
        <v>489</v>
      </c>
      <c r="B490">
        <v>5.3</v>
      </c>
      <c r="C490">
        <v>0.3</v>
      </c>
      <c r="D490">
        <v>7</v>
      </c>
      <c r="E490">
        <v>1.8</v>
      </c>
      <c r="F490">
        <v>9.6</v>
      </c>
      <c r="G490">
        <v>2.64</v>
      </c>
      <c r="H490" t="s">
        <v>9</v>
      </c>
      <c r="I490">
        <v>17</v>
      </c>
      <c r="J490" t="s">
        <v>13</v>
      </c>
      <c r="K490">
        <v>4.1399999999999997</v>
      </c>
      <c r="L490" t="s">
        <v>52</v>
      </c>
      <c r="M490" s="8">
        <v>0.31</v>
      </c>
    </row>
    <row r="491" spans="1:13" x14ac:dyDescent="0.25">
      <c r="A491">
        <v>490</v>
      </c>
      <c r="B491">
        <v>9</v>
      </c>
      <c r="C491">
        <v>3.7</v>
      </c>
      <c r="D491">
        <v>7</v>
      </c>
      <c r="E491">
        <v>3.9</v>
      </c>
      <c r="F491">
        <v>0.4</v>
      </c>
      <c r="G491">
        <v>3.16</v>
      </c>
      <c r="H491" t="s">
        <v>10</v>
      </c>
      <c r="I491">
        <v>16.999999999999996</v>
      </c>
      <c r="J491" t="s">
        <v>15</v>
      </c>
      <c r="K491">
        <v>3.55</v>
      </c>
      <c r="L491" t="s">
        <v>52</v>
      </c>
      <c r="M491" s="8">
        <v>0.53</v>
      </c>
    </row>
    <row r="492" spans="1:13" x14ac:dyDescent="0.25">
      <c r="A492">
        <v>491</v>
      </c>
      <c r="B492">
        <v>6.6</v>
      </c>
      <c r="C492">
        <v>1.9</v>
      </c>
      <c r="D492">
        <v>6.1</v>
      </c>
      <c r="E492">
        <v>3.8</v>
      </c>
      <c r="F492">
        <v>5.6</v>
      </c>
      <c r="G492">
        <v>3</v>
      </c>
      <c r="H492" t="s">
        <v>8</v>
      </c>
      <c r="I492">
        <v>17.899999999999999</v>
      </c>
      <c r="J492" t="s">
        <v>15</v>
      </c>
      <c r="K492">
        <v>2.0699999999999998</v>
      </c>
      <c r="L492" t="s">
        <v>52</v>
      </c>
      <c r="M492" s="8">
        <v>0.37</v>
      </c>
    </row>
    <row r="493" spans="1:13" x14ac:dyDescent="0.25">
      <c r="A493">
        <v>492</v>
      </c>
      <c r="B493">
        <v>6.8</v>
      </c>
      <c r="C493">
        <v>2.6</v>
      </c>
      <c r="D493">
        <v>5.6</v>
      </c>
      <c r="E493">
        <v>5.3</v>
      </c>
      <c r="F493">
        <v>3.7</v>
      </c>
      <c r="G493">
        <v>3.08</v>
      </c>
      <c r="H493" t="s">
        <v>10</v>
      </c>
      <c r="I493">
        <v>18.399999999999999</v>
      </c>
      <c r="J493" t="s">
        <v>15</v>
      </c>
      <c r="K493">
        <v>1.84</v>
      </c>
      <c r="L493" t="s">
        <v>52</v>
      </c>
      <c r="M493" s="8">
        <v>0.37</v>
      </c>
    </row>
    <row r="494" spans="1:13" x14ac:dyDescent="0.25">
      <c r="A494">
        <v>493</v>
      </c>
      <c r="B494">
        <v>7.5</v>
      </c>
      <c r="C494">
        <v>1.8</v>
      </c>
      <c r="D494">
        <v>7.9</v>
      </c>
      <c r="E494">
        <v>3.7</v>
      </c>
      <c r="F494">
        <v>3.1</v>
      </c>
      <c r="G494">
        <v>3.17</v>
      </c>
      <c r="H494" t="s">
        <v>8</v>
      </c>
      <c r="I494">
        <v>16.100000000000001</v>
      </c>
      <c r="J494" t="s">
        <v>15</v>
      </c>
      <c r="K494">
        <v>2.4500000000000002</v>
      </c>
      <c r="L494" t="s">
        <v>52</v>
      </c>
      <c r="M494" s="8">
        <v>0.47</v>
      </c>
    </row>
    <row r="495" spans="1:13" x14ac:dyDescent="0.25">
      <c r="A495">
        <v>494</v>
      </c>
      <c r="B495">
        <v>6.2</v>
      </c>
      <c r="C495">
        <v>2.9</v>
      </c>
      <c r="D495">
        <v>9.1</v>
      </c>
      <c r="E495">
        <v>4.7</v>
      </c>
      <c r="F495">
        <v>1.1000000000000001</v>
      </c>
      <c r="G495">
        <v>2.83</v>
      </c>
      <c r="H495" t="s">
        <v>8</v>
      </c>
      <c r="I495">
        <v>14.9</v>
      </c>
      <c r="J495" t="s">
        <v>13</v>
      </c>
      <c r="K495">
        <v>2.21</v>
      </c>
      <c r="L495" t="s">
        <v>52</v>
      </c>
      <c r="M495" s="8">
        <v>0.42</v>
      </c>
    </row>
    <row r="496" spans="1:13" x14ac:dyDescent="0.25">
      <c r="A496">
        <v>495</v>
      </c>
      <c r="B496">
        <v>7.8</v>
      </c>
      <c r="C496">
        <v>2.1</v>
      </c>
      <c r="D496">
        <v>5.7</v>
      </c>
      <c r="E496">
        <v>4.7</v>
      </c>
      <c r="F496">
        <v>3.7</v>
      </c>
      <c r="G496">
        <v>3.16</v>
      </c>
      <c r="H496" t="s">
        <v>10</v>
      </c>
      <c r="I496">
        <v>18.3</v>
      </c>
      <c r="J496" t="s">
        <v>15</v>
      </c>
      <c r="K496">
        <v>2.4</v>
      </c>
      <c r="L496" t="s">
        <v>52</v>
      </c>
      <c r="M496" s="8">
        <v>0.43</v>
      </c>
    </row>
    <row r="497" spans="1:13" x14ac:dyDescent="0.25">
      <c r="A497">
        <v>496</v>
      </c>
      <c r="B497">
        <v>6.4</v>
      </c>
      <c r="C497">
        <v>0.5</v>
      </c>
      <c r="D497">
        <v>8.1</v>
      </c>
      <c r="E497">
        <v>0.3</v>
      </c>
      <c r="F497">
        <v>8.6999999999999993</v>
      </c>
      <c r="G497">
        <v>2.61</v>
      </c>
      <c r="H497" t="s">
        <v>8</v>
      </c>
      <c r="I497">
        <v>15.899999999999999</v>
      </c>
      <c r="J497" t="s">
        <v>13</v>
      </c>
      <c r="K497">
        <v>4.2300000000000004</v>
      </c>
      <c r="L497" t="s">
        <v>52</v>
      </c>
      <c r="M497" s="8">
        <v>0.4</v>
      </c>
    </row>
    <row r="498" spans="1:13" x14ac:dyDescent="0.25">
      <c r="A498">
        <v>497</v>
      </c>
      <c r="B498">
        <v>8.6999999999999993</v>
      </c>
      <c r="C498">
        <v>1.3</v>
      </c>
      <c r="D498">
        <v>5</v>
      </c>
      <c r="E498">
        <v>3.1</v>
      </c>
      <c r="F498">
        <v>5.9</v>
      </c>
      <c r="G498">
        <v>3.24</v>
      </c>
      <c r="H498" t="s">
        <v>10</v>
      </c>
      <c r="I498">
        <v>19</v>
      </c>
      <c r="J498" t="s">
        <v>15</v>
      </c>
      <c r="K498">
        <v>3.24</v>
      </c>
      <c r="L498" t="s">
        <v>52</v>
      </c>
      <c r="M498" s="8">
        <v>0.46</v>
      </c>
    </row>
    <row r="499" spans="1:13" x14ac:dyDescent="0.25">
      <c r="A499">
        <v>498</v>
      </c>
      <c r="B499">
        <v>9.1999999999999993</v>
      </c>
      <c r="C499">
        <v>0</v>
      </c>
      <c r="D499">
        <v>6.2</v>
      </c>
      <c r="E499">
        <v>4.4000000000000004</v>
      </c>
      <c r="F499">
        <v>4.2</v>
      </c>
      <c r="G499">
        <v>3.41</v>
      </c>
      <c r="H499" t="s">
        <v>10</v>
      </c>
      <c r="I499">
        <v>17.8</v>
      </c>
      <c r="J499" t="s">
        <v>15</v>
      </c>
      <c r="K499">
        <v>3.76</v>
      </c>
      <c r="L499" t="s">
        <v>52</v>
      </c>
      <c r="M499" s="8">
        <v>0.52</v>
      </c>
    </row>
    <row r="500" spans="1:13" x14ac:dyDescent="0.25">
      <c r="A500">
        <v>499</v>
      </c>
      <c r="B500">
        <v>6.6</v>
      </c>
      <c r="C500">
        <v>0.4</v>
      </c>
      <c r="D500">
        <v>6.8</v>
      </c>
      <c r="E500">
        <v>1.6</v>
      </c>
      <c r="F500">
        <v>8.6</v>
      </c>
      <c r="G500">
        <v>2.89</v>
      </c>
      <c r="H500" t="s">
        <v>8</v>
      </c>
      <c r="I500">
        <v>17.2</v>
      </c>
      <c r="J500" t="s">
        <v>13</v>
      </c>
      <c r="K500">
        <v>3.93</v>
      </c>
      <c r="L500" t="s">
        <v>52</v>
      </c>
      <c r="M500" s="8">
        <v>0.38</v>
      </c>
    </row>
    <row r="501" spans="1:13" x14ac:dyDescent="0.25">
      <c r="A501">
        <v>500</v>
      </c>
      <c r="B501">
        <v>8.9</v>
      </c>
      <c r="C501">
        <v>3.6</v>
      </c>
      <c r="D501">
        <v>7.2</v>
      </c>
      <c r="E501">
        <v>3.9</v>
      </c>
      <c r="F501">
        <v>0.4</v>
      </c>
      <c r="G501">
        <v>3.51</v>
      </c>
      <c r="H501" t="s">
        <v>10</v>
      </c>
      <c r="I501">
        <v>16.799999999999997</v>
      </c>
      <c r="J501" t="s">
        <v>14</v>
      </c>
      <c r="K501">
        <v>3.51</v>
      </c>
      <c r="L501" t="s">
        <v>52</v>
      </c>
      <c r="M501" s="8">
        <v>0.53</v>
      </c>
    </row>
    <row r="502" spans="1:13" x14ac:dyDescent="0.25">
      <c r="A502">
        <v>501</v>
      </c>
      <c r="B502">
        <v>6.9</v>
      </c>
      <c r="C502">
        <v>3.9</v>
      </c>
      <c r="D502">
        <v>5.4</v>
      </c>
      <c r="E502">
        <v>4.0999999999999996</v>
      </c>
      <c r="F502">
        <v>3.7</v>
      </c>
      <c r="G502">
        <v>2.5499999999999998</v>
      </c>
      <c r="H502" t="s">
        <v>10</v>
      </c>
      <c r="I502">
        <v>18.600000000000001</v>
      </c>
      <c r="J502" t="s">
        <v>13</v>
      </c>
      <c r="K502">
        <v>1.51</v>
      </c>
      <c r="L502" t="s">
        <v>52</v>
      </c>
      <c r="M502" s="8">
        <v>0.37</v>
      </c>
    </row>
    <row r="503" spans="1:13" x14ac:dyDescent="0.25">
      <c r="A503">
        <v>502</v>
      </c>
      <c r="B503">
        <v>8.1999999999999993</v>
      </c>
      <c r="C503">
        <v>2.8</v>
      </c>
      <c r="D503">
        <v>5</v>
      </c>
      <c r="E503">
        <v>1</v>
      </c>
      <c r="F503">
        <v>7</v>
      </c>
      <c r="G503">
        <v>3.2</v>
      </c>
      <c r="H503" t="s">
        <v>10</v>
      </c>
      <c r="I503">
        <v>19</v>
      </c>
      <c r="J503" t="s">
        <v>15</v>
      </c>
      <c r="K503">
        <v>3.41</v>
      </c>
      <c r="L503" t="s">
        <v>52</v>
      </c>
      <c r="M503" s="8">
        <v>0.43</v>
      </c>
    </row>
    <row r="504" spans="1:13" x14ac:dyDescent="0.25">
      <c r="A504">
        <v>503</v>
      </c>
      <c r="B504">
        <v>8.6</v>
      </c>
      <c r="C504">
        <v>2.7</v>
      </c>
      <c r="D504">
        <v>9.8000000000000007</v>
      </c>
      <c r="E504">
        <v>2.2000000000000002</v>
      </c>
      <c r="F504">
        <v>0.7</v>
      </c>
      <c r="G504">
        <v>3.31</v>
      </c>
      <c r="H504" t="s">
        <v>10</v>
      </c>
      <c r="I504">
        <v>14.2</v>
      </c>
      <c r="J504" t="s">
        <v>15</v>
      </c>
      <c r="K504">
        <v>3.47</v>
      </c>
      <c r="L504" t="s">
        <v>52</v>
      </c>
      <c r="M504" s="8">
        <v>0.61</v>
      </c>
    </row>
    <row r="505" spans="1:13" x14ac:dyDescent="0.25">
      <c r="A505">
        <v>504</v>
      </c>
      <c r="B505">
        <v>6.5</v>
      </c>
      <c r="C505">
        <v>0.4</v>
      </c>
      <c r="D505">
        <v>8.9</v>
      </c>
      <c r="E505">
        <v>3.9</v>
      </c>
      <c r="F505">
        <v>4.3</v>
      </c>
      <c r="G505">
        <v>3.01</v>
      </c>
      <c r="H505" t="s">
        <v>8</v>
      </c>
      <c r="I505">
        <v>15.100000000000001</v>
      </c>
      <c r="J505" t="s">
        <v>15</v>
      </c>
      <c r="K505">
        <v>2.52</v>
      </c>
      <c r="L505" t="s">
        <v>52</v>
      </c>
      <c r="M505" s="8">
        <v>0.43</v>
      </c>
    </row>
    <row r="506" spans="1:13" x14ac:dyDescent="0.25">
      <c r="A506">
        <v>505</v>
      </c>
      <c r="B506">
        <v>5.2</v>
      </c>
      <c r="C506">
        <v>1.4</v>
      </c>
      <c r="D506">
        <v>9.8000000000000007</v>
      </c>
      <c r="E506">
        <v>3</v>
      </c>
      <c r="F506">
        <v>4.5999999999999996</v>
      </c>
      <c r="G506">
        <v>2.4900000000000002</v>
      </c>
      <c r="H506" t="s">
        <v>9</v>
      </c>
      <c r="I506">
        <v>14.2</v>
      </c>
      <c r="J506" t="s">
        <v>16</v>
      </c>
      <c r="K506">
        <v>1.71</v>
      </c>
      <c r="L506" t="s">
        <v>52</v>
      </c>
      <c r="M506" s="8">
        <v>0.37</v>
      </c>
    </row>
    <row r="507" spans="1:13" x14ac:dyDescent="0.25">
      <c r="A507">
        <v>506</v>
      </c>
      <c r="B507">
        <v>6</v>
      </c>
      <c r="C507">
        <v>1.5</v>
      </c>
      <c r="D507">
        <v>6.8</v>
      </c>
      <c r="E507">
        <v>0.3</v>
      </c>
      <c r="F507">
        <v>9.4</v>
      </c>
      <c r="G507">
        <v>2.44</v>
      </c>
      <c r="H507" t="s">
        <v>8</v>
      </c>
      <c r="I507">
        <v>17.2</v>
      </c>
      <c r="J507" t="s">
        <v>16</v>
      </c>
      <c r="K507">
        <v>4.1900000000000004</v>
      </c>
      <c r="L507" t="s">
        <v>52</v>
      </c>
      <c r="M507" s="8">
        <v>0.35</v>
      </c>
    </row>
    <row r="508" spans="1:13" x14ac:dyDescent="0.25">
      <c r="A508">
        <v>507</v>
      </c>
      <c r="B508">
        <v>8.8000000000000007</v>
      </c>
      <c r="C508">
        <v>1.7</v>
      </c>
      <c r="D508">
        <v>9.1</v>
      </c>
      <c r="E508">
        <v>3.7</v>
      </c>
      <c r="F508">
        <v>0.7</v>
      </c>
      <c r="G508">
        <v>3.44</v>
      </c>
      <c r="H508" t="s">
        <v>10</v>
      </c>
      <c r="I508">
        <v>14.899999999999999</v>
      </c>
      <c r="J508" t="s">
        <v>15</v>
      </c>
      <c r="K508">
        <v>3.61</v>
      </c>
      <c r="L508" t="s">
        <v>52</v>
      </c>
      <c r="M508" s="8">
        <v>0.59</v>
      </c>
    </row>
    <row r="509" spans="1:13" x14ac:dyDescent="0.25">
      <c r="A509">
        <v>508</v>
      </c>
      <c r="B509">
        <v>7.4</v>
      </c>
      <c r="C509">
        <v>3.5</v>
      </c>
      <c r="D509">
        <v>6.1</v>
      </c>
      <c r="E509">
        <v>4.0999999999999996</v>
      </c>
      <c r="F509">
        <v>2.9</v>
      </c>
      <c r="G509">
        <v>2.88</v>
      </c>
      <c r="H509" t="s">
        <v>8</v>
      </c>
      <c r="I509">
        <v>17.899999999999999</v>
      </c>
      <c r="J509" t="s">
        <v>13</v>
      </c>
      <c r="K509">
        <v>2.0099999999999998</v>
      </c>
      <c r="L509" t="s">
        <v>52</v>
      </c>
      <c r="M509" s="8">
        <v>0.41</v>
      </c>
    </row>
    <row r="510" spans="1:13" x14ac:dyDescent="0.25">
      <c r="A510">
        <v>509</v>
      </c>
      <c r="B510">
        <v>8</v>
      </c>
      <c r="C510">
        <v>1.2</v>
      </c>
      <c r="D510">
        <v>5.7</v>
      </c>
      <c r="E510">
        <v>3.9</v>
      </c>
      <c r="F510">
        <v>5.2</v>
      </c>
      <c r="G510">
        <v>3.03</v>
      </c>
      <c r="H510" t="s">
        <v>10</v>
      </c>
      <c r="I510">
        <v>18.3</v>
      </c>
      <c r="J510" t="s">
        <v>15</v>
      </c>
      <c r="K510">
        <v>2.83</v>
      </c>
      <c r="L510" t="s">
        <v>52</v>
      </c>
      <c r="M510" s="8">
        <v>0.44</v>
      </c>
    </row>
    <row r="511" spans="1:13" x14ac:dyDescent="0.25">
      <c r="A511">
        <v>510</v>
      </c>
      <c r="B511">
        <v>8.1999999999999993</v>
      </c>
      <c r="C511">
        <v>1.6</v>
      </c>
      <c r="D511">
        <v>8.6</v>
      </c>
      <c r="E511">
        <v>1.1000000000000001</v>
      </c>
      <c r="F511">
        <v>4.5</v>
      </c>
      <c r="G511">
        <v>3.46</v>
      </c>
      <c r="H511" t="s">
        <v>10</v>
      </c>
      <c r="I511">
        <v>15.399999999999999</v>
      </c>
      <c r="J511" t="s">
        <v>15</v>
      </c>
      <c r="K511">
        <v>3.26</v>
      </c>
      <c r="L511" t="s">
        <v>52</v>
      </c>
      <c r="M511" s="8">
        <v>0.53</v>
      </c>
    </row>
    <row r="512" spans="1:13" x14ac:dyDescent="0.25">
      <c r="A512">
        <v>511</v>
      </c>
      <c r="B512">
        <v>9.5</v>
      </c>
      <c r="C512">
        <v>1.1000000000000001</v>
      </c>
      <c r="D512">
        <v>6.8</v>
      </c>
      <c r="E512">
        <v>0.3</v>
      </c>
      <c r="F512">
        <v>6.3</v>
      </c>
      <c r="G512">
        <v>3.43</v>
      </c>
      <c r="H512" t="s">
        <v>10</v>
      </c>
      <c r="I512">
        <v>17.2</v>
      </c>
      <c r="J512" t="s">
        <v>15</v>
      </c>
      <c r="K512">
        <v>4.37</v>
      </c>
      <c r="L512" t="s">
        <v>52</v>
      </c>
      <c r="M512" s="8">
        <v>0.55000000000000004</v>
      </c>
    </row>
    <row r="513" spans="1:13" x14ac:dyDescent="0.25">
      <c r="A513">
        <v>512</v>
      </c>
      <c r="B513">
        <v>6.3</v>
      </c>
      <c r="C513">
        <v>3.3</v>
      </c>
      <c r="D513">
        <v>5.0999999999999996</v>
      </c>
      <c r="E513">
        <v>2.2999999999999998</v>
      </c>
      <c r="F513">
        <v>7</v>
      </c>
      <c r="G513">
        <v>2.74</v>
      </c>
      <c r="H513" t="s">
        <v>10</v>
      </c>
      <c r="I513">
        <v>18.899999999999999</v>
      </c>
      <c r="J513" t="s">
        <v>13</v>
      </c>
      <c r="K513">
        <v>2.2799999999999998</v>
      </c>
      <c r="L513" t="s">
        <v>52</v>
      </c>
      <c r="M513" s="8">
        <v>0.33</v>
      </c>
    </row>
    <row r="514" spans="1:13" x14ac:dyDescent="0.25">
      <c r="A514">
        <v>513</v>
      </c>
      <c r="B514">
        <v>6.7</v>
      </c>
      <c r="C514">
        <v>0.1</v>
      </c>
      <c r="D514">
        <v>5.6</v>
      </c>
      <c r="E514">
        <v>2.5</v>
      </c>
      <c r="F514">
        <v>9.1</v>
      </c>
      <c r="G514">
        <v>2.4900000000000002</v>
      </c>
      <c r="H514" t="s">
        <v>10</v>
      </c>
      <c r="I514">
        <v>18.399999999999999</v>
      </c>
      <c r="J514" t="s">
        <v>16</v>
      </c>
      <c r="K514">
        <v>4.05</v>
      </c>
      <c r="L514" t="s">
        <v>52</v>
      </c>
      <c r="M514" s="8">
        <v>0.36</v>
      </c>
    </row>
    <row r="515" spans="1:13" x14ac:dyDescent="0.25">
      <c r="A515">
        <v>514</v>
      </c>
      <c r="B515">
        <v>7.7</v>
      </c>
      <c r="C515">
        <v>2.4</v>
      </c>
      <c r="D515">
        <v>5</v>
      </c>
      <c r="E515">
        <v>2.8</v>
      </c>
      <c r="F515">
        <v>6.1</v>
      </c>
      <c r="G515">
        <v>3.12</v>
      </c>
      <c r="H515" t="s">
        <v>10</v>
      </c>
      <c r="I515">
        <v>19</v>
      </c>
      <c r="J515" t="s">
        <v>15</v>
      </c>
      <c r="K515">
        <v>2.57</v>
      </c>
      <c r="L515" t="s">
        <v>52</v>
      </c>
      <c r="M515" s="8">
        <v>0.41</v>
      </c>
    </row>
    <row r="516" spans="1:13" x14ac:dyDescent="0.25">
      <c r="A516">
        <v>515</v>
      </c>
      <c r="B516">
        <v>9.8000000000000007</v>
      </c>
      <c r="C516">
        <v>2.1</v>
      </c>
      <c r="D516">
        <v>8.4</v>
      </c>
      <c r="E516">
        <v>1.2</v>
      </c>
      <c r="F516">
        <v>2.5</v>
      </c>
      <c r="G516">
        <v>3.61</v>
      </c>
      <c r="H516" t="s">
        <v>10</v>
      </c>
      <c r="I516">
        <v>15.6</v>
      </c>
      <c r="J516" t="s">
        <v>14</v>
      </c>
      <c r="K516">
        <v>3.97</v>
      </c>
      <c r="L516" t="s">
        <v>52</v>
      </c>
      <c r="M516" s="8">
        <v>0.63</v>
      </c>
    </row>
    <row r="517" spans="1:13" x14ac:dyDescent="0.25">
      <c r="A517">
        <v>516</v>
      </c>
      <c r="B517">
        <v>7.6</v>
      </c>
      <c r="C517">
        <v>3.9</v>
      </c>
      <c r="D517">
        <v>5.6</v>
      </c>
      <c r="E517">
        <v>0.1</v>
      </c>
      <c r="F517">
        <v>6.8</v>
      </c>
      <c r="G517">
        <v>3.28</v>
      </c>
      <c r="H517" t="s">
        <v>10</v>
      </c>
      <c r="I517">
        <v>18.399999999999999</v>
      </c>
      <c r="J517" t="s">
        <v>15</v>
      </c>
      <c r="K517">
        <v>3.4</v>
      </c>
      <c r="L517" t="s">
        <v>52</v>
      </c>
      <c r="M517" s="8">
        <v>0.41</v>
      </c>
    </row>
    <row r="518" spans="1:13" x14ac:dyDescent="0.25">
      <c r="A518">
        <v>517</v>
      </c>
      <c r="B518">
        <v>8.9</v>
      </c>
      <c r="C518">
        <v>3.2</v>
      </c>
      <c r="D518">
        <v>5.6</v>
      </c>
      <c r="E518">
        <v>1.6</v>
      </c>
      <c r="F518">
        <v>4.7</v>
      </c>
      <c r="G518">
        <v>3.36</v>
      </c>
      <c r="H518" t="s">
        <v>10</v>
      </c>
      <c r="I518">
        <v>18.400000000000002</v>
      </c>
      <c r="J518" t="s">
        <v>15</v>
      </c>
      <c r="K518">
        <v>3.13</v>
      </c>
      <c r="L518" t="s">
        <v>52</v>
      </c>
      <c r="M518" s="8">
        <v>0.48</v>
      </c>
    </row>
    <row r="519" spans="1:13" x14ac:dyDescent="0.25">
      <c r="A519">
        <v>518</v>
      </c>
      <c r="B519">
        <v>6.7</v>
      </c>
      <c r="C519">
        <v>1.5</v>
      </c>
      <c r="D519">
        <v>5</v>
      </c>
      <c r="E519">
        <v>1.8</v>
      </c>
      <c r="F519">
        <v>9</v>
      </c>
      <c r="G519">
        <v>3.31</v>
      </c>
      <c r="H519" t="s">
        <v>10</v>
      </c>
      <c r="I519">
        <v>19</v>
      </c>
      <c r="J519" t="s">
        <v>15</v>
      </c>
      <c r="K519">
        <v>3.7</v>
      </c>
      <c r="L519" t="s">
        <v>52</v>
      </c>
      <c r="M519" s="8">
        <v>0.35</v>
      </c>
    </row>
    <row r="520" spans="1:13" x14ac:dyDescent="0.25">
      <c r="A520">
        <v>519</v>
      </c>
      <c r="B520">
        <v>8.1999999999999993</v>
      </c>
      <c r="C520">
        <v>3.9</v>
      </c>
      <c r="D520">
        <v>9.1999999999999993</v>
      </c>
      <c r="E520">
        <v>0.1</v>
      </c>
      <c r="F520">
        <v>2.6</v>
      </c>
      <c r="G520">
        <v>3.26</v>
      </c>
      <c r="H520" t="s">
        <v>10</v>
      </c>
      <c r="I520">
        <v>14.799999999999999</v>
      </c>
      <c r="J520" t="s">
        <v>15</v>
      </c>
      <c r="K520">
        <v>3.39</v>
      </c>
      <c r="L520" t="s">
        <v>52</v>
      </c>
      <c r="M520" s="8">
        <v>0.55000000000000004</v>
      </c>
    </row>
    <row r="521" spans="1:13" x14ac:dyDescent="0.25">
      <c r="A521">
        <v>520</v>
      </c>
      <c r="B521">
        <v>8.9</v>
      </c>
      <c r="C521">
        <v>1.8</v>
      </c>
      <c r="D521">
        <v>7</v>
      </c>
      <c r="E521">
        <v>1.8</v>
      </c>
      <c r="F521">
        <v>4.5</v>
      </c>
      <c r="G521">
        <v>3.38</v>
      </c>
      <c r="H521" t="s">
        <v>10</v>
      </c>
      <c r="I521">
        <v>17</v>
      </c>
      <c r="J521" t="s">
        <v>15</v>
      </c>
      <c r="K521">
        <v>3.35</v>
      </c>
      <c r="L521" t="s">
        <v>52</v>
      </c>
      <c r="M521" s="8">
        <v>0.52</v>
      </c>
    </row>
    <row r="522" spans="1:13" x14ac:dyDescent="0.25">
      <c r="A522">
        <v>521</v>
      </c>
      <c r="B522">
        <v>5.3</v>
      </c>
      <c r="C522">
        <v>0.9</v>
      </c>
      <c r="D522">
        <v>6.2</v>
      </c>
      <c r="E522">
        <v>2.9</v>
      </c>
      <c r="F522">
        <v>8.6999999999999993</v>
      </c>
      <c r="G522">
        <v>2.76</v>
      </c>
      <c r="H522" t="s">
        <v>9</v>
      </c>
      <c r="I522">
        <v>17.799999999999997</v>
      </c>
      <c r="J522" t="s">
        <v>13</v>
      </c>
      <c r="K522">
        <v>3.36</v>
      </c>
      <c r="L522" t="s">
        <v>52</v>
      </c>
      <c r="M522" s="8">
        <v>0.3</v>
      </c>
    </row>
    <row r="523" spans="1:13" x14ac:dyDescent="0.25">
      <c r="A523">
        <v>522</v>
      </c>
      <c r="B523">
        <v>5.3</v>
      </c>
      <c r="C523">
        <v>3.8</v>
      </c>
      <c r="D523">
        <v>9.6999999999999993</v>
      </c>
      <c r="E523">
        <v>4.0999999999999996</v>
      </c>
      <c r="F523">
        <v>1.1000000000000001</v>
      </c>
      <c r="G523">
        <v>3.13</v>
      </c>
      <c r="H523" t="s">
        <v>9</v>
      </c>
      <c r="I523">
        <v>14.299999999999999</v>
      </c>
      <c r="J523" t="s">
        <v>15</v>
      </c>
      <c r="K523">
        <v>1.77</v>
      </c>
      <c r="L523" t="s">
        <v>52</v>
      </c>
      <c r="M523" s="8">
        <v>0.37</v>
      </c>
    </row>
    <row r="524" spans="1:13" x14ac:dyDescent="0.25">
      <c r="A524">
        <v>523</v>
      </c>
      <c r="B524">
        <v>10</v>
      </c>
      <c r="C524">
        <v>2.2000000000000002</v>
      </c>
      <c r="D524">
        <v>9.8000000000000007</v>
      </c>
      <c r="E524">
        <v>0.2</v>
      </c>
      <c r="F524">
        <v>1.8</v>
      </c>
      <c r="G524">
        <v>3.25</v>
      </c>
      <c r="H524" t="s">
        <v>10</v>
      </c>
      <c r="I524">
        <v>14.2</v>
      </c>
      <c r="J524" t="s">
        <v>15</v>
      </c>
      <c r="K524">
        <v>4.3899999999999997</v>
      </c>
      <c r="L524" t="s">
        <v>52</v>
      </c>
      <c r="M524" s="8">
        <v>0.7</v>
      </c>
    </row>
    <row r="525" spans="1:13" x14ac:dyDescent="0.25">
      <c r="A525">
        <v>524</v>
      </c>
      <c r="B525">
        <v>6</v>
      </c>
      <c r="C525">
        <v>0.6</v>
      </c>
      <c r="D525">
        <v>8.1</v>
      </c>
      <c r="E525">
        <v>4.7</v>
      </c>
      <c r="F525">
        <v>4.5999999999999996</v>
      </c>
      <c r="G525">
        <v>2.78</v>
      </c>
      <c r="H525" t="s">
        <v>8</v>
      </c>
      <c r="I525">
        <v>15.9</v>
      </c>
      <c r="J525" t="s">
        <v>13</v>
      </c>
      <c r="K525">
        <v>2.34</v>
      </c>
      <c r="L525" t="s">
        <v>52</v>
      </c>
      <c r="M525" s="8">
        <v>0.38</v>
      </c>
    </row>
    <row r="526" spans="1:13" x14ac:dyDescent="0.25">
      <c r="A526">
        <v>525</v>
      </c>
      <c r="B526">
        <v>7.9</v>
      </c>
      <c r="C526">
        <v>0.6</v>
      </c>
      <c r="D526">
        <v>9.1</v>
      </c>
      <c r="E526">
        <v>3.8</v>
      </c>
      <c r="F526">
        <v>2.6</v>
      </c>
      <c r="G526">
        <v>3.5</v>
      </c>
      <c r="H526" t="s">
        <v>8</v>
      </c>
      <c r="I526">
        <v>14.9</v>
      </c>
      <c r="J526" t="s">
        <v>14</v>
      </c>
      <c r="K526">
        <v>3.08</v>
      </c>
      <c r="L526" t="s">
        <v>52</v>
      </c>
      <c r="M526" s="8">
        <v>0.53</v>
      </c>
    </row>
    <row r="527" spans="1:13" x14ac:dyDescent="0.25">
      <c r="A527">
        <v>526</v>
      </c>
      <c r="B527">
        <v>6.3</v>
      </c>
      <c r="C527">
        <v>1.4</v>
      </c>
      <c r="D527">
        <v>9.6</v>
      </c>
      <c r="E527">
        <v>1.7</v>
      </c>
      <c r="F527">
        <v>5</v>
      </c>
      <c r="G527">
        <v>2.74</v>
      </c>
      <c r="H527" t="s">
        <v>8</v>
      </c>
      <c r="I527">
        <v>14.399999999999999</v>
      </c>
      <c r="J527" t="s">
        <v>13</v>
      </c>
      <c r="K527">
        <v>2.4300000000000002</v>
      </c>
      <c r="L527" t="s">
        <v>52</v>
      </c>
      <c r="M527" s="8">
        <v>0.44</v>
      </c>
    </row>
    <row r="528" spans="1:13" x14ac:dyDescent="0.25">
      <c r="A528">
        <v>527</v>
      </c>
      <c r="B528">
        <v>7.3</v>
      </c>
      <c r="C528">
        <v>3.6</v>
      </c>
      <c r="D528">
        <v>8.5</v>
      </c>
      <c r="E528">
        <v>0.3</v>
      </c>
      <c r="F528">
        <v>4.3</v>
      </c>
      <c r="G528">
        <v>2.93</v>
      </c>
      <c r="H528" t="s">
        <v>8</v>
      </c>
      <c r="I528">
        <v>15.5</v>
      </c>
      <c r="J528" t="s">
        <v>13</v>
      </c>
      <c r="K528">
        <v>2.87</v>
      </c>
      <c r="L528" t="s">
        <v>52</v>
      </c>
      <c r="M528" s="8">
        <v>0.47</v>
      </c>
    </row>
    <row r="529" spans="1:13" x14ac:dyDescent="0.25">
      <c r="A529">
        <v>528</v>
      </c>
      <c r="B529">
        <v>5.7</v>
      </c>
      <c r="C529">
        <v>3.8</v>
      </c>
      <c r="D529">
        <v>7.6</v>
      </c>
      <c r="E529">
        <v>1.5</v>
      </c>
      <c r="F529">
        <v>5.4</v>
      </c>
      <c r="G529">
        <v>3.27</v>
      </c>
      <c r="H529" t="s">
        <v>9</v>
      </c>
      <c r="I529">
        <v>16.399999999999999</v>
      </c>
      <c r="J529" t="s">
        <v>15</v>
      </c>
      <c r="K529">
        <v>1.92</v>
      </c>
      <c r="L529" t="s">
        <v>52</v>
      </c>
      <c r="M529" s="8">
        <v>0.35</v>
      </c>
    </row>
    <row r="530" spans="1:13" x14ac:dyDescent="0.25">
      <c r="A530">
        <v>529</v>
      </c>
      <c r="B530">
        <v>7.5</v>
      </c>
      <c r="C530">
        <v>2.7</v>
      </c>
      <c r="D530">
        <v>5.4</v>
      </c>
      <c r="E530">
        <v>1.6</v>
      </c>
      <c r="F530">
        <v>6.8</v>
      </c>
      <c r="G530">
        <v>3.09</v>
      </c>
      <c r="H530" t="s">
        <v>10</v>
      </c>
      <c r="I530">
        <v>18.599999999999998</v>
      </c>
      <c r="J530" t="s">
        <v>15</v>
      </c>
      <c r="K530">
        <v>2.94</v>
      </c>
      <c r="L530" t="s">
        <v>52</v>
      </c>
      <c r="M530" s="8">
        <v>0.4</v>
      </c>
    </row>
    <row r="531" spans="1:13" x14ac:dyDescent="0.25">
      <c r="A531">
        <v>530</v>
      </c>
      <c r="B531">
        <v>7.7</v>
      </c>
      <c r="C531">
        <v>1.7</v>
      </c>
      <c r="D531">
        <v>5.2</v>
      </c>
      <c r="E531">
        <v>1</v>
      </c>
      <c r="F531">
        <v>8.4</v>
      </c>
      <c r="G531">
        <v>3.43</v>
      </c>
      <c r="H531" t="s">
        <v>10</v>
      </c>
      <c r="I531">
        <v>18.8</v>
      </c>
      <c r="J531" t="s">
        <v>15</v>
      </c>
      <c r="K531">
        <v>3.89</v>
      </c>
      <c r="L531" t="s">
        <v>52</v>
      </c>
      <c r="M531" s="8">
        <v>0.41</v>
      </c>
    </row>
    <row r="532" spans="1:13" x14ac:dyDescent="0.25">
      <c r="A532">
        <v>531</v>
      </c>
      <c r="B532">
        <v>7.2</v>
      </c>
      <c r="C532">
        <v>0.8</v>
      </c>
      <c r="D532">
        <v>5.2</v>
      </c>
      <c r="E532">
        <v>5.0999999999999996</v>
      </c>
      <c r="F532">
        <v>5.7</v>
      </c>
      <c r="G532">
        <v>2.99</v>
      </c>
      <c r="H532" t="s">
        <v>10</v>
      </c>
      <c r="I532">
        <v>18.8</v>
      </c>
      <c r="J532" t="s">
        <v>13</v>
      </c>
      <c r="K532">
        <v>2.75</v>
      </c>
      <c r="L532" t="s">
        <v>52</v>
      </c>
      <c r="M532" s="8">
        <v>0.38</v>
      </c>
    </row>
    <row r="533" spans="1:13" x14ac:dyDescent="0.25">
      <c r="A533">
        <v>532</v>
      </c>
      <c r="B533">
        <v>9.8000000000000007</v>
      </c>
      <c r="C533">
        <v>0.8</v>
      </c>
      <c r="D533">
        <v>9.8000000000000007</v>
      </c>
      <c r="E533">
        <v>3.6</v>
      </c>
      <c r="F533">
        <v>0</v>
      </c>
      <c r="G533">
        <v>3.59</v>
      </c>
      <c r="H533" t="s">
        <v>10</v>
      </c>
      <c r="I533">
        <v>14.200000000000001</v>
      </c>
      <c r="J533" t="s">
        <v>14</v>
      </c>
      <c r="K533">
        <v>4.4400000000000004</v>
      </c>
      <c r="L533" t="s">
        <v>52</v>
      </c>
      <c r="M533" s="8">
        <v>0.69</v>
      </c>
    </row>
    <row r="534" spans="1:13" x14ac:dyDescent="0.25">
      <c r="A534">
        <v>533</v>
      </c>
      <c r="B534">
        <v>8.6</v>
      </c>
      <c r="C534">
        <v>3.9</v>
      </c>
      <c r="D534">
        <v>7.8</v>
      </c>
      <c r="E534">
        <v>1</v>
      </c>
      <c r="F534">
        <v>2.7</v>
      </c>
      <c r="G534">
        <v>3.69</v>
      </c>
      <c r="H534" t="s">
        <v>10</v>
      </c>
      <c r="I534">
        <v>16.2</v>
      </c>
      <c r="J534" t="s">
        <v>14</v>
      </c>
      <c r="K534">
        <v>3.26</v>
      </c>
      <c r="L534" t="s">
        <v>52</v>
      </c>
      <c r="M534" s="8">
        <v>0.53</v>
      </c>
    </row>
    <row r="535" spans="1:13" x14ac:dyDescent="0.25">
      <c r="A535">
        <v>534</v>
      </c>
      <c r="B535">
        <v>5.4</v>
      </c>
      <c r="C535">
        <v>2.5</v>
      </c>
      <c r="D535">
        <v>9.9</v>
      </c>
      <c r="E535">
        <v>1.1000000000000001</v>
      </c>
      <c r="F535">
        <v>5.0999999999999996</v>
      </c>
      <c r="G535">
        <v>2.54</v>
      </c>
      <c r="H535" t="s">
        <v>9</v>
      </c>
      <c r="I535">
        <v>14.1</v>
      </c>
      <c r="J535" t="s">
        <v>13</v>
      </c>
      <c r="K535">
        <v>2.08</v>
      </c>
      <c r="L535" t="s">
        <v>52</v>
      </c>
      <c r="M535" s="8">
        <v>0.38</v>
      </c>
    </row>
    <row r="536" spans="1:13" x14ac:dyDescent="0.25">
      <c r="A536">
        <v>535</v>
      </c>
      <c r="B536">
        <v>9</v>
      </c>
      <c r="C536">
        <v>3.6</v>
      </c>
      <c r="D536">
        <v>9.6999999999999993</v>
      </c>
      <c r="E536">
        <v>1.6</v>
      </c>
      <c r="F536">
        <v>0.1</v>
      </c>
      <c r="G536">
        <v>3.44</v>
      </c>
      <c r="H536" t="s">
        <v>10</v>
      </c>
      <c r="I536">
        <v>14.299999999999999</v>
      </c>
      <c r="J536" t="s">
        <v>15</v>
      </c>
      <c r="K536">
        <v>3.89</v>
      </c>
      <c r="L536" t="s">
        <v>52</v>
      </c>
      <c r="M536" s="8">
        <v>0.63</v>
      </c>
    </row>
    <row r="537" spans="1:13" x14ac:dyDescent="0.25">
      <c r="A537">
        <v>536</v>
      </c>
      <c r="B537">
        <v>8.8000000000000007</v>
      </c>
      <c r="C537">
        <v>0.6</v>
      </c>
      <c r="D537">
        <v>7.4</v>
      </c>
      <c r="E537">
        <v>4.3</v>
      </c>
      <c r="F537">
        <v>2.9</v>
      </c>
      <c r="G537">
        <v>3.32</v>
      </c>
      <c r="H537" t="s">
        <v>10</v>
      </c>
      <c r="I537">
        <v>16.599999999999998</v>
      </c>
      <c r="J537" t="s">
        <v>15</v>
      </c>
      <c r="K537">
        <v>3.45</v>
      </c>
      <c r="L537" t="s">
        <v>52</v>
      </c>
      <c r="M537" s="8">
        <v>0.53</v>
      </c>
    </row>
    <row r="538" spans="1:13" x14ac:dyDescent="0.25">
      <c r="A538">
        <v>537</v>
      </c>
      <c r="B538">
        <v>6.2</v>
      </c>
      <c r="C538">
        <v>2.6</v>
      </c>
      <c r="D538">
        <v>8.3000000000000007</v>
      </c>
      <c r="E538">
        <v>1</v>
      </c>
      <c r="F538">
        <v>5.9</v>
      </c>
      <c r="G538">
        <v>3.23</v>
      </c>
      <c r="H538" t="s">
        <v>8</v>
      </c>
      <c r="I538">
        <v>15.700000000000001</v>
      </c>
      <c r="J538" t="s">
        <v>15</v>
      </c>
      <c r="K538">
        <v>2.54</v>
      </c>
      <c r="L538" t="s">
        <v>52</v>
      </c>
      <c r="M538" s="8">
        <v>0.39</v>
      </c>
    </row>
    <row r="539" spans="1:13" x14ac:dyDescent="0.25">
      <c r="A539">
        <v>538</v>
      </c>
      <c r="B539">
        <v>7.5</v>
      </c>
      <c r="C539">
        <v>0</v>
      </c>
      <c r="D539">
        <v>5</v>
      </c>
      <c r="E539">
        <v>2.1</v>
      </c>
      <c r="F539">
        <v>9.4</v>
      </c>
      <c r="G539">
        <v>3.2</v>
      </c>
      <c r="H539" t="s">
        <v>10</v>
      </c>
      <c r="I539">
        <v>19</v>
      </c>
      <c r="J539" t="s">
        <v>15</v>
      </c>
      <c r="K539">
        <v>4.43</v>
      </c>
      <c r="L539" t="s">
        <v>52</v>
      </c>
      <c r="M539" s="8">
        <v>0.39</v>
      </c>
    </row>
    <row r="540" spans="1:13" x14ac:dyDescent="0.25">
      <c r="A540">
        <v>539</v>
      </c>
      <c r="B540">
        <v>9.6</v>
      </c>
      <c r="C540">
        <v>0.9</v>
      </c>
      <c r="D540">
        <v>8.1999999999999993</v>
      </c>
      <c r="E540">
        <v>1.2</v>
      </c>
      <c r="F540">
        <v>4.0999999999999996</v>
      </c>
      <c r="G540">
        <v>3.62</v>
      </c>
      <c r="H540" t="s">
        <v>10</v>
      </c>
      <c r="I540">
        <v>15.799999999999999</v>
      </c>
      <c r="J540" t="s">
        <v>14</v>
      </c>
      <c r="K540">
        <v>4.03</v>
      </c>
      <c r="L540" t="s">
        <v>52</v>
      </c>
      <c r="M540" s="8">
        <v>0.61</v>
      </c>
    </row>
    <row r="541" spans="1:13" x14ac:dyDescent="0.25">
      <c r="A541">
        <v>540</v>
      </c>
      <c r="B541">
        <v>8.6</v>
      </c>
      <c r="C541">
        <v>0.4</v>
      </c>
      <c r="D541">
        <v>7.1</v>
      </c>
      <c r="E541">
        <v>0.2</v>
      </c>
      <c r="F541">
        <v>7.7</v>
      </c>
      <c r="G541">
        <v>3.2</v>
      </c>
      <c r="H541" t="s">
        <v>10</v>
      </c>
      <c r="I541">
        <v>16.899999999999999</v>
      </c>
      <c r="J541" t="s">
        <v>15</v>
      </c>
      <c r="K541">
        <v>4.55</v>
      </c>
      <c r="L541" t="s">
        <v>52</v>
      </c>
      <c r="M541" s="8">
        <v>0.51</v>
      </c>
    </row>
    <row r="542" spans="1:13" x14ac:dyDescent="0.25">
      <c r="A542">
        <v>541</v>
      </c>
      <c r="B542">
        <v>7.4</v>
      </c>
      <c r="C542">
        <v>2.6</v>
      </c>
      <c r="D542">
        <v>5.6</v>
      </c>
      <c r="E542">
        <v>1.7</v>
      </c>
      <c r="F542">
        <v>6.7</v>
      </c>
      <c r="G542">
        <v>3.26</v>
      </c>
      <c r="H542" t="s">
        <v>10</v>
      </c>
      <c r="I542">
        <v>18.399999999999999</v>
      </c>
      <c r="J542" t="s">
        <v>15</v>
      </c>
      <c r="K542">
        <v>2.87</v>
      </c>
      <c r="L542" t="s">
        <v>52</v>
      </c>
      <c r="M542" s="8">
        <v>0.4</v>
      </c>
    </row>
    <row r="543" spans="1:13" x14ac:dyDescent="0.25">
      <c r="A543">
        <v>542</v>
      </c>
      <c r="B543">
        <v>10</v>
      </c>
      <c r="C543">
        <v>0.2</v>
      </c>
      <c r="D543">
        <v>8.8000000000000007</v>
      </c>
      <c r="E543">
        <v>1.9</v>
      </c>
      <c r="F543">
        <v>3.1</v>
      </c>
      <c r="G543">
        <v>3.46</v>
      </c>
      <c r="H543" t="s">
        <v>10</v>
      </c>
      <c r="I543">
        <v>15.2</v>
      </c>
      <c r="J543" t="s">
        <v>15</v>
      </c>
      <c r="K543">
        <v>4.3</v>
      </c>
      <c r="L543" t="s">
        <v>52</v>
      </c>
      <c r="M543" s="8">
        <v>0.66</v>
      </c>
    </row>
    <row r="544" spans="1:13" x14ac:dyDescent="0.25">
      <c r="A544">
        <v>543</v>
      </c>
      <c r="B544">
        <v>7</v>
      </c>
      <c r="C544">
        <v>3</v>
      </c>
      <c r="D544">
        <v>9.6</v>
      </c>
      <c r="E544">
        <v>4.2</v>
      </c>
      <c r="F544">
        <v>0.2</v>
      </c>
      <c r="G544">
        <v>2.68</v>
      </c>
      <c r="H544" t="s">
        <v>8</v>
      </c>
      <c r="I544">
        <v>14.399999999999999</v>
      </c>
      <c r="J544" t="s">
        <v>13</v>
      </c>
      <c r="K544">
        <v>2.82</v>
      </c>
      <c r="L544" t="s">
        <v>52</v>
      </c>
      <c r="M544" s="8">
        <v>0.49</v>
      </c>
    </row>
    <row r="545" spans="1:13" x14ac:dyDescent="0.25">
      <c r="A545">
        <v>544</v>
      </c>
      <c r="B545">
        <v>8.9</v>
      </c>
      <c r="C545">
        <v>1</v>
      </c>
      <c r="D545">
        <v>7.8</v>
      </c>
      <c r="E545">
        <v>2.2000000000000002</v>
      </c>
      <c r="F545">
        <v>4.0999999999999996</v>
      </c>
      <c r="G545">
        <v>3.54</v>
      </c>
      <c r="H545" t="s">
        <v>10</v>
      </c>
      <c r="I545">
        <v>16.200000000000003</v>
      </c>
      <c r="J545" t="s">
        <v>14</v>
      </c>
      <c r="K545">
        <v>3.48</v>
      </c>
      <c r="L545" t="s">
        <v>52</v>
      </c>
      <c r="M545" s="8">
        <v>0.55000000000000004</v>
      </c>
    </row>
    <row r="546" spans="1:13" x14ac:dyDescent="0.25">
      <c r="A546">
        <v>545</v>
      </c>
      <c r="B546">
        <v>8.3000000000000007</v>
      </c>
      <c r="C546">
        <v>1</v>
      </c>
      <c r="D546">
        <v>6</v>
      </c>
      <c r="E546">
        <v>5.5</v>
      </c>
      <c r="F546">
        <v>3.2</v>
      </c>
      <c r="G546">
        <v>3.25</v>
      </c>
      <c r="H546" t="s">
        <v>10</v>
      </c>
      <c r="I546">
        <v>18</v>
      </c>
      <c r="J546" t="s">
        <v>15</v>
      </c>
      <c r="K546">
        <v>3.13</v>
      </c>
      <c r="L546" t="s">
        <v>52</v>
      </c>
      <c r="M546" s="8">
        <v>0.46</v>
      </c>
    </row>
    <row r="547" spans="1:13" x14ac:dyDescent="0.25">
      <c r="A547">
        <v>546</v>
      </c>
      <c r="B547">
        <v>6.1</v>
      </c>
      <c r="C547">
        <v>0.2</v>
      </c>
      <c r="D547">
        <v>5.2</v>
      </c>
      <c r="E547">
        <v>1.1000000000000001</v>
      </c>
      <c r="F547">
        <v>11.4</v>
      </c>
      <c r="G547">
        <v>2.72</v>
      </c>
      <c r="H547" t="s">
        <v>10</v>
      </c>
      <c r="I547">
        <v>18.8</v>
      </c>
      <c r="J547" t="s">
        <v>13</v>
      </c>
      <c r="K547">
        <v>5.17</v>
      </c>
      <c r="L547" t="s">
        <v>52</v>
      </c>
      <c r="M547" s="8">
        <v>0.32</v>
      </c>
    </row>
    <row r="548" spans="1:13" x14ac:dyDescent="0.25">
      <c r="A548">
        <v>547</v>
      </c>
      <c r="B548">
        <v>9.3000000000000007</v>
      </c>
      <c r="C548">
        <v>1.1000000000000001</v>
      </c>
      <c r="D548">
        <v>9.8000000000000007</v>
      </c>
      <c r="E548">
        <v>2.2000000000000002</v>
      </c>
      <c r="F548">
        <v>1.6</v>
      </c>
      <c r="G548">
        <v>3.79</v>
      </c>
      <c r="H548" t="s">
        <v>10</v>
      </c>
      <c r="I548">
        <v>14.200000000000001</v>
      </c>
      <c r="J548" t="s">
        <v>14</v>
      </c>
      <c r="K548">
        <v>3.86</v>
      </c>
      <c r="L548" t="s">
        <v>52</v>
      </c>
      <c r="M548" s="8">
        <v>0.65</v>
      </c>
    </row>
    <row r="549" spans="1:13" x14ac:dyDescent="0.25">
      <c r="A549">
        <v>548</v>
      </c>
      <c r="B549">
        <v>7.6</v>
      </c>
      <c r="C549">
        <v>3</v>
      </c>
      <c r="D549">
        <v>6.4</v>
      </c>
      <c r="E549">
        <v>2.1</v>
      </c>
      <c r="F549">
        <v>4.9000000000000004</v>
      </c>
      <c r="G549">
        <v>2.83</v>
      </c>
      <c r="H549" t="s">
        <v>8</v>
      </c>
      <c r="I549">
        <v>17.600000000000001</v>
      </c>
      <c r="J549" t="s">
        <v>13</v>
      </c>
      <c r="K549">
        <v>2.4300000000000002</v>
      </c>
      <c r="L549" t="s">
        <v>52</v>
      </c>
      <c r="M549" s="8">
        <v>0.43</v>
      </c>
    </row>
    <row r="550" spans="1:13" x14ac:dyDescent="0.25">
      <c r="A550">
        <v>549</v>
      </c>
      <c r="B550">
        <v>9.5</v>
      </c>
      <c r="C550">
        <v>3.8</v>
      </c>
      <c r="D550">
        <v>9.5</v>
      </c>
      <c r="E550">
        <v>0.5</v>
      </c>
      <c r="F550">
        <v>0.7</v>
      </c>
      <c r="G550">
        <v>3.4</v>
      </c>
      <c r="H550" t="s">
        <v>10</v>
      </c>
      <c r="I550">
        <v>14.5</v>
      </c>
      <c r="J550" t="s">
        <v>15</v>
      </c>
      <c r="K550">
        <v>4.2</v>
      </c>
      <c r="L550" t="s">
        <v>52</v>
      </c>
      <c r="M550" s="8">
        <v>0.66</v>
      </c>
    </row>
    <row r="551" spans="1:13" x14ac:dyDescent="0.25">
      <c r="A551">
        <v>550</v>
      </c>
      <c r="B551">
        <v>7.5</v>
      </c>
      <c r="C551">
        <v>0.8</v>
      </c>
      <c r="D551">
        <v>8</v>
      </c>
      <c r="E551">
        <v>1.1000000000000001</v>
      </c>
      <c r="F551">
        <v>6.6</v>
      </c>
      <c r="G551">
        <v>3.43</v>
      </c>
      <c r="H551" t="s">
        <v>8</v>
      </c>
      <c r="I551">
        <v>16</v>
      </c>
      <c r="J551" t="s">
        <v>15</v>
      </c>
      <c r="K551">
        <v>3.54</v>
      </c>
      <c r="L551" t="s">
        <v>52</v>
      </c>
      <c r="M551" s="8">
        <v>0.47</v>
      </c>
    </row>
    <row r="552" spans="1:13" x14ac:dyDescent="0.25">
      <c r="A552">
        <v>551</v>
      </c>
      <c r="B552">
        <v>6.7</v>
      </c>
      <c r="C552">
        <v>3.4</v>
      </c>
      <c r="D552">
        <v>6</v>
      </c>
      <c r="E552">
        <v>0.4</v>
      </c>
      <c r="F552">
        <v>7.5</v>
      </c>
      <c r="G552">
        <v>2.48</v>
      </c>
      <c r="H552" t="s">
        <v>8</v>
      </c>
      <c r="I552">
        <v>18</v>
      </c>
      <c r="J552" t="s">
        <v>16</v>
      </c>
      <c r="K552">
        <v>3.26</v>
      </c>
      <c r="L552" t="s">
        <v>52</v>
      </c>
      <c r="M552" s="8">
        <v>0.37</v>
      </c>
    </row>
    <row r="553" spans="1:13" x14ac:dyDescent="0.25">
      <c r="A553">
        <v>552</v>
      </c>
      <c r="B553">
        <v>9.1</v>
      </c>
      <c r="C553">
        <v>3.3</v>
      </c>
      <c r="D553">
        <v>6.7</v>
      </c>
      <c r="E553">
        <v>3.4</v>
      </c>
      <c r="F553">
        <v>1.5</v>
      </c>
      <c r="G553">
        <v>3.4</v>
      </c>
      <c r="H553" t="s">
        <v>10</v>
      </c>
      <c r="I553">
        <v>17.299999999999997</v>
      </c>
      <c r="J553" t="s">
        <v>15</v>
      </c>
      <c r="K553">
        <v>3.3</v>
      </c>
      <c r="L553" t="s">
        <v>52</v>
      </c>
      <c r="M553" s="8">
        <v>0.53</v>
      </c>
    </row>
    <row r="554" spans="1:13" x14ac:dyDescent="0.25">
      <c r="A554">
        <v>553</v>
      </c>
      <c r="B554">
        <v>8.9</v>
      </c>
      <c r="C554">
        <v>2.6</v>
      </c>
      <c r="D554">
        <v>5.8</v>
      </c>
      <c r="E554">
        <v>5.3</v>
      </c>
      <c r="F554">
        <v>1.4</v>
      </c>
      <c r="G554">
        <v>2.98</v>
      </c>
      <c r="H554" t="s">
        <v>10</v>
      </c>
      <c r="I554">
        <v>18.2</v>
      </c>
      <c r="J554" t="s">
        <v>13</v>
      </c>
      <c r="K554">
        <v>3.33</v>
      </c>
      <c r="L554" t="s">
        <v>52</v>
      </c>
      <c r="M554" s="8">
        <v>0.49</v>
      </c>
    </row>
    <row r="555" spans="1:13" x14ac:dyDescent="0.25">
      <c r="A555">
        <v>554</v>
      </c>
      <c r="B555">
        <v>7.1</v>
      </c>
      <c r="C555">
        <v>0.2</v>
      </c>
      <c r="D555">
        <v>5.6</v>
      </c>
      <c r="E555">
        <v>4.5999999999999996</v>
      </c>
      <c r="F555">
        <v>6.5</v>
      </c>
      <c r="G555">
        <v>3.13</v>
      </c>
      <c r="H555" t="s">
        <v>10</v>
      </c>
      <c r="I555">
        <v>18.399999999999999</v>
      </c>
      <c r="J555" t="s">
        <v>15</v>
      </c>
      <c r="K555">
        <v>3.12</v>
      </c>
      <c r="L555" t="s">
        <v>52</v>
      </c>
      <c r="M555" s="8">
        <v>0.39</v>
      </c>
    </row>
    <row r="556" spans="1:13" x14ac:dyDescent="0.25">
      <c r="A556">
        <v>555</v>
      </c>
      <c r="B556">
        <v>5</v>
      </c>
      <c r="C556">
        <v>1.7</v>
      </c>
      <c r="D556">
        <v>7.6</v>
      </c>
      <c r="E556">
        <v>0.3</v>
      </c>
      <c r="F556">
        <v>9.4</v>
      </c>
      <c r="G556">
        <v>2.5299999999999998</v>
      </c>
      <c r="H556" t="s">
        <v>9</v>
      </c>
      <c r="I556">
        <v>16.399999999999999</v>
      </c>
      <c r="J556" t="s">
        <v>13</v>
      </c>
      <c r="K556">
        <v>4.05</v>
      </c>
      <c r="L556" t="s">
        <v>52</v>
      </c>
      <c r="M556" s="8">
        <v>0.3</v>
      </c>
    </row>
    <row r="557" spans="1:13" x14ac:dyDescent="0.25">
      <c r="A557">
        <v>556</v>
      </c>
      <c r="B557">
        <v>6.2</v>
      </c>
      <c r="C557">
        <v>0</v>
      </c>
      <c r="D557">
        <v>8.6</v>
      </c>
      <c r="E557">
        <v>5.8</v>
      </c>
      <c r="F557">
        <v>3.4</v>
      </c>
      <c r="G557">
        <v>2.71</v>
      </c>
      <c r="H557" t="s">
        <v>8</v>
      </c>
      <c r="I557">
        <v>15.4</v>
      </c>
      <c r="J557" t="s">
        <v>13</v>
      </c>
      <c r="K557">
        <v>2.85</v>
      </c>
      <c r="L557" t="s">
        <v>52</v>
      </c>
      <c r="M557" s="8">
        <v>0.4</v>
      </c>
    </row>
    <row r="558" spans="1:13" x14ac:dyDescent="0.25">
      <c r="A558">
        <v>557</v>
      </c>
      <c r="B558">
        <v>6.1</v>
      </c>
      <c r="C558">
        <v>2.7</v>
      </c>
      <c r="D558">
        <v>8.6999999999999993</v>
      </c>
      <c r="E558">
        <v>5.0999999999999996</v>
      </c>
      <c r="F558">
        <v>1.4</v>
      </c>
      <c r="G558">
        <v>2.57</v>
      </c>
      <c r="H558" t="s">
        <v>8</v>
      </c>
      <c r="I558">
        <v>15.3</v>
      </c>
      <c r="J558" t="s">
        <v>13</v>
      </c>
      <c r="K558">
        <v>2.16</v>
      </c>
      <c r="L558" t="s">
        <v>52</v>
      </c>
      <c r="M558" s="8">
        <v>0.4</v>
      </c>
    </row>
    <row r="559" spans="1:13" x14ac:dyDescent="0.25">
      <c r="A559">
        <v>558</v>
      </c>
      <c r="B559">
        <v>6.6</v>
      </c>
      <c r="C559">
        <v>2.9</v>
      </c>
      <c r="D559">
        <v>9.1</v>
      </c>
      <c r="E559">
        <v>1</v>
      </c>
      <c r="F559">
        <v>4.4000000000000004</v>
      </c>
      <c r="G559">
        <v>2.85</v>
      </c>
      <c r="H559" t="s">
        <v>8</v>
      </c>
      <c r="I559">
        <v>14.9</v>
      </c>
      <c r="J559" t="s">
        <v>13</v>
      </c>
      <c r="K559">
        <v>2.37</v>
      </c>
      <c r="L559" t="s">
        <v>52</v>
      </c>
      <c r="M559" s="8">
        <v>0.44</v>
      </c>
    </row>
    <row r="560" spans="1:13" x14ac:dyDescent="0.25">
      <c r="A560">
        <v>559</v>
      </c>
      <c r="B560">
        <v>6.9</v>
      </c>
      <c r="C560">
        <v>3.6</v>
      </c>
      <c r="D560">
        <v>9</v>
      </c>
      <c r="E560">
        <v>4.4000000000000004</v>
      </c>
      <c r="F560">
        <v>0.1</v>
      </c>
      <c r="G560">
        <v>2.92</v>
      </c>
      <c r="H560" t="s">
        <v>8</v>
      </c>
      <c r="I560">
        <v>15</v>
      </c>
      <c r="J560" t="s">
        <v>13</v>
      </c>
      <c r="K560">
        <v>2.81</v>
      </c>
      <c r="L560" t="s">
        <v>52</v>
      </c>
      <c r="M560" s="8">
        <v>0.46</v>
      </c>
    </row>
    <row r="561" spans="1:13" x14ac:dyDescent="0.25">
      <c r="A561">
        <v>560</v>
      </c>
      <c r="B561">
        <v>8</v>
      </c>
      <c r="C561">
        <v>2.6</v>
      </c>
      <c r="D561">
        <v>5.4</v>
      </c>
      <c r="E561">
        <v>3.3</v>
      </c>
      <c r="F561">
        <v>4.7</v>
      </c>
      <c r="G561">
        <v>3.48</v>
      </c>
      <c r="H561" t="s">
        <v>10</v>
      </c>
      <c r="I561">
        <v>18.599999999999998</v>
      </c>
      <c r="J561" t="s">
        <v>15</v>
      </c>
      <c r="K561">
        <v>2.4</v>
      </c>
      <c r="L561" t="s">
        <v>52</v>
      </c>
      <c r="M561" s="8">
        <v>0.43</v>
      </c>
    </row>
    <row r="562" spans="1:13" x14ac:dyDescent="0.25">
      <c r="A562">
        <v>561</v>
      </c>
      <c r="B562">
        <v>8.5</v>
      </c>
      <c r="C562">
        <v>0.7</v>
      </c>
      <c r="D562">
        <v>8.9</v>
      </c>
      <c r="E562">
        <v>3.4</v>
      </c>
      <c r="F562">
        <v>2.5</v>
      </c>
      <c r="G562">
        <v>3.41</v>
      </c>
      <c r="H562" t="s">
        <v>10</v>
      </c>
      <c r="I562">
        <v>15.1</v>
      </c>
      <c r="J562" t="s">
        <v>15</v>
      </c>
      <c r="K562">
        <v>3.34</v>
      </c>
      <c r="L562" t="s">
        <v>52</v>
      </c>
      <c r="M562" s="8">
        <v>0.56000000000000005</v>
      </c>
    </row>
    <row r="563" spans="1:13" x14ac:dyDescent="0.25">
      <c r="A563">
        <v>562</v>
      </c>
      <c r="B563">
        <v>6.5</v>
      </c>
      <c r="C563">
        <v>2.9</v>
      </c>
      <c r="D563">
        <v>8.8000000000000007</v>
      </c>
      <c r="E563">
        <v>0.6</v>
      </c>
      <c r="F563">
        <v>5.2</v>
      </c>
      <c r="G563">
        <v>2.67</v>
      </c>
      <c r="H563" t="s">
        <v>8</v>
      </c>
      <c r="I563">
        <v>15.2</v>
      </c>
      <c r="J563" t="s">
        <v>13</v>
      </c>
      <c r="K563">
        <v>2.6</v>
      </c>
      <c r="L563" t="s">
        <v>52</v>
      </c>
      <c r="M563" s="8">
        <v>0.43</v>
      </c>
    </row>
    <row r="564" spans="1:13" x14ac:dyDescent="0.25">
      <c r="A564">
        <v>563</v>
      </c>
      <c r="B564">
        <v>7.6</v>
      </c>
      <c r="C564">
        <v>2</v>
      </c>
      <c r="D564">
        <v>6.8</v>
      </c>
      <c r="E564">
        <v>5.6</v>
      </c>
      <c r="F564">
        <v>2</v>
      </c>
      <c r="G564">
        <v>3.25</v>
      </c>
      <c r="H564" t="s">
        <v>8</v>
      </c>
      <c r="I564">
        <v>17.2</v>
      </c>
      <c r="J564" t="s">
        <v>15</v>
      </c>
      <c r="K564">
        <v>2.78</v>
      </c>
      <c r="L564" t="s">
        <v>52</v>
      </c>
      <c r="M564" s="8">
        <v>0.44</v>
      </c>
    </row>
    <row r="565" spans="1:13" x14ac:dyDescent="0.25">
      <c r="A565">
        <v>564</v>
      </c>
      <c r="B565">
        <v>8.6</v>
      </c>
      <c r="C565">
        <v>1.8</v>
      </c>
      <c r="D565">
        <v>9.6</v>
      </c>
      <c r="E565">
        <v>2.8</v>
      </c>
      <c r="F565">
        <v>1.2</v>
      </c>
      <c r="G565">
        <v>3.47</v>
      </c>
      <c r="H565" t="s">
        <v>10</v>
      </c>
      <c r="I565">
        <v>14.399999999999999</v>
      </c>
      <c r="J565" t="s">
        <v>15</v>
      </c>
      <c r="K565">
        <v>3.4</v>
      </c>
      <c r="L565" t="s">
        <v>52</v>
      </c>
      <c r="M565" s="8">
        <v>0.6</v>
      </c>
    </row>
    <row r="566" spans="1:13" x14ac:dyDescent="0.25">
      <c r="A566">
        <v>565</v>
      </c>
      <c r="B566">
        <v>8.6</v>
      </c>
      <c r="C566">
        <v>3.4</v>
      </c>
      <c r="D566">
        <v>6.4</v>
      </c>
      <c r="E566">
        <v>4.5</v>
      </c>
      <c r="F566">
        <v>1.1000000000000001</v>
      </c>
      <c r="G566">
        <v>3.18</v>
      </c>
      <c r="H566" t="s">
        <v>10</v>
      </c>
      <c r="I566">
        <v>17.600000000000001</v>
      </c>
      <c r="J566" t="s">
        <v>15</v>
      </c>
      <c r="K566">
        <v>3.14</v>
      </c>
      <c r="L566" t="s">
        <v>52</v>
      </c>
      <c r="M566" s="8">
        <v>0.49</v>
      </c>
    </row>
    <row r="567" spans="1:13" x14ac:dyDescent="0.25">
      <c r="A567">
        <v>566</v>
      </c>
      <c r="B567">
        <v>6.7</v>
      </c>
      <c r="C567">
        <v>3.9</v>
      </c>
      <c r="D567">
        <v>9.3000000000000007</v>
      </c>
      <c r="E567">
        <v>2.9</v>
      </c>
      <c r="F567">
        <v>1.2</v>
      </c>
      <c r="G567">
        <v>2.78</v>
      </c>
      <c r="H567" t="s">
        <v>8</v>
      </c>
      <c r="I567">
        <v>14.7</v>
      </c>
      <c r="J567" t="s">
        <v>13</v>
      </c>
      <c r="K567">
        <v>2.2999999999999998</v>
      </c>
      <c r="L567" t="s">
        <v>52</v>
      </c>
      <c r="M567" s="8">
        <v>0.46</v>
      </c>
    </row>
    <row r="568" spans="1:13" x14ac:dyDescent="0.25">
      <c r="A568">
        <v>567</v>
      </c>
      <c r="B568">
        <v>8.6</v>
      </c>
      <c r="C568">
        <v>2.2000000000000002</v>
      </c>
      <c r="D568">
        <v>9.6999999999999993</v>
      </c>
      <c r="E568">
        <v>1.7</v>
      </c>
      <c r="F568">
        <v>1.8</v>
      </c>
      <c r="G568">
        <v>3.07</v>
      </c>
      <c r="H568" t="s">
        <v>10</v>
      </c>
      <c r="I568">
        <v>14.3</v>
      </c>
      <c r="J568" t="s">
        <v>15</v>
      </c>
      <c r="K568">
        <v>3.36</v>
      </c>
      <c r="L568" t="s">
        <v>52</v>
      </c>
      <c r="M568" s="8">
        <v>0.6</v>
      </c>
    </row>
    <row r="569" spans="1:13" x14ac:dyDescent="0.25">
      <c r="A569">
        <v>568</v>
      </c>
      <c r="B569">
        <v>8.9</v>
      </c>
      <c r="C569">
        <v>2.9</v>
      </c>
      <c r="D569">
        <v>6.9</v>
      </c>
      <c r="E569">
        <v>0.1</v>
      </c>
      <c r="F569">
        <v>5.2</v>
      </c>
      <c r="G569">
        <v>3.26</v>
      </c>
      <c r="H569" t="s">
        <v>10</v>
      </c>
      <c r="I569">
        <v>17.100000000000001</v>
      </c>
      <c r="J569" t="s">
        <v>15</v>
      </c>
      <c r="K569">
        <v>3.72</v>
      </c>
      <c r="L569" t="s">
        <v>52</v>
      </c>
      <c r="M569" s="8">
        <v>0.52</v>
      </c>
    </row>
    <row r="570" spans="1:13" x14ac:dyDescent="0.25">
      <c r="A570">
        <v>569</v>
      </c>
      <c r="B570">
        <v>9.1999999999999993</v>
      </c>
      <c r="C570">
        <v>0</v>
      </c>
      <c r="D570">
        <v>8.5</v>
      </c>
      <c r="E570">
        <v>5.8</v>
      </c>
      <c r="F570">
        <v>0.5</v>
      </c>
      <c r="G570">
        <v>3.08</v>
      </c>
      <c r="H570" t="s">
        <v>10</v>
      </c>
      <c r="I570">
        <v>15.5</v>
      </c>
      <c r="J570" t="s">
        <v>15</v>
      </c>
      <c r="K570">
        <v>4.41</v>
      </c>
      <c r="L570" t="s">
        <v>52</v>
      </c>
      <c r="M570" s="8">
        <v>0.59</v>
      </c>
    </row>
    <row r="571" spans="1:13" x14ac:dyDescent="0.25">
      <c r="A571">
        <v>570</v>
      </c>
      <c r="B571">
        <v>8.5</v>
      </c>
      <c r="C571">
        <v>3.3</v>
      </c>
      <c r="D571">
        <v>7.7</v>
      </c>
      <c r="E571">
        <v>4.4000000000000004</v>
      </c>
      <c r="F571">
        <v>0.1</v>
      </c>
      <c r="G571">
        <v>3.2</v>
      </c>
      <c r="H571" t="s">
        <v>10</v>
      </c>
      <c r="I571">
        <v>16.300000000000004</v>
      </c>
      <c r="J571" t="s">
        <v>15</v>
      </c>
      <c r="K571">
        <v>3.47</v>
      </c>
      <c r="L571" t="s">
        <v>52</v>
      </c>
      <c r="M571" s="8">
        <v>0.52</v>
      </c>
    </row>
    <row r="572" spans="1:13" x14ac:dyDescent="0.25">
      <c r="A572">
        <v>571</v>
      </c>
      <c r="B572">
        <v>5.3</v>
      </c>
      <c r="C572">
        <v>2</v>
      </c>
      <c r="D572">
        <v>8.6</v>
      </c>
      <c r="E572">
        <v>5.2</v>
      </c>
      <c r="F572">
        <v>2.9</v>
      </c>
      <c r="G572">
        <v>2.89</v>
      </c>
      <c r="H572" t="s">
        <v>9</v>
      </c>
      <c r="I572">
        <v>15.4</v>
      </c>
      <c r="J572" t="s">
        <v>13</v>
      </c>
      <c r="K572">
        <v>1.66</v>
      </c>
      <c r="L572" t="s">
        <v>52</v>
      </c>
      <c r="M572" s="8">
        <v>0.34</v>
      </c>
    </row>
    <row r="573" spans="1:13" x14ac:dyDescent="0.25">
      <c r="A573">
        <v>572</v>
      </c>
      <c r="B573">
        <v>7.8</v>
      </c>
      <c r="C573">
        <v>1.6</v>
      </c>
      <c r="D573">
        <v>5.7</v>
      </c>
      <c r="E573">
        <v>5.2</v>
      </c>
      <c r="F573">
        <v>3.7</v>
      </c>
      <c r="G573">
        <v>3.06</v>
      </c>
      <c r="H573" t="s">
        <v>10</v>
      </c>
      <c r="I573">
        <v>18.3</v>
      </c>
      <c r="J573" t="s">
        <v>15</v>
      </c>
      <c r="K573">
        <v>2.61</v>
      </c>
      <c r="L573" t="s">
        <v>52</v>
      </c>
      <c r="M573" s="8">
        <v>0.43</v>
      </c>
    </row>
    <row r="574" spans="1:13" x14ac:dyDescent="0.25">
      <c r="A574">
        <v>573</v>
      </c>
      <c r="B574">
        <v>5.8</v>
      </c>
      <c r="C574">
        <v>1.2</v>
      </c>
      <c r="D574">
        <v>6.5</v>
      </c>
      <c r="E574">
        <v>5.2</v>
      </c>
      <c r="F574">
        <v>5.3</v>
      </c>
      <c r="G574">
        <v>3.08</v>
      </c>
      <c r="H574" t="s">
        <v>9</v>
      </c>
      <c r="I574">
        <v>17.5</v>
      </c>
      <c r="J574" t="s">
        <v>15</v>
      </c>
      <c r="K574">
        <v>2.13</v>
      </c>
      <c r="L574" t="s">
        <v>52</v>
      </c>
      <c r="M574" s="8">
        <v>0.33</v>
      </c>
    </row>
    <row r="575" spans="1:13" x14ac:dyDescent="0.25">
      <c r="A575">
        <v>574</v>
      </c>
      <c r="B575">
        <v>6.3</v>
      </c>
      <c r="C575">
        <v>2.5</v>
      </c>
      <c r="D575">
        <v>7.9</v>
      </c>
      <c r="E575">
        <v>5</v>
      </c>
      <c r="F575">
        <v>2.2999999999999998</v>
      </c>
      <c r="G575">
        <v>3.07</v>
      </c>
      <c r="H575" t="s">
        <v>8</v>
      </c>
      <c r="I575">
        <v>16.100000000000001</v>
      </c>
      <c r="J575" t="s">
        <v>15</v>
      </c>
      <c r="K575">
        <v>1.95</v>
      </c>
      <c r="L575" t="s">
        <v>52</v>
      </c>
      <c r="M575" s="8">
        <v>0.39</v>
      </c>
    </row>
    <row r="576" spans="1:13" x14ac:dyDescent="0.25">
      <c r="A576">
        <v>575</v>
      </c>
      <c r="B576">
        <v>9.5</v>
      </c>
      <c r="C576">
        <v>0</v>
      </c>
      <c r="D576">
        <v>8.4</v>
      </c>
      <c r="E576">
        <v>0.3</v>
      </c>
      <c r="F576">
        <v>5.8</v>
      </c>
      <c r="G576">
        <v>3.07</v>
      </c>
      <c r="H576" t="s">
        <v>10</v>
      </c>
      <c r="I576">
        <v>15.600000000000001</v>
      </c>
      <c r="J576" t="s">
        <v>15</v>
      </c>
      <c r="K576">
        <v>4.59</v>
      </c>
      <c r="L576" t="s">
        <v>52</v>
      </c>
      <c r="M576" s="8">
        <v>0.61</v>
      </c>
    </row>
    <row r="577" spans="1:13" x14ac:dyDescent="0.25">
      <c r="A577">
        <v>576</v>
      </c>
      <c r="B577">
        <v>6.5</v>
      </c>
      <c r="C577">
        <v>1.4</v>
      </c>
      <c r="D577">
        <v>8.1</v>
      </c>
      <c r="E577">
        <v>2</v>
      </c>
      <c r="F577">
        <v>6</v>
      </c>
      <c r="G577">
        <v>3.06</v>
      </c>
      <c r="H577" t="s">
        <v>8</v>
      </c>
      <c r="I577">
        <v>15.9</v>
      </c>
      <c r="J577" t="s">
        <v>15</v>
      </c>
      <c r="K577">
        <v>2.65</v>
      </c>
      <c r="L577" t="s">
        <v>52</v>
      </c>
      <c r="M577" s="8">
        <v>0.41</v>
      </c>
    </row>
    <row r="578" spans="1:13" x14ac:dyDescent="0.25">
      <c r="A578">
        <v>577</v>
      </c>
      <c r="B578">
        <v>8.6999999999999993</v>
      </c>
      <c r="C578">
        <v>1.6</v>
      </c>
      <c r="D578">
        <v>5.3</v>
      </c>
      <c r="E578">
        <v>4.7</v>
      </c>
      <c r="F578">
        <v>3.7</v>
      </c>
      <c r="G578">
        <v>3.2</v>
      </c>
      <c r="H578" t="s">
        <v>10</v>
      </c>
      <c r="I578">
        <v>18.7</v>
      </c>
      <c r="J578" t="s">
        <v>15</v>
      </c>
      <c r="K578">
        <v>2.98</v>
      </c>
      <c r="L578" t="s">
        <v>52</v>
      </c>
      <c r="M578" s="8">
        <v>0.47</v>
      </c>
    </row>
    <row r="579" spans="1:13" x14ac:dyDescent="0.25">
      <c r="A579">
        <v>578</v>
      </c>
      <c r="B579">
        <v>8.4</v>
      </c>
      <c r="C579">
        <v>1.3</v>
      </c>
      <c r="D579">
        <v>5.3</v>
      </c>
      <c r="E579">
        <v>2.2000000000000002</v>
      </c>
      <c r="F579">
        <v>6.8</v>
      </c>
      <c r="G579">
        <v>2.92</v>
      </c>
      <c r="H579" t="s">
        <v>10</v>
      </c>
      <c r="I579">
        <v>18.700000000000003</v>
      </c>
      <c r="J579" t="s">
        <v>13</v>
      </c>
      <c r="K579">
        <v>3.46</v>
      </c>
      <c r="L579" t="s">
        <v>52</v>
      </c>
      <c r="M579" s="8">
        <v>0.45</v>
      </c>
    </row>
    <row r="580" spans="1:13" x14ac:dyDescent="0.25">
      <c r="A580">
        <v>579</v>
      </c>
      <c r="B580">
        <v>9.6999999999999993</v>
      </c>
      <c r="C580">
        <v>2.6</v>
      </c>
      <c r="D580">
        <v>8.4</v>
      </c>
      <c r="E580">
        <v>2.1</v>
      </c>
      <c r="F580">
        <v>1.2</v>
      </c>
      <c r="G580">
        <v>3.38</v>
      </c>
      <c r="H580" t="s">
        <v>10</v>
      </c>
      <c r="I580">
        <v>15.599999999999998</v>
      </c>
      <c r="J580" t="s">
        <v>15</v>
      </c>
      <c r="K580">
        <v>3.91</v>
      </c>
      <c r="L580" t="s">
        <v>52</v>
      </c>
      <c r="M580" s="8">
        <v>0.62</v>
      </c>
    </row>
    <row r="581" spans="1:13" x14ac:dyDescent="0.25">
      <c r="A581">
        <v>580</v>
      </c>
      <c r="B581">
        <v>8.8000000000000007</v>
      </c>
      <c r="C581">
        <v>0.4</v>
      </c>
      <c r="D581">
        <v>6.4</v>
      </c>
      <c r="E581">
        <v>1.7</v>
      </c>
      <c r="F581">
        <v>6.7</v>
      </c>
      <c r="G581">
        <v>3.05</v>
      </c>
      <c r="H581" t="s">
        <v>10</v>
      </c>
      <c r="I581">
        <v>17.600000000000001</v>
      </c>
      <c r="J581" t="s">
        <v>15</v>
      </c>
      <c r="K581">
        <v>4</v>
      </c>
      <c r="L581" t="s">
        <v>52</v>
      </c>
      <c r="M581" s="8">
        <v>0.5</v>
      </c>
    </row>
    <row r="582" spans="1:13" x14ac:dyDescent="0.25">
      <c r="A582">
        <v>581</v>
      </c>
      <c r="B582">
        <v>7.2</v>
      </c>
      <c r="C582">
        <v>3.9</v>
      </c>
      <c r="D582">
        <v>5.3</v>
      </c>
      <c r="E582">
        <v>3.1</v>
      </c>
      <c r="F582">
        <v>4.5</v>
      </c>
      <c r="G582">
        <v>3.03</v>
      </c>
      <c r="H582" t="s">
        <v>10</v>
      </c>
      <c r="I582">
        <v>18.7</v>
      </c>
      <c r="J582" t="s">
        <v>15</v>
      </c>
      <c r="K582">
        <v>1.78</v>
      </c>
      <c r="L582" t="s">
        <v>52</v>
      </c>
      <c r="M582" s="8">
        <v>0.39</v>
      </c>
    </row>
    <row r="583" spans="1:13" x14ac:dyDescent="0.25">
      <c r="A583">
        <v>582</v>
      </c>
      <c r="B583">
        <v>8.6999999999999993</v>
      </c>
      <c r="C583">
        <v>2.8</v>
      </c>
      <c r="D583">
        <v>7.1</v>
      </c>
      <c r="E583">
        <v>1.9</v>
      </c>
      <c r="F583">
        <v>3.5</v>
      </c>
      <c r="G583">
        <v>3.12</v>
      </c>
      <c r="H583" t="s">
        <v>10</v>
      </c>
      <c r="I583">
        <v>16.899999999999999</v>
      </c>
      <c r="J583" t="s">
        <v>15</v>
      </c>
      <c r="K583">
        <v>3.05</v>
      </c>
      <c r="L583" t="s">
        <v>52</v>
      </c>
      <c r="M583" s="8">
        <v>0.51</v>
      </c>
    </row>
    <row r="584" spans="1:13" x14ac:dyDescent="0.25">
      <c r="A584">
        <v>583</v>
      </c>
      <c r="B584">
        <v>7</v>
      </c>
      <c r="C584">
        <v>1.1000000000000001</v>
      </c>
      <c r="D584">
        <v>6</v>
      </c>
      <c r="E584">
        <v>2.9</v>
      </c>
      <c r="F584">
        <v>7</v>
      </c>
      <c r="G584">
        <v>2.87</v>
      </c>
      <c r="H584" t="s">
        <v>8</v>
      </c>
      <c r="I584">
        <v>18</v>
      </c>
      <c r="J584" t="s">
        <v>13</v>
      </c>
      <c r="K584">
        <v>2.98</v>
      </c>
      <c r="L584" t="s">
        <v>52</v>
      </c>
      <c r="M584" s="8">
        <v>0.39</v>
      </c>
    </row>
    <row r="585" spans="1:13" x14ac:dyDescent="0.25">
      <c r="A585">
        <v>584</v>
      </c>
      <c r="B585">
        <v>8.3000000000000007</v>
      </c>
      <c r="C585">
        <v>3.9</v>
      </c>
      <c r="D585">
        <v>8</v>
      </c>
      <c r="E585">
        <v>0.3</v>
      </c>
      <c r="F585">
        <v>3.5</v>
      </c>
      <c r="G585">
        <v>3.04</v>
      </c>
      <c r="H585" t="s">
        <v>10</v>
      </c>
      <c r="I585">
        <v>16</v>
      </c>
      <c r="J585" t="s">
        <v>15</v>
      </c>
      <c r="K585">
        <v>3.29</v>
      </c>
      <c r="L585" t="s">
        <v>52</v>
      </c>
      <c r="M585" s="8">
        <v>0.52</v>
      </c>
    </row>
    <row r="586" spans="1:13" x14ac:dyDescent="0.25">
      <c r="A586">
        <v>585</v>
      </c>
      <c r="B586">
        <v>5.4</v>
      </c>
      <c r="C586">
        <v>3.8</v>
      </c>
      <c r="D586">
        <v>6.5</v>
      </c>
      <c r="E586">
        <v>0.6</v>
      </c>
      <c r="F586">
        <v>7.7</v>
      </c>
      <c r="G586">
        <v>3.14</v>
      </c>
      <c r="H586" t="s">
        <v>9</v>
      </c>
      <c r="I586">
        <v>17.5</v>
      </c>
      <c r="J586" t="s">
        <v>15</v>
      </c>
      <c r="K586">
        <v>2.98</v>
      </c>
      <c r="L586" t="s">
        <v>52</v>
      </c>
      <c r="M586" s="8">
        <v>0.31</v>
      </c>
    </row>
    <row r="587" spans="1:13" x14ac:dyDescent="0.25">
      <c r="A587">
        <v>586</v>
      </c>
      <c r="B587">
        <v>8.1999999999999993</v>
      </c>
      <c r="C587">
        <v>1.1000000000000001</v>
      </c>
      <c r="D587">
        <v>5.0999999999999996</v>
      </c>
      <c r="E587">
        <v>5.8</v>
      </c>
      <c r="F587">
        <v>3.8</v>
      </c>
      <c r="G587">
        <v>3.5</v>
      </c>
      <c r="H587" t="s">
        <v>10</v>
      </c>
      <c r="I587">
        <v>18.899999999999999</v>
      </c>
      <c r="J587" t="s">
        <v>14</v>
      </c>
      <c r="K587">
        <v>3.01</v>
      </c>
      <c r="L587" t="s">
        <v>52</v>
      </c>
      <c r="M587" s="8">
        <v>0.43</v>
      </c>
    </row>
    <row r="588" spans="1:13" x14ac:dyDescent="0.25">
      <c r="A588">
        <v>587</v>
      </c>
      <c r="B588">
        <v>6.3</v>
      </c>
      <c r="C588">
        <v>2.7</v>
      </c>
      <c r="D588">
        <v>8.5</v>
      </c>
      <c r="E588">
        <v>3.7</v>
      </c>
      <c r="F588">
        <v>2.8</v>
      </c>
      <c r="G588">
        <v>2.72</v>
      </c>
      <c r="H588" t="s">
        <v>8</v>
      </c>
      <c r="I588">
        <v>15.5</v>
      </c>
      <c r="J588" t="s">
        <v>13</v>
      </c>
      <c r="K588">
        <v>1.68</v>
      </c>
      <c r="L588" t="s">
        <v>52</v>
      </c>
      <c r="M588" s="8">
        <v>0.41</v>
      </c>
    </row>
    <row r="589" spans="1:13" x14ac:dyDescent="0.25">
      <c r="A589">
        <v>588</v>
      </c>
      <c r="B589">
        <v>8</v>
      </c>
      <c r="C589">
        <v>3.5</v>
      </c>
      <c r="D589">
        <v>9.6999999999999993</v>
      </c>
      <c r="E589">
        <v>0.3</v>
      </c>
      <c r="F589">
        <v>2.5</v>
      </c>
      <c r="G589">
        <v>3.02</v>
      </c>
      <c r="H589" t="s">
        <v>8</v>
      </c>
      <c r="I589">
        <v>14.3</v>
      </c>
      <c r="J589" t="s">
        <v>15</v>
      </c>
      <c r="K589">
        <v>3.24</v>
      </c>
      <c r="L589" t="s">
        <v>52</v>
      </c>
      <c r="M589" s="8">
        <v>0.56000000000000005</v>
      </c>
    </row>
    <row r="590" spans="1:13" x14ac:dyDescent="0.25">
      <c r="A590">
        <v>589</v>
      </c>
      <c r="B590">
        <v>5.8</v>
      </c>
      <c r="C590">
        <v>3.8</v>
      </c>
      <c r="D590">
        <v>8.6999999999999993</v>
      </c>
      <c r="E590">
        <v>5</v>
      </c>
      <c r="F590">
        <v>0.7</v>
      </c>
      <c r="G590">
        <v>2.95</v>
      </c>
      <c r="H590" t="s">
        <v>9</v>
      </c>
      <c r="I590">
        <v>15.299999999999999</v>
      </c>
      <c r="J590" t="s">
        <v>13</v>
      </c>
      <c r="K590">
        <v>2.2400000000000002</v>
      </c>
      <c r="L590" t="s">
        <v>52</v>
      </c>
      <c r="M590" s="8">
        <v>0.38</v>
      </c>
    </row>
    <row r="591" spans="1:13" x14ac:dyDescent="0.25">
      <c r="A591">
        <v>590</v>
      </c>
      <c r="B591">
        <v>8.5</v>
      </c>
      <c r="C591">
        <v>2.7</v>
      </c>
      <c r="D591">
        <v>7</v>
      </c>
      <c r="E591">
        <v>0.1</v>
      </c>
      <c r="F591">
        <v>5.7</v>
      </c>
      <c r="G591">
        <v>3.01</v>
      </c>
      <c r="H591" t="s">
        <v>10</v>
      </c>
      <c r="I591">
        <v>17</v>
      </c>
      <c r="J591" t="s">
        <v>15</v>
      </c>
      <c r="K591">
        <v>3.64</v>
      </c>
      <c r="L591" t="s">
        <v>52</v>
      </c>
      <c r="M591" s="8">
        <v>0.5</v>
      </c>
    </row>
    <row r="592" spans="1:13" x14ac:dyDescent="0.25">
      <c r="A592">
        <v>591</v>
      </c>
      <c r="B592">
        <v>7.9</v>
      </c>
      <c r="C592">
        <v>1</v>
      </c>
      <c r="D592">
        <v>7.3</v>
      </c>
      <c r="E592">
        <v>5.7</v>
      </c>
      <c r="F592">
        <v>2.1</v>
      </c>
      <c r="G592">
        <v>3.41</v>
      </c>
      <c r="H592" t="s">
        <v>8</v>
      </c>
      <c r="I592">
        <v>16.700000000000003</v>
      </c>
      <c r="J592" t="s">
        <v>15</v>
      </c>
      <c r="K592">
        <v>3.19</v>
      </c>
      <c r="L592" t="s">
        <v>52</v>
      </c>
      <c r="M592" s="8">
        <v>0.47</v>
      </c>
    </row>
    <row r="593" spans="1:13" x14ac:dyDescent="0.25">
      <c r="A593">
        <v>592</v>
      </c>
      <c r="B593">
        <v>5.9</v>
      </c>
      <c r="C593">
        <v>2.7</v>
      </c>
      <c r="D593">
        <v>9.9</v>
      </c>
      <c r="E593">
        <v>0.6</v>
      </c>
      <c r="F593">
        <v>4.9000000000000004</v>
      </c>
      <c r="G593">
        <v>2.82</v>
      </c>
      <c r="H593" t="s">
        <v>9</v>
      </c>
      <c r="I593">
        <v>14.100000000000001</v>
      </c>
      <c r="J593" t="s">
        <v>13</v>
      </c>
      <c r="K593">
        <v>2.36</v>
      </c>
      <c r="L593" t="s">
        <v>52</v>
      </c>
      <c r="M593" s="8">
        <v>0.42</v>
      </c>
    </row>
    <row r="594" spans="1:13" x14ac:dyDescent="0.25">
      <c r="A594">
        <v>593</v>
      </c>
      <c r="B594">
        <v>5</v>
      </c>
      <c r="C594">
        <v>1.7</v>
      </c>
      <c r="D594">
        <v>5.5</v>
      </c>
      <c r="E594">
        <v>4.5</v>
      </c>
      <c r="F594">
        <v>7.3</v>
      </c>
      <c r="G594">
        <v>2.72</v>
      </c>
      <c r="H594" t="s">
        <v>10</v>
      </c>
      <c r="I594">
        <v>18.5</v>
      </c>
      <c r="J594" t="s">
        <v>13</v>
      </c>
      <c r="K594">
        <v>2.2999999999999998</v>
      </c>
      <c r="L594" t="s">
        <v>52</v>
      </c>
      <c r="M594" s="8">
        <v>0.27</v>
      </c>
    </row>
    <row r="595" spans="1:13" x14ac:dyDescent="0.25">
      <c r="A595">
        <v>594</v>
      </c>
      <c r="B595">
        <v>6.3</v>
      </c>
      <c r="C595">
        <v>1.7</v>
      </c>
      <c r="D595">
        <v>8.6</v>
      </c>
      <c r="E595">
        <v>0.1</v>
      </c>
      <c r="F595">
        <v>7.3</v>
      </c>
      <c r="G595">
        <v>3.11</v>
      </c>
      <c r="H595" t="s">
        <v>8</v>
      </c>
      <c r="I595">
        <v>15.399999999999999</v>
      </c>
      <c r="J595" t="s">
        <v>15</v>
      </c>
      <c r="K595">
        <v>3.49</v>
      </c>
      <c r="L595" t="s">
        <v>52</v>
      </c>
      <c r="M595" s="8">
        <v>0.41</v>
      </c>
    </row>
    <row r="596" spans="1:13" x14ac:dyDescent="0.25">
      <c r="A596">
        <v>595</v>
      </c>
      <c r="B596">
        <v>7.9</v>
      </c>
      <c r="C596">
        <v>2.5</v>
      </c>
      <c r="D596">
        <v>8.1999999999999993</v>
      </c>
      <c r="E596">
        <v>1.3</v>
      </c>
      <c r="F596">
        <v>4.0999999999999996</v>
      </c>
      <c r="G596">
        <v>3.08</v>
      </c>
      <c r="H596" t="s">
        <v>8</v>
      </c>
      <c r="I596">
        <v>15.8</v>
      </c>
      <c r="J596" t="s">
        <v>15</v>
      </c>
      <c r="K596">
        <v>2.87</v>
      </c>
      <c r="L596" t="s">
        <v>52</v>
      </c>
      <c r="M596" s="8">
        <v>0.5</v>
      </c>
    </row>
    <row r="597" spans="1:13" x14ac:dyDescent="0.25">
      <c r="A597">
        <v>596</v>
      </c>
      <c r="B597">
        <v>6</v>
      </c>
      <c r="C597">
        <v>3.5</v>
      </c>
      <c r="D597">
        <v>8.6999999999999993</v>
      </c>
      <c r="E597">
        <v>0.1</v>
      </c>
      <c r="F597">
        <v>5.7</v>
      </c>
      <c r="G597">
        <v>2.95</v>
      </c>
      <c r="H597" t="s">
        <v>8</v>
      </c>
      <c r="I597">
        <v>15.3</v>
      </c>
      <c r="J597" t="s">
        <v>13</v>
      </c>
      <c r="K597">
        <v>2.72</v>
      </c>
      <c r="L597" t="s">
        <v>52</v>
      </c>
      <c r="M597" s="8">
        <v>0.39</v>
      </c>
    </row>
    <row r="598" spans="1:13" x14ac:dyDescent="0.25">
      <c r="A598">
        <v>597</v>
      </c>
      <c r="B598">
        <v>6.2</v>
      </c>
      <c r="C598">
        <v>0.9</v>
      </c>
      <c r="D598">
        <v>6.4</v>
      </c>
      <c r="E598">
        <v>1.5</v>
      </c>
      <c r="F598">
        <v>9</v>
      </c>
      <c r="G598">
        <v>2.92</v>
      </c>
      <c r="H598" t="s">
        <v>8</v>
      </c>
      <c r="I598">
        <v>17.600000000000001</v>
      </c>
      <c r="J598" t="s">
        <v>13</v>
      </c>
      <c r="K598">
        <v>3.88</v>
      </c>
      <c r="L598" t="s">
        <v>52</v>
      </c>
      <c r="M598" s="8">
        <v>0.35</v>
      </c>
    </row>
    <row r="599" spans="1:13" x14ac:dyDescent="0.25">
      <c r="A599">
        <v>598</v>
      </c>
      <c r="B599">
        <v>8.6999999999999993</v>
      </c>
      <c r="C599">
        <v>2.4</v>
      </c>
      <c r="D599">
        <v>8.4</v>
      </c>
      <c r="E599">
        <v>0.4</v>
      </c>
      <c r="F599">
        <v>4.0999999999999996</v>
      </c>
      <c r="G599">
        <v>3.16</v>
      </c>
      <c r="H599" t="s">
        <v>10</v>
      </c>
      <c r="I599">
        <v>15.6</v>
      </c>
      <c r="J599" t="s">
        <v>15</v>
      </c>
      <c r="K599">
        <v>3.54</v>
      </c>
      <c r="L599" t="s">
        <v>52</v>
      </c>
      <c r="M599" s="8">
        <v>0.56000000000000005</v>
      </c>
    </row>
    <row r="600" spans="1:13" x14ac:dyDescent="0.25">
      <c r="A600">
        <v>599</v>
      </c>
      <c r="B600">
        <v>9.8000000000000007</v>
      </c>
      <c r="C600">
        <v>3.4</v>
      </c>
      <c r="D600">
        <v>9</v>
      </c>
      <c r="E600">
        <v>1.5</v>
      </c>
      <c r="F600">
        <v>0.3</v>
      </c>
      <c r="G600">
        <v>3.49</v>
      </c>
      <c r="H600" t="s">
        <v>10</v>
      </c>
      <c r="I600">
        <v>15.000000000000002</v>
      </c>
      <c r="J600" t="s">
        <v>15</v>
      </c>
      <c r="K600">
        <v>4.2300000000000004</v>
      </c>
      <c r="L600" t="s">
        <v>52</v>
      </c>
      <c r="M600" s="8">
        <v>0.65</v>
      </c>
    </row>
    <row r="601" spans="1:13" x14ac:dyDescent="0.25">
      <c r="A601">
        <v>600</v>
      </c>
      <c r="B601">
        <v>6</v>
      </c>
      <c r="C601">
        <v>2.5</v>
      </c>
      <c r="D601">
        <v>8.6999999999999993</v>
      </c>
      <c r="E601">
        <v>4.4000000000000004</v>
      </c>
      <c r="F601">
        <v>2.4</v>
      </c>
      <c r="G601">
        <v>3.05</v>
      </c>
      <c r="H601" t="s">
        <v>8</v>
      </c>
      <c r="I601">
        <v>15.3</v>
      </c>
      <c r="J601" t="s">
        <v>15</v>
      </c>
      <c r="K601">
        <v>1.72</v>
      </c>
      <c r="L601" t="s">
        <v>52</v>
      </c>
      <c r="M601" s="8">
        <v>0.39</v>
      </c>
    </row>
    <row r="602" spans="1:13" x14ac:dyDescent="0.25">
      <c r="A602">
        <v>601</v>
      </c>
      <c r="B602">
        <v>7.6</v>
      </c>
      <c r="C602">
        <v>0.3</v>
      </c>
      <c r="D602">
        <v>6.9</v>
      </c>
      <c r="E602">
        <v>5.5</v>
      </c>
      <c r="F602">
        <v>3.7</v>
      </c>
      <c r="G602">
        <v>3.35</v>
      </c>
      <c r="H602" t="s">
        <v>8</v>
      </c>
      <c r="I602">
        <v>17.099999999999998</v>
      </c>
      <c r="J602" t="s">
        <v>15</v>
      </c>
      <c r="K602">
        <v>3.09</v>
      </c>
      <c r="L602" t="s">
        <v>52</v>
      </c>
      <c r="M602" s="8">
        <v>0.44</v>
      </c>
    </row>
    <row r="603" spans="1:13" x14ac:dyDescent="0.25">
      <c r="A603">
        <v>602</v>
      </c>
      <c r="B603">
        <v>6.3</v>
      </c>
      <c r="C603">
        <v>1.5</v>
      </c>
      <c r="D603">
        <v>9.5</v>
      </c>
      <c r="E603">
        <v>4</v>
      </c>
      <c r="F603">
        <v>2.7</v>
      </c>
      <c r="G603">
        <v>3.42</v>
      </c>
      <c r="H603" t="s">
        <v>8</v>
      </c>
      <c r="I603">
        <v>14.5</v>
      </c>
      <c r="J603" t="s">
        <v>15</v>
      </c>
      <c r="K603">
        <v>2.0499999999999998</v>
      </c>
      <c r="L603" t="s">
        <v>52</v>
      </c>
      <c r="M603" s="8">
        <v>0.43</v>
      </c>
    </row>
    <row r="604" spans="1:13" x14ac:dyDescent="0.25">
      <c r="A604">
        <v>603</v>
      </c>
      <c r="B604">
        <v>8.9</v>
      </c>
      <c r="C604">
        <v>1.8</v>
      </c>
      <c r="D604">
        <v>8.1999999999999993</v>
      </c>
      <c r="E604">
        <v>1.3</v>
      </c>
      <c r="F604">
        <v>3.8</v>
      </c>
      <c r="G604">
        <v>3.21</v>
      </c>
      <c r="H604" t="s">
        <v>10</v>
      </c>
      <c r="I604">
        <v>15.8</v>
      </c>
      <c r="J604" t="s">
        <v>15</v>
      </c>
      <c r="K604">
        <v>3.47</v>
      </c>
      <c r="L604" t="s">
        <v>52</v>
      </c>
      <c r="M604" s="8">
        <v>0.56000000000000005</v>
      </c>
    </row>
    <row r="605" spans="1:13" x14ac:dyDescent="0.25">
      <c r="A605">
        <v>604</v>
      </c>
      <c r="B605">
        <v>7.2</v>
      </c>
      <c r="C605">
        <v>2.6</v>
      </c>
      <c r="D605">
        <v>9.6999999999999993</v>
      </c>
      <c r="E605">
        <v>0.3</v>
      </c>
      <c r="F605">
        <v>4.2</v>
      </c>
      <c r="G605">
        <v>3.42</v>
      </c>
      <c r="H605" t="s">
        <v>8</v>
      </c>
      <c r="I605">
        <v>14.3</v>
      </c>
      <c r="J605" t="s">
        <v>15</v>
      </c>
      <c r="K605">
        <v>2.9</v>
      </c>
      <c r="L605" t="s">
        <v>52</v>
      </c>
      <c r="M605" s="8">
        <v>0.5</v>
      </c>
    </row>
    <row r="606" spans="1:13" x14ac:dyDescent="0.25">
      <c r="A606">
        <v>605</v>
      </c>
      <c r="B606">
        <v>9.1</v>
      </c>
      <c r="C606">
        <v>1.2</v>
      </c>
      <c r="D606">
        <v>7.2</v>
      </c>
      <c r="E606">
        <v>0.1</v>
      </c>
      <c r="F606">
        <v>6.4</v>
      </c>
      <c r="G606">
        <v>3.37</v>
      </c>
      <c r="H606" t="s">
        <v>10</v>
      </c>
      <c r="I606">
        <v>16.799999999999997</v>
      </c>
      <c r="J606" t="s">
        <v>15</v>
      </c>
      <c r="K606">
        <v>4.2699999999999996</v>
      </c>
      <c r="L606" t="s">
        <v>52</v>
      </c>
      <c r="M606" s="8">
        <v>0.54</v>
      </c>
    </row>
    <row r="607" spans="1:13" x14ac:dyDescent="0.25">
      <c r="A607">
        <v>606</v>
      </c>
      <c r="B607">
        <v>5.3</v>
      </c>
      <c r="C607">
        <v>2</v>
      </c>
      <c r="D607">
        <v>9.6</v>
      </c>
      <c r="E607">
        <v>0.6</v>
      </c>
      <c r="F607">
        <v>6.5</v>
      </c>
      <c r="G607">
        <v>2.41</v>
      </c>
      <c r="H607" t="s">
        <v>9</v>
      </c>
      <c r="I607">
        <v>14.399999999999999</v>
      </c>
      <c r="J607" t="s">
        <v>16</v>
      </c>
      <c r="K607">
        <v>2.76</v>
      </c>
      <c r="L607" t="s">
        <v>52</v>
      </c>
      <c r="M607" s="8">
        <v>0.37</v>
      </c>
    </row>
    <row r="608" spans="1:13" x14ac:dyDescent="0.25">
      <c r="A608">
        <v>607</v>
      </c>
      <c r="B608">
        <v>8.8000000000000007</v>
      </c>
      <c r="C608">
        <v>1.6</v>
      </c>
      <c r="D608">
        <v>8.3000000000000007</v>
      </c>
      <c r="E608">
        <v>1.4</v>
      </c>
      <c r="F608">
        <v>3.9</v>
      </c>
      <c r="G608">
        <v>3.26</v>
      </c>
      <c r="H608" t="s">
        <v>10</v>
      </c>
      <c r="I608">
        <v>15.700000000000001</v>
      </c>
      <c r="J608" t="s">
        <v>15</v>
      </c>
      <c r="K608">
        <v>3.44</v>
      </c>
      <c r="L608" t="s">
        <v>52</v>
      </c>
      <c r="M608" s="8">
        <v>0.56000000000000005</v>
      </c>
    </row>
    <row r="609" spans="1:13" x14ac:dyDescent="0.25">
      <c r="A609">
        <v>608</v>
      </c>
      <c r="B609">
        <v>5.4</v>
      </c>
      <c r="C609">
        <v>0.7</v>
      </c>
      <c r="D609">
        <v>8.3000000000000007</v>
      </c>
      <c r="E609">
        <v>5.3</v>
      </c>
      <c r="F609">
        <v>4.3</v>
      </c>
      <c r="G609">
        <v>2.75</v>
      </c>
      <c r="H609" t="s">
        <v>9</v>
      </c>
      <c r="I609">
        <v>15.7</v>
      </c>
      <c r="J609" t="s">
        <v>13</v>
      </c>
      <c r="K609">
        <v>2.21</v>
      </c>
      <c r="L609" t="s">
        <v>52</v>
      </c>
      <c r="M609" s="8">
        <v>0.34</v>
      </c>
    </row>
    <row r="610" spans="1:13" x14ac:dyDescent="0.25">
      <c r="A610">
        <v>609</v>
      </c>
      <c r="B610">
        <v>9.1</v>
      </c>
      <c r="C610">
        <v>2.7</v>
      </c>
      <c r="D610">
        <v>5.6</v>
      </c>
      <c r="E610">
        <v>1.7</v>
      </c>
      <c r="F610">
        <v>4.9000000000000004</v>
      </c>
      <c r="G610">
        <v>3.15</v>
      </c>
      <c r="H610" t="s">
        <v>10</v>
      </c>
      <c r="I610">
        <v>18.399999999999999</v>
      </c>
      <c r="J610" t="s">
        <v>15</v>
      </c>
      <c r="K610">
        <v>3.28</v>
      </c>
      <c r="L610" t="s">
        <v>52</v>
      </c>
      <c r="M610" s="8">
        <v>0.49</v>
      </c>
    </row>
    <row r="611" spans="1:13" x14ac:dyDescent="0.25">
      <c r="A611">
        <v>610</v>
      </c>
      <c r="B611">
        <v>7.6</v>
      </c>
      <c r="C611">
        <v>2.1</v>
      </c>
      <c r="D611">
        <v>6.8</v>
      </c>
      <c r="E611">
        <v>2.1</v>
      </c>
      <c r="F611">
        <v>5.4</v>
      </c>
      <c r="G611">
        <v>2.97</v>
      </c>
      <c r="H611" t="s">
        <v>8</v>
      </c>
      <c r="I611">
        <v>17.2</v>
      </c>
      <c r="J611" t="s">
        <v>13</v>
      </c>
      <c r="K611">
        <v>2.69</v>
      </c>
      <c r="L611" t="s">
        <v>52</v>
      </c>
      <c r="M611" s="8">
        <v>0.44</v>
      </c>
    </row>
    <row r="612" spans="1:13" x14ac:dyDescent="0.25">
      <c r="A612">
        <v>611</v>
      </c>
      <c r="B612">
        <v>9.1</v>
      </c>
      <c r="C612">
        <v>3.2</v>
      </c>
      <c r="D612">
        <v>6.5</v>
      </c>
      <c r="E612">
        <v>4.8</v>
      </c>
      <c r="F612">
        <v>0.4</v>
      </c>
      <c r="G612">
        <v>3.34</v>
      </c>
      <c r="H612" t="s">
        <v>10</v>
      </c>
      <c r="I612">
        <v>17.5</v>
      </c>
      <c r="J612" t="s">
        <v>15</v>
      </c>
      <c r="K612">
        <v>3.64</v>
      </c>
      <c r="L612" t="s">
        <v>52</v>
      </c>
      <c r="M612" s="8">
        <v>0.52</v>
      </c>
    </row>
    <row r="613" spans="1:13" x14ac:dyDescent="0.25">
      <c r="A613">
        <v>612</v>
      </c>
      <c r="B613">
        <v>6.8</v>
      </c>
      <c r="C613">
        <v>2</v>
      </c>
      <c r="D613">
        <v>9.6999999999999993</v>
      </c>
      <c r="E613">
        <v>4.8</v>
      </c>
      <c r="F613">
        <v>0.7</v>
      </c>
      <c r="G613">
        <v>3.09</v>
      </c>
      <c r="H613" t="s">
        <v>8</v>
      </c>
      <c r="I613">
        <v>14.3</v>
      </c>
      <c r="J613" t="s">
        <v>15</v>
      </c>
      <c r="K613">
        <v>2.75</v>
      </c>
      <c r="L613" t="s">
        <v>52</v>
      </c>
      <c r="M613" s="8">
        <v>0.48</v>
      </c>
    </row>
    <row r="614" spans="1:13" x14ac:dyDescent="0.25">
      <c r="A614">
        <v>613</v>
      </c>
      <c r="B614">
        <v>5.5</v>
      </c>
      <c r="C614">
        <v>1.6</v>
      </c>
      <c r="D614">
        <v>7.8</v>
      </c>
      <c r="E614">
        <v>3</v>
      </c>
      <c r="F614">
        <v>6.1</v>
      </c>
      <c r="G614">
        <v>2.9</v>
      </c>
      <c r="H614" t="s">
        <v>9</v>
      </c>
      <c r="I614">
        <v>16.2</v>
      </c>
      <c r="J614" t="s">
        <v>13</v>
      </c>
      <c r="K614">
        <v>2.11</v>
      </c>
      <c r="L614" t="s">
        <v>52</v>
      </c>
      <c r="M614" s="8">
        <v>0.34</v>
      </c>
    </row>
    <row r="615" spans="1:13" x14ac:dyDescent="0.25">
      <c r="A615">
        <v>614</v>
      </c>
      <c r="B615">
        <v>8.4</v>
      </c>
      <c r="C615">
        <v>3.4</v>
      </c>
      <c r="D615">
        <v>9.3000000000000007</v>
      </c>
      <c r="E615">
        <v>2.2000000000000002</v>
      </c>
      <c r="F615">
        <v>0.7</v>
      </c>
      <c r="G615">
        <v>3.2</v>
      </c>
      <c r="H615" t="s">
        <v>10</v>
      </c>
      <c r="I615">
        <v>14.7</v>
      </c>
      <c r="J615" t="s">
        <v>15</v>
      </c>
      <c r="K615">
        <v>3.34</v>
      </c>
      <c r="L615" t="s">
        <v>52</v>
      </c>
      <c r="M615" s="8">
        <v>0.56999999999999995</v>
      </c>
    </row>
    <row r="616" spans="1:13" x14ac:dyDescent="0.25">
      <c r="A616">
        <v>615</v>
      </c>
      <c r="B616">
        <v>7.2</v>
      </c>
      <c r="C616">
        <v>2.4</v>
      </c>
      <c r="D616">
        <v>5.8</v>
      </c>
      <c r="E616">
        <v>4</v>
      </c>
      <c r="F616">
        <v>4.5999999999999996</v>
      </c>
      <c r="G616">
        <v>3.19</v>
      </c>
      <c r="H616" t="s">
        <v>10</v>
      </c>
      <c r="I616">
        <v>18.2</v>
      </c>
      <c r="J616" t="s">
        <v>15</v>
      </c>
      <c r="K616">
        <v>2</v>
      </c>
      <c r="L616" t="s">
        <v>52</v>
      </c>
      <c r="M616" s="8">
        <v>0.4</v>
      </c>
    </row>
    <row r="617" spans="1:13" x14ac:dyDescent="0.25">
      <c r="A617">
        <v>616</v>
      </c>
      <c r="B617">
        <v>6.1</v>
      </c>
      <c r="C617">
        <v>0.5</v>
      </c>
      <c r="D617">
        <v>5.8</v>
      </c>
      <c r="E617">
        <v>0</v>
      </c>
      <c r="F617">
        <v>11.6</v>
      </c>
      <c r="G617">
        <v>2.73</v>
      </c>
      <c r="H617" t="s">
        <v>10</v>
      </c>
      <c r="I617">
        <v>18.2</v>
      </c>
      <c r="J617" t="s">
        <v>13</v>
      </c>
      <c r="K617">
        <v>5.45</v>
      </c>
      <c r="L617" t="s">
        <v>52</v>
      </c>
      <c r="M617" s="8">
        <v>0.34</v>
      </c>
    </row>
    <row r="618" spans="1:13" x14ac:dyDescent="0.25">
      <c r="A618">
        <v>617</v>
      </c>
      <c r="B618">
        <v>8.6</v>
      </c>
      <c r="C618">
        <v>2.9</v>
      </c>
      <c r="D618">
        <v>7.6</v>
      </c>
      <c r="E618">
        <v>0.8</v>
      </c>
      <c r="F618">
        <v>4.0999999999999996</v>
      </c>
      <c r="G618">
        <v>3.15</v>
      </c>
      <c r="H618" t="s">
        <v>10</v>
      </c>
      <c r="I618">
        <v>16.399999999999999</v>
      </c>
      <c r="J618" t="s">
        <v>15</v>
      </c>
      <c r="K618">
        <v>3.3</v>
      </c>
      <c r="L618" t="s">
        <v>52</v>
      </c>
      <c r="M618" s="8">
        <v>0.52</v>
      </c>
    </row>
    <row r="619" spans="1:13" x14ac:dyDescent="0.25">
      <c r="A619">
        <v>618</v>
      </c>
      <c r="B619">
        <v>5.5</v>
      </c>
      <c r="C619">
        <v>0.9</v>
      </c>
      <c r="D619">
        <v>7.6</v>
      </c>
      <c r="E619">
        <v>3.6</v>
      </c>
      <c r="F619">
        <v>6.4</v>
      </c>
      <c r="G619">
        <v>2.57</v>
      </c>
      <c r="H619" t="s">
        <v>9</v>
      </c>
      <c r="I619">
        <v>16.399999999999999</v>
      </c>
      <c r="J619" t="s">
        <v>13</v>
      </c>
      <c r="K619">
        <v>2.4300000000000002</v>
      </c>
      <c r="L619" t="s">
        <v>52</v>
      </c>
      <c r="M619" s="8">
        <v>0.34</v>
      </c>
    </row>
    <row r="620" spans="1:13" x14ac:dyDescent="0.25">
      <c r="A620">
        <v>619</v>
      </c>
      <c r="B620">
        <v>6.2</v>
      </c>
      <c r="C620">
        <v>0.2</v>
      </c>
      <c r="D620">
        <v>7</v>
      </c>
      <c r="E620">
        <v>1.4</v>
      </c>
      <c r="F620">
        <v>9.1999999999999993</v>
      </c>
      <c r="G620">
        <v>3.13</v>
      </c>
      <c r="H620" t="s">
        <v>8</v>
      </c>
      <c r="I620">
        <v>17</v>
      </c>
      <c r="J620" t="s">
        <v>15</v>
      </c>
      <c r="K620">
        <v>4.2</v>
      </c>
      <c r="L620" t="s">
        <v>52</v>
      </c>
      <c r="M620" s="8">
        <v>0.36</v>
      </c>
    </row>
    <row r="621" spans="1:13" x14ac:dyDescent="0.25">
      <c r="A621">
        <v>620</v>
      </c>
      <c r="B621">
        <v>7.1</v>
      </c>
      <c r="C621">
        <v>1.7</v>
      </c>
      <c r="D621">
        <v>7.7</v>
      </c>
      <c r="E621">
        <v>4.2</v>
      </c>
      <c r="F621">
        <v>3.3</v>
      </c>
      <c r="G621">
        <v>3.48</v>
      </c>
      <c r="H621" t="s">
        <v>8</v>
      </c>
      <c r="I621">
        <v>16.3</v>
      </c>
      <c r="J621" t="s">
        <v>15</v>
      </c>
      <c r="K621">
        <v>2.27</v>
      </c>
      <c r="L621" t="s">
        <v>52</v>
      </c>
      <c r="M621" s="8">
        <v>0.44</v>
      </c>
    </row>
    <row r="622" spans="1:13" x14ac:dyDescent="0.25">
      <c r="A622">
        <v>621</v>
      </c>
      <c r="B622">
        <v>8.5</v>
      </c>
      <c r="C622">
        <v>0.7</v>
      </c>
      <c r="D622">
        <v>7.5</v>
      </c>
      <c r="E622">
        <v>2.5</v>
      </c>
      <c r="F622">
        <v>4.8</v>
      </c>
      <c r="G622">
        <v>3.34</v>
      </c>
      <c r="H622" t="s">
        <v>10</v>
      </c>
      <c r="I622">
        <v>16.5</v>
      </c>
      <c r="J622" t="s">
        <v>15</v>
      </c>
      <c r="K622">
        <v>3.36</v>
      </c>
      <c r="L622" t="s">
        <v>52</v>
      </c>
      <c r="M622" s="8">
        <v>0.52</v>
      </c>
    </row>
    <row r="623" spans="1:13" x14ac:dyDescent="0.25">
      <c r="A623">
        <v>622</v>
      </c>
      <c r="B623">
        <v>7.7</v>
      </c>
      <c r="C623">
        <v>0.5</v>
      </c>
      <c r="D623">
        <v>8</v>
      </c>
      <c r="E623">
        <v>0.7</v>
      </c>
      <c r="F623">
        <v>7.1</v>
      </c>
      <c r="G623">
        <v>3.34</v>
      </c>
      <c r="H623" t="s">
        <v>8</v>
      </c>
      <c r="I623">
        <v>15.999999999999998</v>
      </c>
      <c r="J623" t="s">
        <v>15</v>
      </c>
      <c r="K623">
        <v>3.93</v>
      </c>
      <c r="L623" t="s">
        <v>52</v>
      </c>
      <c r="M623" s="8">
        <v>0.48</v>
      </c>
    </row>
    <row r="624" spans="1:13" x14ac:dyDescent="0.25">
      <c r="A624">
        <v>623</v>
      </c>
      <c r="B624">
        <v>6.7</v>
      </c>
      <c r="C624">
        <v>0.6</v>
      </c>
      <c r="D624">
        <v>8.5</v>
      </c>
      <c r="E624">
        <v>1.2</v>
      </c>
      <c r="F624">
        <v>7</v>
      </c>
      <c r="G624">
        <v>3.18</v>
      </c>
      <c r="H624" t="s">
        <v>8</v>
      </c>
      <c r="I624">
        <v>15.5</v>
      </c>
      <c r="J624" t="s">
        <v>15</v>
      </c>
      <c r="K624">
        <v>3.45</v>
      </c>
      <c r="L624" t="s">
        <v>52</v>
      </c>
      <c r="M624" s="8">
        <v>0.43</v>
      </c>
    </row>
    <row r="625" spans="1:13" x14ac:dyDescent="0.25">
      <c r="A625">
        <v>624</v>
      </c>
      <c r="B625">
        <v>6</v>
      </c>
      <c r="C625">
        <v>2</v>
      </c>
      <c r="D625">
        <v>7.1</v>
      </c>
      <c r="E625">
        <v>0.1</v>
      </c>
      <c r="F625">
        <v>8.8000000000000007</v>
      </c>
      <c r="G625">
        <v>2.85</v>
      </c>
      <c r="H625" t="s">
        <v>8</v>
      </c>
      <c r="I625">
        <v>16.899999999999999</v>
      </c>
      <c r="J625" t="s">
        <v>13</v>
      </c>
      <c r="K625">
        <v>3.92</v>
      </c>
      <c r="L625" t="s">
        <v>52</v>
      </c>
      <c r="M625" s="8">
        <v>0.36</v>
      </c>
    </row>
    <row r="626" spans="1:13" x14ac:dyDescent="0.25">
      <c r="A626">
        <v>625</v>
      </c>
      <c r="B626">
        <v>9</v>
      </c>
      <c r="C626">
        <v>0.3</v>
      </c>
      <c r="D626">
        <v>7.4</v>
      </c>
      <c r="E626">
        <v>3.4</v>
      </c>
      <c r="F626">
        <v>3.9</v>
      </c>
      <c r="G626">
        <v>3.64</v>
      </c>
      <c r="H626" t="s">
        <v>10</v>
      </c>
      <c r="I626">
        <v>16.600000000000001</v>
      </c>
      <c r="J626" t="s">
        <v>14</v>
      </c>
      <c r="K626">
        <v>3.6</v>
      </c>
      <c r="L626" t="s">
        <v>52</v>
      </c>
      <c r="M626" s="8">
        <v>0.54</v>
      </c>
    </row>
    <row r="627" spans="1:13" x14ac:dyDescent="0.25">
      <c r="A627">
        <v>626</v>
      </c>
      <c r="B627">
        <v>6.3</v>
      </c>
      <c r="C627">
        <v>0</v>
      </c>
      <c r="D627">
        <v>8.6</v>
      </c>
      <c r="E627">
        <v>3.2</v>
      </c>
      <c r="F627">
        <v>5.9</v>
      </c>
      <c r="G627">
        <v>3.14</v>
      </c>
      <c r="H627" t="s">
        <v>8</v>
      </c>
      <c r="I627">
        <v>15.4</v>
      </c>
      <c r="J627" t="s">
        <v>15</v>
      </c>
      <c r="K627">
        <v>2.91</v>
      </c>
      <c r="L627" t="s">
        <v>52</v>
      </c>
      <c r="M627" s="8">
        <v>0.41</v>
      </c>
    </row>
    <row r="628" spans="1:13" x14ac:dyDescent="0.25">
      <c r="A628">
        <v>627</v>
      </c>
      <c r="B628">
        <v>9.1999999999999993</v>
      </c>
      <c r="C628">
        <v>3.3</v>
      </c>
      <c r="D628">
        <v>9.1999999999999993</v>
      </c>
      <c r="E628">
        <v>1.1000000000000001</v>
      </c>
      <c r="F628">
        <v>1.2</v>
      </c>
      <c r="G628">
        <v>3.6</v>
      </c>
      <c r="H628" t="s">
        <v>10</v>
      </c>
      <c r="I628">
        <v>14.799999999999999</v>
      </c>
      <c r="J628" t="s">
        <v>14</v>
      </c>
      <c r="K628">
        <v>3.8</v>
      </c>
      <c r="L628" t="s">
        <v>52</v>
      </c>
      <c r="M628" s="8">
        <v>0.62</v>
      </c>
    </row>
    <row r="629" spans="1:13" x14ac:dyDescent="0.25">
      <c r="A629">
        <v>628</v>
      </c>
      <c r="B629">
        <v>7.3</v>
      </c>
      <c r="C629">
        <v>0.7</v>
      </c>
      <c r="D629">
        <v>9.3000000000000007</v>
      </c>
      <c r="E629">
        <v>5.3</v>
      </c>
      <c r="F629">
        <v>1.4</v>
      </c>
      <c r="G629">
        <v>2.97</v>
      </c>
      <c r="H629" t="s">
        <v>8</v>
      </c>
      <c r="I629">
        <v>14.700000000000001</v>
      </c>
      <c r="J629" t="s">
        <v>13</v>
      </c>
      <c r="K629">
        <v>3.15</v>
      </c>
      <c r="L629" t="s">
        <v>52</v>
      </c>
      <c r="M629" s="8">
        <v>0.5</v>
      </c>
    </row>
    <row r="630" spans="1:13" x14ac:dyDescent="0.25">
      <c r="A630">
        <v>629</v>
      </c>
      <c r="B630">
        <v>7.3</v>
      </c>
      <c r="C630">
        <v>0.3</v>
      </c>
      <c r="D630">
        <v>6.9</v>
      </c>
      <c r="E630">
        <v>4.8</v>
      </c>
      <c r="F630">
        <v>4.7</v>
      </c>
      <c r="G630">
        <v>3.09</v>
      </c>
      <c r="H630" t="s">
        <v>8</v>
      </c>
      <c r="I630">
        <v>17.099999999999998</v>
      </c>
      <c r="J630" t="s">
        <v>15</v>
      </c>
      <c r="K630">
        <v>2.91</v>
      </c>
      <c r="L630" t="s">
        <v>52</v>
      </c>
      <c r="M630" s="8">
        <v>0.43</v>
      </c>
    </row>
    <row r="631" spans="1:13" x14ac:dyDescent="0.25">
      <c r="A631">
        <v>630</v>
      </c>
      <c r="B631">
        <v>5.3</v>
      </c>
      <c r="C631">
        <v>3.5</v>
      </c>
      <c r="D631">
        <v>6.9</v>
      </c>
      <c r="E631">
        <v>3.3</v>
      </c>
      <c r="F631">
        <v>5</v>
      </c>
      <c r="G631">
        <v>2.81</v>
      </c>
      <c r="H631" t="s">
        <v>9</v>
      </c>
      <c r="I631">
        <v>17.100000000000001</v>
      </c>
      <c r="J631" t="s">
        <v>13</v>
      </c>
      <c r="K631">
        <v>1.02</v>
      </c>
      <c r="L631" t="s">
        <v>51</v>
      </c>
      <c r="M631" s="8">
        <v>0.31</v>
      </c>
    </row>
    <row r="632" spans="1:13" x14ac:dyDescent="0.25">
      <c r="A632">
        <v>631</v>
      </c>
      <c r="B632">
        <v>9.8000000000000007</v>
      </c>
      <c r="C632">
        <v>0.3</v>
      </c>
      <c r="D632">
        <v>8.1999999999999993</v>
      </c>
      <c r="E632">
        <v>0.4</v>
      </c>
      <c r="F632">
        <v>5.3</v>
      </c>
      <c r="G632">
        <v>3.71</v>
      </c>
      <c r="H632" t="s">
        <v>10</v>
      </c>
      <c r="I632">
        <v>15.8</v>
      </c>
      <c r="J632" t="s">
        <v>14</v>
      </c>
      <c r="K632">
        <v>4.54</v>
      </c>
      <c r="L632" t="s">
        <v>52</v>
      </c>
      <c r="M632" s="8">
        <v>0.62</v>
      </c>
    </row>
    <row r="633" spans="1:13" x14ac:dyDescent="0.25">
      <c r="A633">
        <v>632</v>
      </c>
      <c r="B633">
        <v>7.2</v>
      </c>
      <c r="C633">
        <v>4</v>
      </c>
      <c r="D633">
        <v>7.8</v>
      </c>
      <c r="E633">
        <v>1.6</v>
      </c>
      <c r="F633">
        <v>3.4</v>
      </c>
      <c r="G633">
        <v>2.98</v>
      </c>
      <c r="H633" t="s">
        <v>8</v>
      </c>
      <c r="I633">
        <v>16.2</v>
      </c>
      <c r="J633" t="s">
        <v>13</v>
      </c>
      <c r="K633">
        <v>2.33</v>
      </c>
      <c r="L633" t="s">
        <v>52</v>
      </c>
      <c r="M633" s="8">
        <v>0.44</v>
      </c>
    </row>
    <row r="634" spans="1:13" x14ac:dyDescent="0.25">
      <c r="A634">
        <v>633</v>
      </c>
      <c r="B634">
        <v>6.1</v>
      </c>
      <c r="C634">
        <v>1.4</v>
      </c>
      <c r="D634">
        <v>6.9</v>
      </c>
      <c r="E634">
        <v>0.4</v>
      </c>
      <c r="F634">
        <v>9.1999999999999993</v>
      </c>
      <c r="G634">
        <v>2.79</v>
      </c>
      <c r="H634" t="s">
        <v>8</v>
      </c>
      <c r="I634">
        <v>17.100000000000001</v>
      </c>
      <c r="J634" t="s">
        <v>13</v>
      </c>
      <c r="K634">
        <v>4.12</v>
      </c>
      <c r="L634" t="s">
        <v>52</v>
      </c>
      <c r="M634" s="8">
        <v>0.36</v>
      </c>
    </row>
    <row r="635" spans="1:13" x14ac:dyDescent="0.25">
      <c r="A635">
        <v>634</v>
      </c>
      <c r="B635">
        <v>8.6</v>
      </c>
      <c r="C635">
        <v>2.6</v>
      </c>
      <c r="D635">
        <v>8.5</v>
      </c>
      <c r="E635">
        <v>0</v>
      </c>
      <c r="F635">
        <v>4.3</v>
      </c>
      <c r="G635">
        <v>2.85</v>
      </c>
      <c r="H635" t="s">
        <v>10</v>
      </c>
      <c r="I635">
        <v>15.5</v>
      </c>
      <c r="J635" t="s">
        <v>13</v>
      </c>
      <c r="K635">
        <v>3.61</v>
      </c>
      <c r="L635" t="s">
        <v>52</v>
      </c>
      <c r="M635" s="8">
        <v>0.55000000000000004</v>
      </c>
    </row>
    <row r="636" spans="1:13" x14ac:dyDescent="0.25">
      <c r="A636">
        <v>635</v>
      </c>
      <c r="B636">
        <v>6.1</v>
      </c>
      <c r="C636">
        <v>2.6</v>
      </c>
      <c r="D636">
        <v>7.4</v>
      </c>
      <c r="E636">
        <v>0</v>
      </c>
      <c r="F636">
        <v>7.9</v>
      </c>
      <c r="G636">
        <v>3.03</v>
      </c>
      <c r="H636" t="s">
        <v>8</v>
      </c>
      <c r="I636">
        <v>16.600000000000001</v>
      </c>
      <c r="J636" t="s">
        <v>15</v>
      </c>
      <c r="K636">
        <v>3.54</v>
      </c>
      <c r="L636" t="s">
        <v>52</v>
      </c>
      <c r="M636" s="8">
        <v>0.37</v>
      </c>
    </row>
    <row r="637" spans="1:13" x14ac:dyDescent="0.25">
      <c r="A637">
        <v>636</v>
      </c>
      <c r="B637">
        <v>7.7</v>
      </c>
      <c r="C637">
        <v>0.3</v>
      </c>
      <c r="D637">
        <v>8.8000000000000007</v>
      </c>
      <c r="E637">
        <v>3.5</v>
      </c>
      <c r="F637">
        <v>3.7</v>
      </c>
      <c r="G637">
        <v>3.29</v>
      </c>
      <c r="H637" t="s">
        <v>8</v>
      </c>
      <c r="I637">
        <v>15.2</v>
      </c>
      <c r="J637" t="s">
        <v>15</v>
      </c>
      <c r="K637">
        <v>3.03</v>
      </c>
      <c r="L637" t="s">
        <v>52</v>
      </c>
      <c r="M637" s="8">
        <v>0.51</v>
      </c>
    </row>
    <row r="638" spans="1:13" x14ac:dyDescent="0.25">
      <c r="A638">
        <v>637</v>
      </c>
      <c r="B638">
        <v>8.9</v>
      </c>
      <c r="C638">
        <v>3</v>
      </c>
      <c r="D638">
        <v>9</v>
      </c>
      <c r="E638">
        <v>1.6</v>
      </c>
      <c r="F638">
        <v>1.5</v>
      </c>
      <c r="G638">
        <v>3.42</v>
      </c>
      <c r="H638" t="s">
        <v>10</v>
      </c>
      <c r="I638">
        <v>15</v>
      </c>
      <c r="J638" t="s">
        <v>15</v>
      </c>
      <c r="K638">
        <v>3.5</v>
      </c>
      <c r="L638" t="s">
        <v>52</v>
      </c>
      <c r="M638" s="8">
        <v>0.59</v>
      </c>
    </row>
    <row r="639" spans="1:13" x14ac:dyDescent="0.25">
      <c r="A639">
        <v>638</v>
      </c>
      <c r="B639">
        <v>8.1</v>
      </c>
      <c r="C639">
        <v>3</v>
      </c>
      <c r="D639">
        <v>5.8</v>
      </c>
      <c r="E639">
        <v>1.2</v>
      </c>
      <c r="F639">
        <v>5.9</v>
      </c>
      <c r="G639">
        <v>3.04</v>
      </c>
      <c r="H639" t="s">
        <v>10</v>
      </c>
      <c r="I639">
        <v>18.2</v>
      </c>
      <c r="J639" t="s">
        <v>15</v>
      </c>
      <c r="K639">
        <v>3.06</v>
      </c>
      <c r="L639" t="s">
        <v>52</v>
      </c>
      <c r="M639" s="8">
        <v>0.45</v>
      </c>
    </row>
    <row r="640" spans="1:13" x14ac:dyDescent="0.25">
      <c r="A640">
        <v>639</v>
      </c>
      <c r="B640">
        <v>9.5</v>
      </c>
      <c r="C640">
        <v>3</v>
      </c>
      <c r="D640">
        <v>9.5</v>
      </c>
      <c r="E640">
        <v>1.5</v>
      </c>
      <c r="F640">
        <v>0.5</v>
      </c>
      <c r="G640">
        <v>3.76</v>
      </c>
      <c r="H640" t="s">
        <v>10</v>
      </c>
      <c r="I640">
        <v>14.5</v>
      </c>
      <c r="J640" t="s">
        <v>14</v>
      </c>
      <c r="K640">
        <v>4.05</v>
      </c>
      <c r="L640" t="s">
        <v>52</v>
      </c>
      <c r="M640" s="8">
        <v>0.66</v>
      </c>
    </row>
    <row r="641" spans="1:13" x14ac:dyDescent="0.25">
      <c r="A641">
        <v>640</v>
      </c>
      <c r="B641">
        <v>9.4</v>
      </c>
      <c r="C641">
        <v>2.2999999999999998</v>
      </c>
      <c r="D641">
        <v>8.1999999999999993</v>
      </c>
      <c r="E641">
        <v>0.6</v>
      </c>
      <c r="F641">
        <v>3.5</v>
      </c>
      <c r="G641">
        <v>3.62</v>
      </c>
      <c r="H641" t="s">
        <v>10</v>
      </c>
      <c r="I641">
        <v>15.799999999999999</v>
      </c>
      <c r="J641" t="s">
        <v>14</v>
      </c>
      <c r="K641">
        <v>3.82</v>
      </c>
      <c r="L641" t="s">
        <v>52</v>
      </c>
      <c r="M641" s="8">
        <v>0.59</v>
      </c>
    </row>
    <row r="642" spans="1:13" x14ac:dyDescent="0.25">
      <c r="A642">
        <v>641</v>
      </c>
      <c r="B642">
        <v>7.4</v>
      </c>
      <c r="C642">
        <v>2.9</v>
      </c>
      <c r="D642">
        <v>6.4</v>
      </c>
      <c r="E642">
        <v>1.2</v>
      </c>
      <c r="F642">
        <v>6.1</v>
      </c>
      <c r="G642">
        <v>2.89</v>
      </c>
      <c r="H642" t="s">
        <v>8</v>
      </c>
      <c r="I642">
        <v>17.600000000000001</v>
      </c>
      <c r="J642" t="s">
        <v>13</v>
      </c>
      <c r="K642">
        <v>2.85</v>
      </c>
      <c r="L642" t="s">
        <v>52</v>
      </c>
      <c r="M642" s="8">
        <v>0.42</v>
      </c>
    </row>
    <row r="643" spans="1:13" x14ac:dyDescent="0.25">
      <c r="A643">
        <v>642</v>
      </c>
      <c r="B643">
        <v>6.1</v>
      </c>
      <c r="C643">
        <v>1.7</v>
      </c>
      <c r="D643">
        <v>9.5</v>
      </c>
      <c r="E643">
        <v>3</v>
      </c>
      <c r="F643">
        <v>3.7</v>
      </c>
      <c r="G643">
        <v>2.76</v>
      </c>
      <c r="H643" t="s">
        <v>8</v>
      </c>
      <c r="I643">
        <v>14.5</v>
      </c>
      <c r="J643" t="s">
        <v>13</v>
      </c>
      <c r="K643">
        <v>1.85</v>
      </c>
      <c r="L643" t="s">
        <v>52</v>
      </c>
      <c r="M643" s="8">
        <v>0.42</v>
      </c>
    </row>
    <row r="644" spans="1:13" x14ac:dyDescent="0.25">
      <c r="A644">
        <v>643</v>
      </c>
      <c r="B644">
        <v>5.9</v>
      </c>
      <c r="C644">
        <v>0.3</v>
      </c>
      <c r="D644">
        <v>8.5</v>
      </c>
      <c r="E644">
        <v>2.2999999999999998</v>
      </c>
      <c r="F644">
        <v>7</v>
      </c>
      <c r="G644">
        <v>2.99</v>
      </c>
      <c r="H644" t="s">
        <v>9</v>
      </c>
      <c r="I644">
        <v>15.5</v>
      </c>
      <c r="J644" t="s">
        <v>13</v>
      </c>
      <c r="K644">
        <v>3.12</v>
      </c>
      <c r="L644" t="s">
        <v>52</v>
      </c>
      <c r="M644" s="8">
        <v>0.38</v>
      </c>
    </row>
    <row r="645" spans="1:13" x14ac:dyDescent="0.25">
      <c r="A645">
        <v>644</v>
      </c>
      <c r="B645">
        <v>9</v>
      </c>
      <c r="C645">
        <v>1.1000000000000001</v>
      </c>
      <c r="D645">
        <v>8.5</v>
      </c>
      <c r="E645">
        <v>1.4</v>
      </c>
      <c r="F645">
        <v>4</v>
      </c>
      <c r="G645">
        <v>3.56</v>
      </c>
      <c r="H645" t="s">
        <v>10</v>
      </c>
      <c r="I645">
        <v>15.5</v>
      </c>
      <c r="J645" t="s">
        <v>14</v>
      </c>
      <c r="K645">
        <v>3.66</v>
      </c>
      <c r="L645" t="s">
        <v>52</v>
      </c>
      <c r="M645" s="8">
        <v>0.57999999999999996</v>
      </c>
    </row>
    <row r="646" spans="1:13" x14ac:dyDescent="0.25">
      <c r="A646">
        <v>645</v>
      </c>
      <c r="B646">
        <v>9.6999999999999993</v>
      </c>
      <c r="C646">
        <v>2.5</v>
      </c>
      <c r="D646">
        <v>6.6</v>
      </c>
      <c r="E646">
        <v>1.4</v>
      </c>
      <c r="F646">
        <v>3.8</v>
      </c>
      <c r="G646">
        <v>3.57</v>
      </c>
      <c r="H646" t="s">
        <v>10</v>
      </c>
      <c r="I646">
        <v>17.399999999999999</v>
      </c>
      <c r="J646" t="s">
        <v>14</v>
      </c>
      <c r="K646">
        <v>3.7</v>
      </c>
      <c r="L646" t="s">
        <v>52</v>
      </c>
      <c r="M646" s="8">
        <v>0.56000000000000005</v>
      </c>
    </row>
    <row r="647" spans="1:13" x14ac:dyDescent="0.25">
      <c r="A647">
        <v>646</v>
      </c>
      <c r="B647">
        <v>6.1</v>
      </c>
      <c r="C647">
        <v>2.4</v>
      </c>
      <c r="D647">
        <v>6.3</v>
      </c>
      <c r="E647">
        <v>4</v>
      </c>
      <c r="F647">
        <v>5.2</v>
      </c>
      <c r="G647">
        <v>2.73</v>
      </c>
      <c r="H647" t="s">
        <v>8</v>
      </c>
      <c r="I647">
        <v>17.7</v>
      </c>
      <c r="J647" t="s">
        <v>13</v>
      </c>
      <c r="K647">
        <v>1.6</v>
      </c>
      <c r="L647" t="s">
        <v>52</v>
      </c>
      <c r="M647" s="8">
        <v>0.34</v>
      </c>
    </row>
    <row r="648" spans="1:13" x14ac:dyDescent="0.25">
      <c r="A648">
        <v>647</v>
      </c>
      <c r="B648">
        <v>9.1</v>
      </c>
      <c r="C648">
        <v>3.1</v>
      </c>
      <c r="D648">
        <v>8.8000000000000007</v>
      </c>
      <c r="E648">
        <v>0.6</v>
      </c>
      <c r="F648">
        <v>2.4</v>
      </c>
      <c r="G648">
        <v>3.42</v>
      </c>
      <c r="H648" t="s">
        <v>10</v>
      </c>
      <c r="I648">
        <v>15.2</v>
      </c>
      <c r="J648" t="s">
        <v>15</v>
      </c>
      <c r="K648">
        <v>3.69</v>
      </c>
      <c r="L648" t="s">
        <v>52</v>
      </c>
      <c r="M648" s="8">
        <v>0.6</v>
      </c>
    </row>
    <row r="649" spans="1:13" x14ac:dyDescent="0.25">
      <c r="A649">
        <v>648</v>
      </c>
      <c r="B649">
        <v>6.8</v>
      </c>
      <c r="C649">
        <v>1.7</v>
      </c>
      <c r="D649">
        <v>5.2</v>
      </c>
      <c r="E649">
        <v>1.6</v>
      </c>
      <c r="F649">
        <v>8.6999999999999993</v>
      </c>
      <c r="G649">
        <v>2.91</v>
      </c>
      <c r="H649" t="s">
        <v>10</v>
      </c>
      <c r="I649">
        <v>18.799999999999997</v>
      </c>
      <c r="J649" t="s">
        <v>13</v>
      </c>
      <c r="K649">
        <v>3.61</v>
      </c>
      <c r="L649" t="s">
        <v>52</v>
      </c>
      <c r="M649" s="8">
        <v>0.36</v>
      </c>
    </row>
    <row r="650" spans="1:13" x14ac:dyDescent="0.25">
      <c r="A650">
        <v>649</v>
      </c>
      <c r="B650">
        <v>5.2</v>
      </c>
      <c r="C650">
        <v>3.5</v>
      </c>
      <c r="D650">
        <v>6.2</v>
      </c>
      <c r="E650">
        <v>3.3</v>
      </c>
      <c r="F650">
        <v>5.8</v>
      </c>
      <c r="G650">
        <v>2.8</v>
      </c>
      <c r="H650" t="s">
        <v>9</v>
      </c>
      <c r="I650">
        <v>17.8</v>
      </c>
      <c r="J650" t="s">
        <v>13</v>
      </c>
      <c r="K650">
        <v>1.24</v>
      </c>
      <c r="L650" t="s">
        <v>51</v>
      </c>
      <c r="M650" s="8">
        <v>0.28999999999999998</v>
      </c>
    </row>
    <row r="651" spans="1:13" x14ac:dyDescent="0.25">
      <c r="A651">
        <v>650</v>
      </c>
      <c r="B651">
        <v>6.6</v>
      </c>
      <c r="C651">
        <v>3.6</v>
      </c>
      <c r="D651">
        <v>9.4</v>
      </c>
      <c r="E651">
        <v>1.4</v>
      </c>
      <c r="F651">
        <v>3</v>
      </c>
      <c r="G651">
        <v>2.94</v>
      </c>
      <c r="H651" t="s">
        <v>8</v>
      </c>
      <c r="I651">
        <v>14.6</v>
      </c>
      <c r="J651" t="s">
        <v>13</v>
      </c>
      <c r="K651">
        <v>2.17</v>
      </c>
      <c r="L651" t="s">
        <v>52</v>
      </c>
      <c r="M651" s="8">
        <v>0.45</v>
      </c>
    </row>
    <row r="652" spans="1:13" x14ac:dyDescent="0.25">
      <c r="A652">
        <v>651</v>
      </c>
      <c r="B652">
        <v>9.5</v>
      </c>
      <c r="C652">
        <v>4</v>
      </c>
      <c r="D652">
        <v>9.1</v>
      </c>
      <c r="E652">
        <v>1.2</v>
      </c>
      <c r="F652">
        <v>0.2</v>
      </c>
      <c r="G652">
        <v>3.52</v>
      </c>
      <c r="H652" t="s">
        <v>10</v>
      </c>
      <c r="I652">
        <v>14.899999999999999</v>
      </c>
      <c r="J652" t="s">
        <v>14</v>
      </c>
      <c r="K652">
        <v>4.17</v>
      </c>
      <c r="L652" t="s">
        <v>52</v>
      </c>
      <c r="M652" s="8">
        <v>0.64</v>
      </c>
    </row>
    <row r="653" spans="1:13" x14ac:dyDescent="0.25">
      <c r="A653">
        <v>652</v>
      </c>
      <c r="B653">
        <v>5.3</v>
      </c>
      <c r="C653">
        <v>0.4</v>
      </c>
      <c r="D653">
        <v>10</v>
      </c>
      <c r="E653">
        <v>2</v>
      </c>
      <c r="F653">
        <v>6.3</v>
      </c>
      <c r="G653">
        <v>2.4900000000000002</v>
      </c>
      <c r="H653" t="s">
        <v>9</v>
      </c>
      <c r="I653">
        <v>14</v>
      </c>
      <c r="J653" t="s">
        <v>16</v>
      </c>
      <c r="K653">
        <v>2.77</v>
      </c>
      <c r="L653" t="s">
        <v>52</v>
      </c>
      <c r="M653" s="8">
        <v>0.38</v>
      </c>
    </row>
    <row r="654" spans="1:13" x14ac:dyDescent="0.25">
      <c r="A654">
        <v>653</v>
      </c>
      <c r="B654">
        <v>8.6999999999999993</v>
      </c>
      <c r="C654">
        <v>3.2</v>
      </c>
      <c r="D654">
        <v>9.3000000000000007</v>
      </c>
      <c r="E654">
        <v>2.8</v>
      </c>
      <c r="F654">
        <v>0</v>
      </c>
      <c r="G654">
        <v>3.1</v>
      </c>
      <c r="H654" t="s">
        <v>10</v>
      </c>
      <c r="I654">
        <v>14.7</v>
      </c>
      <c r="J654" t="s">
        <v>15</v>
      </c>
      <c r="K654">
        <v>3.64</v>
      </c>
      <c r="L654" t="s">
        <v>52</v>
      </c>
      <c r="M654" s="8">
        <v>0.59</v>
      </c>
    </row>
    <row r="655" spans="1:13" x14ac:dyDescent="0.25">
      <c r="A655">
        <v>654</v>
      </c>
      <c r="B655">
        <v>5.0999999999999996</v>
      </c>
      <c r="C655">
        <v>1.4</v>
      </c>
      <c r="D655">
        <v>8.9</v>
      </c>
      <c r="E655">
        <v>3.4</v>
      </c>
      <c r="F655">
        <v>5.2</v>
      </c>
      <c r="G655">
        <v>2.72</v>
      </c>
      <c r="H655" t="s">
        <v>9</v>
      </c>
      <c r="I655">
        <v>15.100000000000001</v>
      </c>
      <c r="J655" t="s">
        <v>13</v>
      </c>
      <c r="K655">
        <v>1.79</v>
      </c>
      <c r="L655" t="s">
        <v>52</v>
      </c>
      <c r="M655" s="8">
        <v>0.34</v>
      </c>
    </row>
    <row r="656" spans="1:13" x14ac:dyDescent="0.25">
      <c r="A656">
        <v>655</v>
      </c>
      <c r="B656">
        <v>6.6</v>
      </c>
      <c r="C656">
        <v>2.6</v>
      </c>
      <c r="D656">
        <v>6.2</v>
      </c>
      <c r="E656">
        <v>0.1</v>
      </c>
      <c r="F656">
        <v>8.5</v>
      </c>
      <c r="G656">
        <v>3.11</v>
      </c>
      <c r="H656" t="s">
        <v>8</v>
      </c>
      <c r="I656">
        <v>17.799999999999997</v>
      </c>
      <c r="J656" t="s">
        <v>15</v>
      </c>
      <c r="K656">
        <v>3.8</v>
      </c>
      <c r="L656" t="s">
        <v>52</v>
      </c>
      <c r="M656" s="8">
        <v>0.37</v>
      </c>
    </row>
    <row r="657" spans="1:13" x14ac:dyDescent="0.25">
      <c r="A657">
        <v>656</v>
      </c>
      <c r="B657">
        <v>8.8000000000000007</v>
      </c>
      <c r="C657">
        <v>0.2</v>
      </c>
      <c r="D657">
        <v>9.1999999999999993</v>
      </c>
      <c r="E657">
        <v>3.6</v>
      </c>
      <c r="F657">
        <v>2.2000000000000002</v>
      </c>
      <c r="G657">
        <v>3.59</v>
      </c>
      <c r="H657" t="s">
        <v>10</v>
      </c>
      <c r="I657">
        <v>14.8</v>
      </c>
      <c r="J657" t="s">
        <v>14</v>
      </c>
      <c r="K657">
        <v>3.68</v>
      </c>
      <c r="L657" t="s">
        <v>52</v>
      </c>
      <c r="M657" s="8">
        <v>0.59</v>
      </c>
    </row>
    <row r="658" spans="1:13" x14ac:dyDescent="0.25">
      <c r="A658">
        <v>657</v>
      </c>
      <c r="B658">
        <v>7.8</v>
      </c>
      <c r="C658">
        <v>2.5</v>
      </c>
      <c r="D658">
        <v>9.3000000000000007</v>
      </c>
      <c r="E658">
        <v>2.6</v>
      </c>
      <c r="F658">
        <v>1.8</v>
      </c>
      <c r="G658">
        <v>3.2</v>
      </c>
      <c r="H658" t="s">
        <v>8</v>
      </c>
      <c r="I658">
        <v>14.700000000000001</v>
      </c>
      <c r="J658" t="s">
        <v>15</v>
      </c>
      <c r="K658">
        <v>2.77</v>
      </c>
      <c r="L658" t="s">
        <v>52</v>
      </c>
      <c r="M658" s="8">
        <v>0.53</v>
      </c>
    </row>
    <row r="659" spans="1:13" x14ac:dyDescent="0.25">
      <c r="A659">
        <v>658</v>
      </c>
      <c r="B659">
        <v>8.8000000000000007</v>
      </c>
      <c r="C659">
        <v>1.8</v>
      </c>
      <c r="D659">
        <v>8.5</v>
      </c>
      <c r="E659">
        <v>1.9</v>
      </c>
      <c r="F659">
        <v>3</v>
      </c>
      <c r="G659">
        <v>3.32</v>
      </c>
      <c r="H659" t="s">
        <v>10</v>
      </c>
      <c r="I659">
        <v>15.500000000000002</v>
      </c>
      <c r="J659" t="s">
        <v>15</v>
      </c>
      <c r="K659">
        <v>3.33</v>
      </c>
      <c r="L659" t="s">
        <v>52</v>
      </c>
      <c r="M659" s="8">
        <v>0.56999999999999995</v>
      </c>
    </row>
    <row r="660" spans="1:13" x14ac:dyDescent="0.25">
      <c r="A660">
        <v>659</v>
      </c>
      <c r="B660">
        <v>6.1</v>
      </c>
      <c r="C660">
        <v>2.4</v>
      </c>
      <c r="D660">
        <v>9.6</v>
      </c>
      <c r="E660">
        <v>5.5</v>
      </c>
      <c r="F660">
        <v>0.4</v>
      </c>
      <c r="G660">
        <v>2.99</v>
      </c>
      <c r="H660" t="s">
        <v>8</v>
      </c>
      <c r="I660">
        <v>14.4</v>
      </c>
      <c r="J660" t="s">
        <v>13</v>
      </c>
      <c r="K660">
        <v>2.68</v>
      </c>
      <c r="L660" t="s">
        <v>52</v>
      </c>
      <c r="M660" s="8">
        <v>0.42</v>
      </c>
    </row>
    <row r="661" spans="1:13" x14ac:dyDescent="0.25">
      <c r="A661">
        <v>660</v>
      </c>
      <c r="B661">
        <v>6.1</v>
      </c>
      <c r="C661">
        <v>4</v>
      </c>
      <c r="D661">
        <v>9.9</v>
      </c>
      <c r="E661">
        <v>2.6</v>
      </c>
      <c r="F661">
        <v>1.4</v>
      </c>
      <c r="G661">
        <v>2.4900000000000002</v>
      </c>
      <c r="H661" t="s">
        <v>8</v>
      </c>
      <c r="I661">
        <v>14.1</v>
      </c>
      <c r="J661" t="s">
        <v>16</v>
      </c>
      <c r="K661">
        <v>2.02</v>
      </c>
      <c r="L661" t="s">
        <v>52</v>
      </c>
      <c r="M661" s="8">
        <v>0.43</v>
      </c>
    </row>
    <row r="662" spans="1:13" x14ac:dyDescent="0.25">
      <c r="A662">
        <v>661</v>
      </c>
      <c r="B662">
        <v>9</v>
      </c>
      <c r="C662">
        <v>2.9</v>
      </c>
      <c r="D662">
        <v>8</v>
      </c>
      <c r="E662">
        <v>0.2</v>
      </c>
      <c r="F662">
        <v>3.9</v>
      </c>
      <c r="G662">
        <v>3.74</v>
      </c>
      <c r="H662" t="s">
        <v>10</v>
      </c>
      <c r="I662">
        <v>16</v>
      </c>
      <c r="J662" t="s">
        <v>14</v>
      </c>
      <c r="K662">
        <v>3.68</v>
      </c>
      <c r="L662" t="s">
        <v>52</v>
      </c>
      <c r="M662" s="8">
        <v>0.56000000000000005</v>
      </c>
    </row>
    <row r="663" spans="1:13" x14ac:dyDescent="0.25">
      <c r="A663">
        <v>662</v>
      </c>
      <c r="B663">
        <v>8.4</v>
      </c>
      <c r="C663">
        <v>1.5</v>
      </c>
      <c r="D663">
        <v>9.6999999999999993</v>
      </c>
      <c r="E663">
        <v>0.7</v>
      </c>
      <c r="F663">
        <v>3.7</v>
      </c>
      <c r="G663">
        <v>3.16</v>
      </c>
      <c r="H663" t="s">
        <v>10</v>
      </c>
      <c r="I663">
        <v>14.3</v>
      </c>
      <c r="J663" t="s">
        <v>15</v>
      </c>
      <c r="K663">
        <v>3.46</v>
      </c>
      <c r="L663" t="s">
        <v>52</v>
      </c>
      <c r="M663" s="8">
        <v>0.59</v>
      </c>
    </row>
    <row r="664" spans="1:13" x14ac:dyDescent="0.25">
      <c r="A664">
        <v>663</v>
      </c>
      <c r="B664">
        <v>7.5</v>
      </c>
      <c r="C664">
        <v>2.8</v>
      </c>
      <c r="D664">
        <v>8.5</v>
      </c>
      <c r="E664">
        <v>3.4</v>
      </c>
      <c r="F664">
        <v>1.8</v>
      </c>
      <c r="G664">
        <v>2.98</v>
      </c>
      <c r="H664" t="s">
        <v>8</v>
      </c>
      <c r="I664">
        <v>15.500000000000002</v>
      </c>
      <c r="J664" t="s">
        <v>13</v>
      </c>
      <c r="K664">
        <v>2.5099999999999998</v>
      </c>
      <c r="L664" t="s">
        <v>52</v>
      </c>
      <c r="M664" s="8">
        <v>0.48</v>
      </c>
    </row>
    <row r="665" spans="1:13" x14ac:dyDescent="0.25">
      <c r="A665">
        <v>664</v>
      </c>
      <c r="B665">
        <v>8.1999999999999993</v>
      </c>
      <c r="C665">
        <v>2.4</v>
      </c>
      <c r="D665">
        <v>5.9</v>
      </c>
      <c r="E665">
        <v>4.2</v>
      </c>
      <c r="F665">
        <v>3.3</v>
      </c>
      <c r="G665">
        <v>3.13</v>
      </c>
      <c r="H665" t="s">
        <v>10</v>
      </c>
      <c r="I665">
        <v>18.100000000000001</v>
      </c>
      <c r="J665" t="s">
        <v>15</v>
      </c>
      <c r="K665">
        <v>2.56</v>
      </c>
      <c r="L665" t="s">
        <v>52</v>
      </c>
      <c r="M665" s="8">
        <v>0.45</v>
      </c>
    </row>
    <row r="666" spans="1:13" x14ac:dyDescent="0.25">
      <c r="A666">
        <v>665</v>
      </c>
      <c r="B666">
        <v>7.3</v>
      </c>
      <c r="C666">
        <v>2.7</v>
      </c>
      <c r="D666">
        <v>9.1999999999999993</v>
      </c>
      <c r="E666">
        <v>0.8</v>
      </c>
      <c r="F666">
        <v>4</v>
      </c>
      <c r="G666">
        <v>3.41</v>
      </c>
      <c r="H666" t="s">
        <v>8</v>
      </c>
      <c r="I666">
        <v>14.8</v>
      </c>
      <c r="J666" t="s">
        <v>15</v>
      </c>
      <c r="K666">
        <v>2.74</v>
      </c>
      <c r="L666" t="s">
        <v>52</v>
      </c>
      <c r="M666" s="8">
        <v>0.49</v>
      </c>
    </row>
    <row r="667" spans="1:13" x14ac:dyDescent="0.25">
      <c r="A667">
        <v>666</v>
      </c>
      <c r="B667">
        <v>9.1999999999999993</v>
      </c>
      <c r="C667">
        <v>3.2</v>
      </c>
      <c r="D667">
        <v>9.8000000000000007</v>
      </c>
      <c r="E667">
        <v>1</v>
      </c>
      <c r="F667">
        <v>0.8</v>
      </c>
      <c r="G667">
        <v>3.55</v>
      </c>
      <c r="H667" t="s">
        <v>10</v>
      </c>
      <c r="I667">
        <v>14.2</v>
      </c>
      <c r="J667" t="s">
        <v>14</v>
      </c>
      <c r="K667">
        <v>3.92</v>
      </c>
      <c r="L667" t="s">
        <v>52</v>
      </c>
      <c r="M667" s="8">
        <v>0.65</v>
      </c>
    </row>
    <row r="668" spans="1:13" x14ac:dyDescent="0.25">
      <c r="A668">
        <v>667</v>
      </c>
      <c r="B668">
        <v>7.4</v>
      </c>
      <c r="C668">
        <v>1.6</v>
      </c>
      <c r="D668">
        <v>5.8</v>
      </c>
      <c r="E668">
        <v>3.4</v>
      </c>
      <c r="F668">
        <v>5.8</v>
      </c>
      <c r="G668">
        <v>3.19</v>
      </c>
      <c r="H668" t="s">
        <v>10</v>
      </c>
      <c r="I668">
        <v>18.2</v>
      </c>
      <c r="J668" t="s">
        <v>15</v>
      </c>
      <c r="K668">
        <v>2.56</v>
      </c>
      <c r="L668" t="s">
        <v>52</v>
      </c>
      <c r="M668" s="8">
        <v>0.41</v>
      </c>
    </row>
    <row r="669" spans="1:13" x14ac:dyDescent="0.25">
      <c r="A669">
        <v>668</v>
      </c>
      <c r="B669">
        <v>7.9</v>
      </c>
      <c r="C669">
        <v>2.4</v>
      </c>
      <c r="D669">
        <v>6.8</v>
      </c>
      <c r="E669">
        <v>0.3</v>
      </c>
      <c r="F669">
        <v>6.6</v>
      </c>
      <c r="G669">
        <v>3.14</v>
      </c>
      <c r="H669" t="s">
        <v>8</v>
      </c>
      <c r="I669">
        <v>17.200000000000003</v>
      </c>
      <c r="J669" t="s">
        <v>15</v>
      </c>
      <c r="K669">
        <v>3.55</v>
      </c>
      <c r="L669" t="s">
        <v>52</v>
      </c>
      <c r="M669" s="8">
        <v>0.46</v>
      </c>
    </row>
    <row r="670" spans="1:13" x14ac:dyDescent="0.25">
      <c r="A670">
        <v>669</v>
      </c>
      <c r="B670">
        <v>5.2</v>
      </c>
      <c r="C670">
        <v>1.7</v>
      </c>
      <c r="D670">
        <v>5.4</v>
      </c>
      <c r="E670">
        <v>3.6</v>
      </c>
      <c r="F670">
        <v>8.1</v>
      </c>
      <c r="G670">
        <v>2.5499999999999998</v>
      </c>
      <c r="H670" t="s">
        <v>10</v>
      </c>
      <c r="I670">
        <v>18.600000000000001</v>
      </c>
      <c r="J670" t="s">
        <v>13</v>
      </c>
      <c r="K670">
        <v>2.71</v>
      </c>
      <c r="L670" t="s">
        <v>52</v>
      </c>
      <c r="M670" s="8">
        <v>0.28000000000000003</v>
      </c>
    </row>
    <row r="671" spans="1:13" x14ac:dyDescent="0.25">
      <c r="A671">
        <v>670</v>
      </c>
      <c r="B671">
        <v>9.3000000000000007</v>
      </c>
      <c r="C671">
        <v>3.5</v>
      </c>
      <c r="D671">
        <v>6</v>
      </c>
      <c r="E671">
        <v>3.8</v>
      </c>
      <c r="F671">
        <v>1.4</v>
      </c>
      <c r="G671">
        <v>3.52</v>
      </c>
      <c r="H671" t="s">
        <v>10</v>
      </c>
      <c r="I671">
        <v>18</v>
      </c>
      <c r="J671" t="s">
        <v>14</v>
      </c>
      <c r="K671">
        <v>3.37</v>
      </c>
      <c r="L671" t="s">
        <v>52</v>
      </c>
      <c r="M671" s="8">
        <v>0.52</v>
      </c>
    </row>
    <row r="672" spans="1:13" x14ac:dyDescent="0.25">
      <c r="A672">
        <v>671</v>
      </c>
      <c r="B672">
        <v>6.4</v>
      </c>
      <c r="C672">
        <v>3.2</v>
      </c>
      <c r="D672">
        <v>10</v>
      </c>
      <c r="E672">
        <v>0.1</v>
      </c>
      <c r="F672">
        <v>4.3</v>
      </c>
      <c r="G672">
        <v>3.01</v>
      </c>
      <c r="H672" t="s">
        <v>8</v>
      </c>
      <c r="I672">
        <v>14</v>
      </c>
      <c r="J672" t="s">
        <v>15</v>
      </c>
      <c r="K672">
        <v>2.63</v>
      </c>
      <c r="L672" t="s">
        <v>52</v>
      </c>
      <c r="M672" s="8">
        <v>0.46</v>
      </c>
    </row>
    <row r="673" spans="1:13" x14ac:dyDescent="0.25">
      <c r="A673">
        <v>672</v>
      </c>
      <c r="B673">
        <v>9.9</v>
      </c>
      <c r="C673">
        <v>1.9</v>
      </c>
      <c r="D673">
        <v>9.1999999999999993</v>
      </c>
      <c r="E673">
        <v>0.2</v>
      </c>
      <c r="F673">
        <v>2.8</v>
      </c>
      <c r="G673">
        <v>3.65</v>
      </c>
      <c r="H673" t="s">
        <v>10</v>
      </c>
      <c r="I673">
        <v>14.8</v>
      </c>
      <c r="J673" t="s">
        <v>14</v>
      </c>
      <c r="K673">
        <v>4.2699999999999996</v>
      </c>
      <c r="L673" t="s">
        <v>52</v>
      </c>
      <c r="M673" s="8">
        <v>0.67</v>
      </c>
    </row>
    <row r="674" spans="1:13" x14ac:dyDescent="0.25">
      <c r="A674">
        <v>673</v>
      </c>
      <c r="B674">
        <v>6.7</v>
      </c>
      <c r="C674">
        <v>0.3</v>
      </c>
      <c r="D674">
        <v>9.9</v>
      </c>
      <c r="E674">
        <v>4.9000000000000004</v>
      </c>
      <c r="F674">
        <v>2.2000000000000002</v>
      </c>
      <c r="G674">
        <v>2.96</v>
      </c>
      <c r="H674" t="s">
        <v>8</v>
      </c>
      <c r="I674">
        <v>14.100000000000001</v>
      </c>
      <c r="J674" t="s">
        <v>13</v>
      </c>
      <c r="K674">
        <v>2.84</v>
      </c>
      <c r="L674" t="s">
        <v>52</v>
      </c>
      <c r="M674" s="8">
        <v>0.48</v>
      </c>
    </row>
    <row r="675" spans="1:13" x14ac:dyDescent="0.25">
      <c r="A675">
        <v>674</v>
      </c>
      <c r="B675">
        <v>5.4</v>
      </c>
      <c r="C675">
        <v>0.8</v>
      </c>
      <c r="D675">
        <v>6.1</v>
      </c>
      <c r="E675">
        <v>2.8</v>
      </c>
      <c r="F675">
        <v>8.9</v>
      </c>
      <c r="G675">
        <v>2.66</v>
      </c>
      <c r="H675" t="s">
        <v>9</v>
      </c>
      <c r="I675">
        <v>17.899999999999999</v>
      </c>
      <c r="J675" t="s">
        <v>13</v>
      </c>
      <c r="K675">
        <v>3.5</v>
      </c>
      <c r="L675" t="s">
        <v>52</v>
      </c>
      <c r="M675" s="8">
        <v>0.3</v>
      </c>
    </row>
    <row r="676" spans="1:13" x14ac:dyDescent="0.25">
      <c r="A676">
        <v>675</v>
      </c>
      <c r="B676">
        <v>6.3</v>
      </c>
      <c r="C676">
        <v>0.4</v>
      </c>
      <c r="D676">
        <v>5.8</v>
      </c>
      <c r="E676">
        <v>0.9</v>
      </c>
      <c r="F676">
        <v>10.6</v>
      </c>
      <c r="G676">
        <v>2.93</v>
      </c>
      <c r="H676" t="s">
        <v>10</v>
      </c>
      <c r="I676">
        <v>18.2</v>
      </c>
      <c r="J676" t="s">
        <v>13</v>
      </c>
      <c r="K676">
        <v>4.84</v>
      </c>
      <c r="L676" t="s">
        <v>52</v>
      </c>
      <c r="M676" s="8">
        <v>0.35</v>
      </c>
    </row>
    <row r="677" spans="1:13" x14ac:dyDescent="0.25">
      <c r="A677">
        <v>676</v>
      </c>
      <c r="B677">
        <v>6.4</v>
      </c>
      <c r="C677">
        <v>3.2</v>
      </c>
      <c r="D677">
        <v>6.6</v>
      </c>
      <c r="E677">
        <v>1.8</v>
      </c>
      <c r="F677">
        <v>6</v>
      </c>
      <c r="G677">
        <v>3.06</v>
      </c>
      <c r="H677" t="s">
        <v>8</v>
      </c>
      <c r="I677">
        <v>17.400000000000002</v>
      </c>
      <c r="J677" t="s">
        <v>15</v>
      </c>
      <c r="K677">
        <v>2.2200000000000002</v>
      </c>
      <c r="L677" t="s">
        <v>52</v>
      </c>
      <c r="M677" s="8">
        <v>0.37</v>
      </c>
    </row>
    <row r="678" spans="1:13" x14ac:dyDescent="0.25">
      <c r="A678">
        <v>677</v>
      </c>
      <c r="B678">
        <v>6.2</v>
      </c>
      <c r="C678">
        <v>0.5</v>
      </c>
      <c r="D678">
        <v>6.3</v>
      </c>
      <c r="E678">
        <v>2.1</v>
      </c>
      <c r="F678">
        <v>8.9</v>
      </c>
      <c r="G678">
        <v>2.84</v>
      </c>
      <c r="H678" t="s">
        <v>8</v>
      </c>
      <c r="I678">
        <v>17.700000000000003</v>
      </c>
      <c r="J678" t="s">
        <v>13</v>
      </c>
      <c r="K678">
        <v>3.83</v>
      </c>
      <c r="L678" t="s">
        <v>52</v>
      </c>
      <c r="M678" s="8">
        <v>0.35</v>
      </c>
    </row>
    <row r="679" spans="1:13" x14ac:dyDescent="0.25">
      <c r="A679">
        <v>678</v>
      </c>
      <c r="B679">
        <v>6.1</v>
      </c>
      <c r="C679">
        <v>3.2</v>
      </c>
      <c r="D679">
        <v>5.7</v>
      </c>
      <c r="E679">
        <v>2.1</v>
      </c>
      <c r="F679">
        <v>6.9</v>
      </c>
      <c r="G679">
        <v>2.95</v>
      </c>
      <c r="H679" t="s">
        <v>10</v>
      </c>
      <c r="I679">
        <v>18.3</v>
      </c>
      <c r="J679" t="s">
        <v>13</v>
      </c>
      <c r="K679">
        <v>2.29</v>
      </c>
      <c r="L679" t="s">
        <v>52</v>
      </c>
      <c r="M679" s="8">
        <v>0.33</v>
      </c>
    </row>
    <row r="680" spans="1:13" x14ac:dyDescent="0.25">
      <c r="A680">
        <v>679</v>
      </c>
      <c r="B680">
        <v>9.3000000000000007</v>
      </c>
      <c r="C680">
        <v>0.6</v>
      </c>
      <c r="D680">
        <v>5.4</v>
      </c>
      <c r="E680">
        <v>2.9</v>
      </c>
      <c r="F680">
        <v>5.8</v>
      </c>
      <c r="G680">
        <v>3.51</v>
      </c>
      <c r="H680" t="s">
        <v>10</v>
      </c>
      <c r="I680">
        <v>18.600000000000001</v>
      </c>
      <c r="J680" t="s">
        <v>14</v>
      </c>
      <c r="K680">
        <v>3.76</v>
      </c>
      <c r="L680" t="s">
        <v>52</v>
      </c>
      <c r="M680" s="8">
        <v>0.5</v>
      </c>
    </row>
    <row r="681" spans="1:13" x14ac:dyDescent="0.25">
      <c r="A681">
        <v>680</v>
      </c>
      <c r="B681">
        <v>9</v>
      </c>
      <c r="C681">
        <v>0.5</v>
      </c>
      <c r="D681">
        <v>7.9</v>
      </c>
      <c r="E681">
        <v>3</v>
      </c>
      <c r="F681">
        <v>3.6</v>
      </c>
      <c r="G681">
        <v>2.99</v>
      </c>
      <c r="H681" t="s">
        <v>10</v>
      </c>
      <c r="I681">
        <v>16.100000000000001</v>
      </c>
      <c r="J681" t="s">
        <v>13</v>
      </c>
      <c r="K681">
        <v>3.58</v>
      </c>
      <c r="L681" t="s">
        <v>52</v>
      </c>
      <c r="M681" s="8">
        <v>0.56000000000000005</v>
      </c>
    </row>
    <row r="682" spans="1:13" x14ac:dyDescent="0.25">
      <c r="A682">
        <v>681</v>
      </c>
      <c r="B682">
        <v>5.7</v>
      </c>
      <c r="C682">
        <v>2.5</v>
      </c>
      <c r="D682">
        <v>6.4</v>
      </c>
      <c r="E682">
        <v>2.9</v>
      </c>
      <c r="F682">
        <v>6.5</v>
      </c>
      <c r="G682">
        <v>2.84</v>
      </c>
      <c r="H682" t="s">
        <v>9</v>
      </c>
      <c r="I682">
        <v>17.600000000000001</v>
      </c>
      <c r="J682" t="s">
        <v>13</v>
      </c>
      <c r="K682">
        <v>2</v>
      </c>
      <c r="L682" t="s">
        <v>52</v>
      </c>
      <c r="M682" s="8">
        <v>0.32</v>
      </c>
    </row>
    <row r="683" spans="1:13" x14ac:dyDescent="0.25">
      <c r="A683">
        <v>682</v>
      </c>
      <c r="B683">
        <v>6.5</v>
      </c>
      <c r="C683">
        <v>3.3</v>
      </c>
      <c r="D683">
        <v>5.3</v>
      </c>
      <c r="E683">
        <v>2.5</v>
      </c>
      <c r="F683">
        <v>6.4</v>
      </c>
      <c r="G683">
        <v>2.81</v>
      </c>
      <c r="H683" t="s">
        <v>10</v>
      </c>
      <c r="I683">
        <v>18.700000000000003</v>
      </c>
      <c r="J683" t="s">
        <v>13</v>
      </c>
      <c r="K683">
        <v>2.08</v>
      </c>
      <c r="L683" t="s">
        <v>52</v>
      </c>
      <c r="M683" s="8">
        <v>0.35</v>
      </c>
    </row>
    <row r="684" spans="1:13" x14ac:dyDescent="0.25">
      <c r="A684">
        <v>683</v>
      </c>
      <c r="B684">
        <v>7.3</v>
      </c>
      <c r="C684">
        <v>2.9</v>
      </c>
      <c r="D684">
        <v>7.9</v>
      </c>
      <c r="E684">
        <v>3.9</v>
      </c>
      <c r="F684">
        <v>2</v>
      </c>
      <c r="G684">
        <v>3.19</v>
      </c>
      <c r="H684" t="s">
        <v>8</v>
      </c>
      <c r="I684">
        <v>16.100000000000001</v>
      </c>
      <c r="J684" t="s">
        <v>15</v>
      </c>
      <c r="K684">
        <v>2.3199999999999998</v>
      </c>
      <c r="L684" t="s">
        <v>52</v>
      </c>
      <c r="M684" s="8">
        <v>0.45</v>
      </c>
    </row>
    <row r="685" spans="1:13" x14ac:dyDescent="0.25">
      <c r="A685">
        <v>684</v>
      </c>
      <c r="B685">
        <v>6.6</v>
      </c>
      <c r="C685">
        <v>2.2000000000000002</v>
      </c>
      <c r="D685">
        <v>9.1999999999999993</v>
      </c>
      <c r="E685">
        <v>5.9</v>
      </c>
      <c r="F685">
        <v>0.1</v>
      </c>
      <c r="G685">
        <v>3.06</v>
      </c>
      <c r="H685" t="s">
        <v>8</v>
      </c>
      <c r="I685">
        <v>14.8</v>
      </c>
      <c r="J685" t="s">
        <v>15</v>
      </c>
      <c r="K685">
        <v>3.08</v>
      </c>
      <c r="L685" t="s">
        <v>52</v>
      </c>
      <c r="M685" s="8">
        <v>0.45</v>
      </c>
    </row>
    <row r="686" spans="1:13" x14ac:dyDescent="0.25">
      <c r="A686">
        <v>685</v>
      </c>
      <c r="B686">
        <v>9.4</v>
      </c>
      <c r="C686">
        <v>1.5</v>
      </c>
      <c r="D686">
        <v>6</v>
      </c>
      <c r="E686">
        <v>2.9</v>
      </c>
      <c r="F686">
        <v>4.2</v>
      </c>
      <c r="G686">
        <v>3.4</v>
      </c>
      <c r="H686" t="s">
        <v>10</v>
      </c>
      <c r="I686">
        <v>18</v>
      </c>
      <c r="J686" t="s">
        <v>15</v>
      </c>
      <c r="K686">
        <v>3.45</v>
      </c>
      <c r="L686" t="s">
        <v>52</v>
      </c>
      <c r="M686" s="8">
        <v>0.52</v>
      </c>
    </row>
    <row r="687" spans="1:13" x14ac:dyDescent="0.25">
      <c r="A687">
        <v>686</v>
      </c>
      <c r="B687">
        <v>7.4</v>
      </c>
      <c r="C687">
        <v>3.4</v>
      </c>
      <c r="D687">
        <v>6.8</v>
      </c>
      <c r="E687">
        <v>5.2</v>
      </c>
      <c r="F687">
        <v>1.2</v>
      </c>
      <c r="G687">
        <v>3.45</v>
      </c>
      <c r="H687" t="s">
        <v>8</v>
      </c>
      <c r="I687">
        <v>17.2</v>
      </c>
      <c r="J687" t="s">
        <v>15</v>
      </c>
      <c r="K687">
        <v>2.64</v>
      </c>
      <c r="L687" t="s">
        <v>52</v>
      </c>
      <c r="M687" s="8">
        <v>0.43</v>
      </c>
    </row>
    <row r="688" spans="1:13" x14ac:dyDescent="0.25">
      <c r="A688">
        <v>687</v>
      </c>
      <c r="B688">
        <v>7</v>
      </c>
      <c r="C688">
        <v>1.3</v>
      </c>
      <c r="D688">
        <v>7.3</v>
      </c>
      <c r="E688">
        <v>4.5999999999999996</v>
      </c>
      <c r="F688">
        <v>3.8</v>
      </c>
      <c r="G688">
        <v>3</v>
      </c>
      <c r="H688" t="s">
        <v>8</v>
      </c>
      <c r="I688">
        <v>16.7</v>
      </c>
      <c r="J688" t="s">
        <v>15</v>
      </c>
      <c r="K688">
        <v>2.35</v>
      </c>
      <c r="L688" t="s">
        <v>52</v>
      </c>
      <c r="M688" s="8">
        <v>0.42</v>
      </c>
    </row>
    <row r="689" spans="1:13" x14ac:dyDescent="0.25">
      <c r="A689">
        <v>688</v>
      </c>
      <c r="B689">
        <v>9.8000000000000007</v>
      </c>
      <c r="C689">
        <v>0.7</v>
      </c>
      <c r="D689">
        <v>7.8</v>
      </c>
      <c r="E689">
        <v>3.3</v>
      </c>
      <c r="F689">
        <v>2.4</v>
      </c>
      <c r="G689">
        <v>3.41</v>
      </c>
      <c r="H689" t="s">
        <v>10</v>
      </c>
      <c r="I689">
        <v>16.2</v>
      </c>
      <c r="J689" t="s">
        <v>15</v>
      </c>
      <c r="K689">
        <v>3.98</v>
      </c>
      <c r="L689" t="s">
        <v>52</v>
      </c>
      <c r="M689" s="8">
        <v>0.6</v>
      </c>
    </row>
    <row r="690" spans="1:13" x14ac:dyDescent="0.25">
      <c r="A690">
        <v>689</v>
      </c>
      <c r="B690">
        <v>7.4</v>
      </c>
      <c r="C690">
        <v>2.6</v>
      </c>
      <c r="D690">
        <v>6.1</v>
      </c>
      <c r="E690">
        <v>3.3</v>
      </c>
      <c r="F690">
        <v>4.5999999999999996</v>
      </c>
      <c r="G690">
        <v>3.41</v>
      </c>
      <c r="H690" t="s">
        <v>8</v>
      </c>
      <c r="I690">
        <v>17.899999999999999</v>
      </c>
      <c r="J690" t="s">
        <v>15</v>
      </c>
      <c r="K690">
        <v>2.12</v>
      </c>
      <c r="L690" t="s">
        <v>52</v>
      </c>
      <c r="M690" s="8">
        <v>0.41</v>
      </c>
    </row>
    <row r="691" spans="1:13" x14ac:dyDescent="0.25">
      <c r="A691">
        <v>690</v>
      </c>
      <c r="B691">
        <v>5.7</v>
      </c>
      <c r="C691">
        <v>2.2999999999999998</v>
      </c>
      <c r="D691">
        <v>5.9</v>
      </c>
      <c r="E691">
        <v>1.7</v>
      </c>
      <c r="F691">
        <v>8.4</v>
      </c>
      <c r="G691">
        <v>2.62</v>
      </c>
      <c r="H691" t="s">
        <v>10</v>
      </c>
      <c r="I691">
        <v>18.100000000000001</v>
      </c>
      <c r="J691" t="s">
        <v>13</v>
      </c>
      <c r="K691">
        <v>3.13</v>
      </c>
      <c r="L691" t="s">
        <v>52</v>
      </c>
      <c r="M691" s="8">
        <v>0.31</v>
      </c>
    </row>
    <row r="692" spans="1:13" x14ac:dyDescent="0.25">
      <c r="A692">
        <v>691</v>
      </c>
      <c r="B692">
        <v>6.1</v>
      </c>
      <c r="C692">
        <v>0.7</v>
      </c>
      <c r="D692">
        <v>9.1</v>
      </c>
      <c r="E692">
        <v>1.7</v>
      </c>
      <c r="F692">
        <v>6.4</v>
      </c>
      <c r="G692">
        <v>2.69</v>
      </c>
      <c r="H692" t="s">
        <v>8</v>
      </c>
      <c r="I692">
        <v>14.9</v>
      </c>
      <c r="J692" t="s">
        <v>13</v>
      </c>
      <c r="K692">
        <v>2.95</v>
      </c>
      <c r="L692" t="s">
        <v>52</v>
      </c>
      <c r="M692" s="8">
        <v>0.41</v>
      </c>
    </row>
    <row r="693" spans="1:13" x14ac:dyDescent="0.25">
      <c r="A693">
        <v>692</v>
      </c>
      <c r="B693">
        <v>6.9</v>
      </c>
      <c r="C693">
        <v>3.2</v>
      </c>
      <c r="D693">
        <v>6.8</v>
      </c>
      <c r="E693">
        <v>0.5</v>
      </c>
      <c r="F693">
        <v>6.6</v>
      </c>
      <c r="G693">
        <v>3.08</v>
      </c>
      <c r="H693" t="s">
        <v>8</v>
      </c>
      <c r="I693">
        <v>17.200000000000003</v>
      </c>
      <c r="J693" t="s">
        <v>15</v>
      </c>
      <c r="K693">
        <v>3.04</v>
      </c>
      <c r="L693" t="s">
        <v>52</v>
      </c>
      <c r="M693" s="8">
        <v>0.4</v>
      </c>
    </row>
    <row r="694" spans="1:13" x14ac:dyDescent="0.25">
      <c r="A694">
        <v>693</v>
      </c>
      <c r="B694">
        <v>7.8</v>
      </c>
      <c r="C694">
        <v>3.4</v>
      </c>
      <c r="D694">
        <v>9</v>
      </c>
      <c r="E694">
        <v>0.7</v>
      </c>
      <c r="F694">
        <v>3.1</v>
      </c>
      <c r="G694">
        <v>2.95</v>
      </c>
      <c r="H694" t="s">
        <v>8</v>
      </c>
      <c r="I694">
        <v>14.999999999999998</v>
      </c>
      <c r="J694" t="s">
        <v>13</v>
      </c>
      <c r="K694">
        <v>2.96</v>
      </c>
      <c r="L694" t="s">
        <v>52</v>
      </c>
      <c r="M694" s="8">
        <v>0.52</v>
      </c>
    </row>
    <row r="695" spans="1:13" x14ac:dyDescent="0.25">
      <c r="A695">
        <v>694</v>
      </c>
      <c r="B695">
        <v>6.1</v>
      </c>
      <c r="C695">
        <v>3.5</v>
      </c>
      <c r="D695">
        <v>6.2</v>
      </c>
      <c r="E695">
        <v>1.6</v>
      </c>
      <c r="F695">
        <v>6.6</v>
      </c>
      <c r="G695">
        <v>3.05</v>
      </c>
      <c r="H695" t="s">
        <v>8</v>
      </c>
      <c r="I695">
        <v>17.799999999999997</v>
      </c>
      <c r="J695" t="s">
        <v>15</v>
      </c>
      <c r="K695">
        <v>2.34</v>
      </c>
      <c r="L695" t="s">
        <v>52</v>
      </c>
      <c r="M695" s="8">
        <v>0.34</v>
      </c>
    </row>
    <row r="696" spans="1:13" x14ac:dyDescent="0.25">
      <c r="A696">
        <v>695</v>
      </c>
      <c r="B696">
        <v>5</v>
      </c>
      <c r="C696">
        <v>3.5</v>
      </c>
      <c r="D696">
        <v>9</v>
      </c>
      <c r="E696">
        <v>3.8</v>
      </c>
      <c r="F696">
        <v>2.7</v>
      </c>
      <c r="G696">
        <v>2.62</v>
      </c>
      <c r="H696" t="s">
        <v>9</v>
      </c>
      <c r="I696">
        <v>15</v>
      </c>
      <c r="J696" t="s">
        <v>13</v>
      </c>
      <c r="K696">
        <v>0.95</v>
      </c>
      <c r="L696" t="s">
        <v>51</v>
      </c>
      <c r="M696" s="8">
        <v>0.33</v>
      </c>
    </row>
    <row r="697" spans="1:13" x14ac:dyDescent="0.25">
      <c r="A697">
        <v>696</v>
      </c>
      <c r="B697">
        <v>7.3</v>
      </c>
      <c r="C697">
        <v>1.4</v>
      </c>
      <c r="D697">
        <v>5.5</v>
      </c>
      <c r="E697">
        <v>2.9</v>
      </c>
      <c r="F697">
        <v>6.9</v>
      </c>
      <c r="G697">
        <v>3.19</v>
      </c>
      <c r="H697" t="s">
        <v>10</v>
      </c>
      <c r="I697">
        <v>18.5</v>
      </c>
      <c r="J697" t="s">
        <v>15</v>
      </c>
      <c r="K697">
        <v>2.93</v>
      </c>
      <c r="L697" t="s">
        <v>52</v>
      </c>
      <c r="M697" s="8">
        <v>0.39</v>
      </c>
    </row>
    <row r="698" spans="1:13" x14ac:dyDescent="0.25">
      <c r="A698">
        <v>697</v>
      </c>
      <c r="B698">
        <v>9.6</v>
      </c>
      <c r="C698">
        <v>0.2</v>
      </c>
      <c r="D698">
        <v>6.5</v>
      </c>
      <c r="E698">
        <v>1.2</v>
      </c>
      <c r="F698">
        <v>6.5</v>
      </c>
      <c r="G698">
        <v>3.5</v>
      </c>
      <c r="H698" t="s">
        <v>10</v>
      </c>
      <c r="I698">
        <v>17.5</v>
      </c>
      <c r="J698" t="s">
        <v>14</v>
      </c>
      <c r="K698">
        <v>4.45</v>
      </c>
      <c r="L698" t="s">
        <v>52</v>
      </c>
      <c r="M698" s="8">
        <v>0.55000000000000004</v>
      </c>
    </row>
    <row r="699" spans="1:13" x14ac:dyDescent="0.25">
      <c r="A699">
        <v>698</v>
      </c>
      <c r="B699">
        <v>7.3</v>
      </c>
      <c r="C699">
        <v>1.9</v>
      </c>
      <c r="D699">
        <v>8.8000000000000007</v>
      </c>
      <c r="E699">
        <v>0.9</v>
      </c>
      <c r="F699">
        <v>5.0999999999999996</v>
      </c>
      <c r="G699">
        <v>3.06</v>
      </c>
      <c r="H699" t="s">
        <v>8</v>
      </c>
      <c r="I699">
        <v>15.2</v>
      </c>
      <c r="J699" t="s">
        <v>15</v>
      </c>
      <c r="K699">
        <v>2.94</v>
      </c>
      <c r="L699" t="s">
        <v>52</v>
      </c>
      <c r="M699" s="8">
        <v>0.48</v>
      </c>
    </row>
    <row r="700" spans="1:13" x14ac:dyDescent="0.25">
      <c r="A700">
        <v>699</v>
      </c>
      <c r="B700">
        <v>7.4</v>
      </c>
      <c r="C700">
        <v>1.7</v>
      </c>
      <c r="D700">
        <v>8</v>
      </c>
      <c r="E700">
        <v>6</v>
      </c>
      <c r="F700">
        <v>0.9</v>
      </c>
      <c r="G700">
        <v>3</v>
      </c>
      <c r="H700" t="s">
        <v>8</v>
      </c>
      <c r="I700">
        <v>16</v>
      </c>
      <c r="J700" t="s">
        <v>15</v>
      </c>
      <c r="K700">
        <v>3.19</v>
      </c>
      <c r="L700" t="s">
        <v>52</v>
      </c>
      <c r="M700" s="8">
        <v>0.46</v>
      </c>
    </row>
    <row r="701" spans="1:13" x14ac:dyDescent="0.25">
      <c r="A701">
        <v>700</v>
      </c>
      <c r="B701">
        <v>9.1</v>
      </c>
      <c r="C701">
        <v>0.7</v>
      </c>
      <c r="D701">
        <v>5.2</v>
      </c>
      <c r="E701">
        <v>1.2</v>
      </c>
      <c r="F701">
        <v>7.8</v>
      </c>
      <c r="G701">
        <v>3.64</v>
      </c>
      <c r="H701" t="s">
        <v>10</v>
      </c>
      <c r="I701">
        <v>18.799999999999997</v>
      </c>
      <c r="J701" t="s">
        <v>14</v>
      </c>
      <c r="K701">
        <v>4.37</v>
      </c>
      <c r="L701" t="s">
        <v>52</v>
      </c>
      <c r="M701" s="8">
        <v>0.48</v>
      </c>
    </row>
    <row r="702" spans="1:13" x14ac:dyDescent="0.25">
      <c r="A702">
        <v>701</v>
      </c>
      <c r="B702">
        <v>6.7</v>
      </c>
      <c r="C702">
        <v>2</v>
      </c>
      <c r="D702">
        <v>8.1</v>
      </c>
      <c r="E702">
        <v>5.5</v>
      </c>
      <c r="F702">
        <v>1.7</v>
      </c>
      <c r="G702">
        <v>3.11</v>
      </c>
      <c r="H702" t="s">
        <v>8</v>
      </c>
      <c r="I702">
        <v>15.899999999999999</v>
      </c>
      <c r="J702" t="s">
        <v>15</v>
      </c>
      <c r="K702">
        <v>2.5099999999999998</v>
      </c>
      <c r="L702" t="s">
        <v>52</v>
      </c>
      <c r="M702" s="8">
        <v>0.42</v>
      </c>
    </row>
    <row r="703" spans="1:13" x14ac:dyDescent="0.25">
      <c r="A703">
        <v>702</v>
      </c>
      <c r="B703">
        <v>5.3</v>
      </c>
      <c r="C703">
        <v>0.1</v>
      </c>
      <c r="D703">
        <v>7.8</v>
      </c>
      <c r="E703">
        <v>2.6</v>
      </c>
      <c r="F703">
        <v>8.1999999999999993</v>
      </c>
      <c r="G703">
        <v>3.58</v>
      </c>
      <c r="H703" t="s">
        <v>9</v>
      </c>
      <c r="I703">
        <v>16.2</v>
      </c>
      <c r="J703" t="s">
        <v>14</v>
      </c>
      <c r="K703">
        <v>3.49</v>
      </c>
      <c r="L703" t="s">
        <v>52</v>
      </c>
      <c r="M703" s="8">
        <v>0.33</v>
      </c>
    </row>
    <row r="704" spans="1:13" x14ac:dyDescent="0.25">
      <c r="A704">
        <v>703</v>
      </c>
      <c r="B704">
        <v>9.1999999999999993</v>
      </c>
      <c r="C704">
        <v>0.6</v>
      </c>
      <c r="D704">
        <v>5.0999999999999996</v>
      </c>
      <c r="E704">
        <v>2.7</v>
      </c>
      <c r="F704">
        <v>6.4</v>
      </c>
      <c r="G704">
        <v>3.27</v>
      </c>
      <c r="H704" t="s">
        <v>10</v>
      </c>
      <c r="I704">
        <v>18.899999999999999</v>
      </c>
      <c r="J704" t="s">
        <v>15</v>
      </c>
      <c r="K704">
        <v>3.83</v>
      </c>
      <c r="L704" t="s">
        <v>52</v>
      </c>
      <c r="M704" s="8">
        <v>0.49</v>
      </c>
    </row>
    <row r="705" spans="1:13" x14ac:dyDescent="0.25">
      <c r="A705">
        <v>704</v>
      </c>
      <c r="B705">
        <v>8</v>
      </c>
      <c r="C705">
        <v>1.1000000000000001</v>
      </c>
      <c r="D705">
        <v>5.9</v>
      </c>
      <c r="E705">
        <v>2.2999999999999998</v>
      </c>
      <c r="F705">
        <v>6.7</v>
      </c>
      <c r="G705">
        <v>3.27</v>
      </c>
      <c r="H705" t="s">
        <v>10</v>
      </c>
      <c r="I705">
        <v>18.099999999999998</v>
      </c>
      <c r="J705" t="s">
        <v>15</v>
      </c>
      <c r="K705">
        <v>3.34</v>
      </c>
      <c r="L705" t="s">
        <v>52</v>
      </c>
      <c r="M705" s="8">
        <v>0.44</v>
      </c>
    </row>
    <row r="706" spans="1:13" x14ac:dyDescent="0.25">
      <c r="A706">
        <v>705</v>
      </c>
      <c r="B706">
        <v>9</v>
      </c>
      <c r="C706">
        <v>1.6</v>
      </c>
      <c r="D706">
        <v>8.8000000000000007</v>
      </c>
      <c r="E706">
        <v>0.6</v>
      </c>
      <c r="F706">
        <v>4</v>
      </c>
      <c r="G706">
        <v>3.2</v>
      </c>
      <c r="H706" t="s">
        <v>10</v>
      </c>
      <c r="I706">
        <v>15.2</v>
      </c>
      <c r="J706" t="s">
        <v>15</v>
      </c>
      <c r="K706">
        <v>3.75</v>
      </c>
      <c r="L706" t="s">
        <v>52</v>
      </c>
      <c r="M706" s="8">
        <v>0.59</v>
      </c>
    </row>
    <row r="707" spans="1:13" x14ac:dyDescent="0.25">
      <c r="A707">
        <v>706</v>
      </c>
      <c r="B707">
        <v>8.4</v>
      </c>
      <c r="C707">
        <v>2.2999999999999998</v>
      </c>
      <c r="D707">
        <v>9.6</v>
      </c>
      <c r="E707">
        <v>1.4</v>
      </c>
      <c r="F707">
        <v>2.2999999999999998</v>
      </c>
      <c r="G707">
        <v>3.41</v>
      </c>
      <c r="H707" t="s">
        <v>10</v>
      </c>
      <c r="I707">
        <v>14.399999999999999</v>
      </c>
      <c r="J707" t="s">
        <v>15</v>
      </c>
      <c r="K707">
        <v>3.23</v>
      </c>
      <c r="L707" t="s">
        <v>52</v>
      </c>
      <c r="M707" s="8">
        <v>0.57999999999999996</v>
      </c>
    </row>
    <row r="708" spans="1:13" x14ac:dyDescent="0.25">
      <c r="A708">
        <v>707</v>
      </c>
      <c r="B708">
        <v>5.3</v>
      </c>
      <c r="C708">
        <v>0.1</v>
      </c>
      <c r="D708">
        <v>9.1</v>
      </c>
      <c r="E708">
        <v>3.1</v>
      </c>
      <c r="F708">
        <v>6.4</v>
      </c>
      <c r="G708">
        <v>2.65</v>
      </c>
      <c r="H708" t="s">
        <v>9</v>
      </c>
      <c r="I708">
        <v>14.9</v>
      </c>
      <c r="J708" t="s">
        <v>13</v>
      </c>
      <c r="K708">
        <v>2.78</v>
      </c>
      <c r="L708" t="s">
        <v>52</v>
      </c>
      <c r="M708" s="8">
        <v>0.36</v>
      </c>
    </row>
    <row r="709" spans="1:13" x14ac:dyDescent="0.25">
      <c r="A709">
        <v>708</v>
      </c>
      <c r="B709">
        <v>6.7</v>
      </c>
      <c r="C709">
        <v>0.1</v>
      </c>
      <c r="D709">
        <v>9.8000000000000007</v>
      </c>
      <c r="E709">
        <v>4</v>
      </c>
      <c r="F709">
        <v>3.4</v>
      </c>
      <c r="G709">
        <v>3.15</v>
      </c>
      <c r="H709" t="s">
        <v>8</v>
      </c>
      <c r="I709">
        <v>14.200000000000001</v>
      </c>
      <c r="J709" t="s">
        <v>15</v>
      </c>
      <c r="K709">
        <v>2.71</v>
      </c>
      <c r="L709" t="s">
        <v>52</v>
      </c>
      <c r="M709" s="8">
        <v>0.47</v>
      </c>
    </row>
    <row r="710" spans="1:13" x14ac:dyDescent="0.25">
      <c r="A710">
        <v>709</v>
      </c>
      <c r="B710">
        <v>9.6999999999999993</v>
      </c>
      <c r="C710">
        <v>1.1000000000000001</v>
      </c>
      <c r="D710">
        <v>8.1</v>
      </c>
      <c r="E710">
        <v>3.5</v>
      </c>
      <c r="F710">
        <v>1.6</v>
      </c>
      <c r="G710">
        <v>3.63</v>
      </c>
      <c r="H710" t="s">
        <v>10</v>
      </c>
      <c r="I710">
        <v>15.899999999999999</v>
      </c>
      <c r="J710" t="s">
        <v>14</v>
      </c>
      <c r="K710">
        <v>3.95</v>
      </c>
      <c r="L710" t="s">
        <v>52</v>
      </c>
      <c r="M710" s="8">
        <v>0.61</v>
      </c>
    </row>
    <row r="711" spans="1:13" x14ac:dyDescent="0.25">
      <c r="A711">
        <v>710</v>
      </c>
      <c r="B711">
        <v>9.6999999999999993</v>
      </c>
      <c r="C711">
        <v>3.5</v>
      </c>
      <c r="D711">
        <v>8.6999999999999993</v>
      </c>
      <c r="E711">
        <v>0.6</v>
      </c>
      <c r="F711">
        <v>1.5</v>
      </c>
      <c r="G711">
        <v>3.36</v>
      </c>
      <c r="H711" t="s">
        <v>10</v>
      </c>
      <c r="I711">
        <v>15.299999999999999</v>
      </c>
      <c r="J711" t="s">
        <v>15</v>
      </c>
      <c r="K711">
        <v>4.0999999999999996</v>
      </c>
      <c r="L711" t="s">
        <v>52</v>
      </c>
      <c r="M711" s="8">
        <v>0.63</v>
      </c>
    </row>
    <row r="712" spans="1:13" x14ac:dyDescent="0.25">
      <c r="A712">
        <v>711</v>
      </c>
      <c r="B712">
        <v>6.4</v>
      </c>
      <c r="C712">
        <v>3.9</v>
      </c>
      <c r="D712">
        <v>5.0999999999999996</v>
      </c>
      <c r="E712">
        <v>4.3</v>
      </c>
      <c r="F712">
        <v>4.3</v>
      </c>
      <c r="G712">
        <v>3.14</v>
      </c>
      <c r="H712" t="s">
        <v>10</v>
      </c>
      <c r="I712">
        <v>18.900000000000002</v>
      </c>
      <c r="J712" t="s">
        <v>15</v>
      </c>
      <c r="K712">
        <v>1.1299999999999999</v>
      </c>
      <c r="L712" t="s">
        <v>51</v>
      </c>
      <c r="M712" s="8">
        <v>0.34</v>
      </c>
    </row>
    <row r="713" spans="1:13" x14ac:dyDescent="0.25">
      <c r="A713">
        <v>712</v>
      </c>
      <c r="B713">
        <v>10</v>
      </c>
      <c r="C713">
        <v>1.2</v>
      </c>
      <c r="D713">
        <v>6.7</v>
      </c>
      <c r="E713">
        <v>0.5</v>
      </c>
      <c r="F713">
        <v>5.6</v>
      </c>
      <c r="G713">
        <v>3.79</v>
      </c>
      <c r="H713" t="s">
        <v>10</v>
      </c>
      <c r="I713">
        <v>17.299999999999997</v>
      </c>
      <c r="J713" t="s">
        <v>14</v>
      </c>
      <c r="K713">
        <v>4.41</v>
      </c>
      <c r="L713" t="s">
        <v>52</v>
      </c>
      <c r="M713" s="8">
        <v>0.57999999999999996</v>
      </c>
    </row>
    <row r="714" spans="1:13" x14ac:dyDescent="0.25">
      <c r="A714">
        <v>713</v>
      </c>
      <c r="B714">
        <v>7.2</v>
      </c>
      <c r="C714">
        <v>1</v>
      </c>
      <c r="D714">
        <v>6.7</v>
      </c>
      <c r="E714">
        <v>5</v>
      </c>
      <c r="F714">
        <v>4.0999999999999996</v>
      </c>
      <c r="G714">
        <v>3.21</v>
      </c>
      <c r="H714" t="s">
        <v>8</v>
      </c>
      <c r="I714">
        <v>17.299999999999997</v>
      </c>
      <c r="J714" t="s">
        <v>15</v>
      </c>
      <c r="K714">
        <v>2.57</v>
      </c>
      <c r="L714" t="s">
        <v>52</v>
      </c>
      <c r="M714" s="8">
        <v>0.42</v>
      </c>
    </row>
    <row r="715" spans="1:13" x14ac:dyDescent="0.25">
      <c r="A715">
        <v>714</v>
      </c>
      <c r="B715">
        <v>5.3</v>
      </c>
      <c r="C715">
        <v>0.4</v>
      </c>
      <c r="D715">
        <v>5.8</v>
      </c>
      <c r="E715">
        <v>3.6</v>
      </c>
      <c r="F715">
        <v>8.9</v>
      </c>
      <c r="G715">
        <v>2.76</v>
      </c>
      <c r="H715" t="s">
        <v>10</v>
      </c>
      <c r="I715">
        <v>18.200000000000003</v>
      </c>
      <c r="J715" t="s">
        <v>13</v>
      </c>
      <c r="K715">
        <v>3.54</v>
      </c>
      <c r="L715" t="s">
        <v>52</v>
      </c>
      <c r="M715" s="8">
        <v>0.28999999999999998</v>
      </c>
    </row>
    <row r="716" spans="1:13" x14ac:dyDescent="0.25">
      <c r="A716">
        <v>715</v>
      </c>
      <c r="B716">
        <v>5.8</v>
      </c>
      <c r="C716">
        <v>3.9</v>
      </c>
      <c r="D716">
        <v>7.2</v>
      </c>
      <c r="E716">
        <v>3</v>
      </c>
      <c r="F716">
        <v>4.0999999999999996</v>
      </c>
      <c r="G716">
        <v>2.83</v>
      </c>
      <c r="H716" t="s">
        <v>9</v>
      </c>
      <c r="I716">
        <v>16.799999999999997</v>
      </c>
      <c r="J716" t="s">
        <v>13</v>
      </c>
      <c r="K716">
        <v>1.17</v>
      </c>
      <c r="L716" t="s">
        <v>51</v>
      </c>
      <c r="M716" s="8">
        <v>0.35</v>
      </c>
    </row>
    <row r="717" spans="1:13" x14ac:dyDescent="0.25">
      <c r="A717">
        <v>716</v>
      </c>
      <c r="B717">
        <v>8.3000000000000007</v>
      </c>
      <c r="C717">
        <v>3</v>
      </c>
      <c r="D717">
        <v>8.8000000000000007</v>
      </c>
      <c r="E717">
        <v>2.2999999999999998</v>
      </c>
      <c r="F717">
        <v>1.6</v>
      </c>
      <c r="G717">
        <v>2.92</v>
      </c>
      <c r="H717" t="s">
        <v>10</v>
      </c>
      <c r="I717">
        <v>15.200000000000001</v>
      </c>
      <c r="J717" t="s">
        <v>13</v>
      </c>
      <c r="K717">
        <v>3.05</v>
      </c>
      <c r="L717" t="s">
        <v>52</v>
      </c>
      <c r="M717" s="8">
        <v>0.55000000000000004</v>
      </c>
    </row>
    <row r="718" spans="1:13" x14ac:dyDescent="0.25">
      <c r="A718">
        <v>717</v>
      </c>
      <c r="B718">
        <v>9.5</v>
      </c>
      <c r="C718">
        <v>3.3</v>
      </c>
      <c r="D718">
        <v>8.8000000000000007</v>
      </c>
      <c r="E718">
        <v>0.1</v>
      </c>
      <c r="F718">
        <v>2.2999999999999998</v>
      </c>
      <c r="G718">
        <v>3.24</v>
      </c>
      <c r="H718" t="s">
        <v>10</v>
      </c>
      <c r="I718">
        <v>15.2</v>
      </c>
      <c r="J718" t="s">
        <v>15</v>
      </c>
      <c r="K718">
        <v>4.03</v>
      </c>
      <c r="L718" t="s">
        <v>52</v>
      </c>
      <c r="M718" s="8">
        <v>0.62</v>
      </c>
    </row>
    <row r="719" spans="1:13" x14ac:dyDescent="0.25">
      <c r="A719">
        <v>718</v>
      </c>
      <c r="B719">
        <v>7</v>
      </c>
      <c r="C719">
        <v>3.5</v>
      </c>
      <c r="D719">
        <v>9.5</v>
      </c>
      <c r="E719">
        <v>3.6</v>
      </c>
      <c r="F719">
        <v>0.4</v>
      </c>
      <c r="G719">
        <v>3.4</v>
      </c>
      <c r="H719" t="s">
        <v>8</v>
      </c>
      <c r="I719">
        <v>14.5</v>
      </c>
      <c r="J719" t="s">
        <v>15</v>
      </c>
      <c r="K719">
        <v>2.7</v>
      </c>
      <c r="L719" t="s">
        <v>52</v>
      </c>
      <c r="M719" s="8">
        <v>0.48</v>
      </c>
    </row>
    <row r="720" spans="1:13" x14ac:dyDescent="0.25">
      <c r="A720">
        <v>719</v>
      </c>
      <c r="B720">
        <v>6.6</v>
      </c>
      <c r="C720">
        <v>2.8</v>
      </c>
      <c r="D720">
        <v>6.4</v>
      </c>
      <c r="E720">
        <v>1.1000000000000001</v>
      </c>
      <c r="F720">
        <v>7.1</v>
      </c>
      <c r="G720">
        <v>2.88</v>
      </c>
      <c r="H720" t="s">
        <v>8</v>
      </c>
      <c r="I720">
        <v>17.599999999999998</v>
      </c>
      <c r="J720" t="s">
        <v>13</v>
      </c>
      <c r="K720">
        <v>2.92</v>
      </c>
      <c r="L720" t="s">
        <v>52</v>
      </c>
      <c r="M720" s="8">
        <v>0.38</v>
      </c>
    </row>
    <row r="721" spans="1:13" x14ac:dyDescent="0.25">
      <c r="A721">
        <v>720</v>
      </c>
      <c r="B721">
        <v>7.1</v>
      </c>
      <c r="C721">
        <v>3.3</v>
      </c>
      <c r="D721">
        <v>5.6</v>
      </c>
      <c r="E721">
        <v>4.4000000000000004</v>
      </c>
      <c r="F721">
        <v>3.6</v>
      </c>
      <c r="G721">
        <v>2.85</v>
      </c>
      <c r="H721" t="s">
        <v>10</v>
      </c>
      <c r="I721">
        <v>18.399999999999999</v>
      </c>
      <c r="J721" t="s">
        <v>13</v>
      </c>
      <c r="K721">
        <v>1.73</v>
      </c>
      <c r="L721" t="s">
        <v>52</v>
      </c>
      <c r="M721" s="8">
        <v>0.39</v>
      </c>
    </row>
    <row r="722" spans="1:13" x14ac:dyDescent="0.25">
      <c r="A722">
        <v>721</v>
      </c>
      <c r="B722">
        <v>7.7</v>
      </c>
      <c r="C722">
        <v>1.2</v>
      </c>
      <c r="D722">
        <v>7.5</v>
      </c>
      <c r="E722">
        <v>1.8</v>
      </c>
      <c r="F722">
        <v>5.8</v>
      </c>
      <c r="G722">
        <v>2.88</v>
      </c>
      <c r="H722" t="s">
        <v>8</v>
      </c>
      <c r="I722">
        <v>16.5</v>
      </c>
      <c r="J722" t="s">
        <v>13</v>
      </c>
      <c r="K722">
        <v>3.14</v>
      </c>
      <c r="L722" t="s">
        <v>52</v>
      </c>
      <c r="M722" s="8">
        <v>0.47</v>
      </c>
    </row>
    <row r="723" spans="1:13" x14ac:dyDescent="0.25">
      <c r="A723">
        <v>722</v>
      </c>
      <c r="B723">
        <v>5.8</v>
      </c>
      <c r="C723">
        <v>0.5</v>
      </c>
      <c r="D723">
        <v>7.7</v>
      </c>
      <c r="E723">
        <v>5.4</v>
      </c>
      <c r="F723">
        <v>4.5999999999999996</v>
      </c>
      <c r="G723">
        <v>3.27</v>
      </c>
      <c r="H723" t="s">
        <v>9</v>
      </c>
      <c r="I723">
        <v>16.299999999999997</v>
      </c>
      <c r="J723" t="s">
        <v>15</v>
      </c>
      <c r="K723">
        <v>2.4300000000000002</v>
      </c>
      <c r="L723" t="s">
        <v>52</v>
      </c>
      <c r="M723" s="8">
        <v>0.36</v>
      </c>
    </row>
    <row r="724" spans="1:13" x14ac:dyDescent="0.25">
      <c r="A724">
        <v>723</v>
      </c>
      <c r="B724">
        <v>6.7</v>
      </c>
      <c r="C724">
        <v>2.9</v>
      </c>
      <c r="D724">
        <v>8.3000000000000007</v>
      </c>
      <c r="E724">
        <v>5.6</v>
      </c>
      <c r="F724">
        <v>0.5</v>
      </c>
      <c r="G724">
        <v>3.06</v>
      </c>
      <c r="H724" t="s">
        <v>8</v>
      </c>
      <c r="I724">
        <v>15.7</v>
      </c>
      <c r="J724" t="s">
        <v>15</v>
      </c>
      <c r="K724">
        <v>2.79</v>
      </c>
      <c r="L724" t="s">
        <v>52</v>
      </c>
      <c r="M724" s="8">
        <v>0.43</v>
      </c>
    </row>
    <row r="725" spans="1:13" x14ac:dyDescent="0.25">
      <c r="A725">
        <v>724</v>
      </c>
      <c r="B725">
        <v>8.3000000000000007</v>
      </c>
      <c r="C725">
        <v>3.6</v>
      </c>
      <c r="D725">
        <v>7</v>
      </c>
      <c r="E725">
        <v>1.7</v>
      </c>
      <c r="F725">
        <v>3.4</v>
      </c>
      <c r="G725">
        <v>3.5</v>
      </c>
      <c r="H725" t="s">
        <v>10</v>
      </c>
      <c r="I725">
        <v>17</v>
      </c>
      <c r="J725" t="s">
        <v>14</v>
      </c>
      <c r="K725">
        <v>2.83</v>
      </c>
      <c r="L725" t="s">
        <v>52</v>
      </c>
      <c r="M725" s="8">
        <v>0.49</v>
      </c>
    </row>
    <row r="726" spans="1:13" x14ac:dyDescent="0.25">
      <c r="A726">
        <v>725</v>
      </c>
      <c r="B726">
        <v>5.0999999999999996</v>
      </c>
      <c r="C726">
        <v>3.3</v>
      </c>
      <c r="D726">
        <v>9</v>
      </c>
      <c r="E726">
        <v>0.6</v>
      </c>
      <c r="F726">
        <v>6</v>
      </c>
      <c r="G726">
        <v>2.54</v>
      </c>
      <c r="H726" t="s">
        <v>9</v>
      </c>
      <c r="I726">
        <v>14.999999999999998</v>
      </c>
      <c r="J726" t="s">
        <v>13</v>
      </c>
      <c r="K726">
        <v>2.38</v>
      </c>
      <c r="L726" t="s">
        <v>52</v>
      </c>
      <c r="M726" s="8">
        <v>0.34</v>
      </c>
    </row>
    <row r="727" spans="1:13" x14ac:dyDescent="0.25">
      <c r="A727">
        <v>726</v>
      </c>
      <c r="B727">
        <v>5.6</v>
      </c>
      <c r="C727">
        <v>3.9</v>
      </c>
      <c r="D727">
        <v>6.1</v>
      </c>
      <c r="E727">
        <v>0.4</v>
      </c>
      <c r="F727">
        <v>8</v>
      </c>
      <c r="G727">
        <v>3.32</v>
      </c>
      <c r="H727" t="s">
        <v>9</v>
      </c>
      <c r="I727">
        <v>17.899999999999999</v>
      </c>
      <c r="J727" t="s">
        <v>15</v>
      </c>
      <c r="K727">
        <v>3.2</v>
      </c>
      <c r="L727" t="s">
        <v>52</v>
      </c>
      <c r="M727" s="8">
        <v>0.31</v>
      </c>
    </row>
    <row r="728" spans="1:13" x14ac:dyDescent="0.25">
      <c r="A728">
        <v>727</v>
      </c>
      <c r="B728">
        <v>8</v>
      </c>
      <c r="C728">
        <v>3</v>
      </c>
      <c r="D728">
        <v>5.2</v>
      </c>
      <c r="E728">
        <v>4</v>
      </c>
      <c r="F728">
        <v>3.8</v>
      </c>
      <c r="G728">
        <v>3.01</v>
      </c>
      <c r="H728" t="s">
        <v>10</v>
      </c>
      <c r="I728">
        <v>18.8</v>
      </c>
      <c r="J728" t="s">
        <v>15</v>
      </c>
      <c r="K728">
        <v>2.2400000000000002</v>
      </c>
      <c r="L728" t="s">
        <v>52</v>
      </c>
      <c r="M728" s="8">
        <v>0.43</v>
      </c>
    </row>
    <row r="729" spans="1:13" x14ac:dyDescent="0.25">
      <c r="A729">
        <v>728</v>
      </c>
      <c r="B729">
        <v>5.9</v>
      </c>
      <c r="C729">
        <v>2.2999999999999998</v>
      </c>
      <c r="D729">
        <v>6.5</v>
      </c>
      <c r="E729">
        <v>5.6</v>
      </c>
      <c r="F729">
        <v>3.7</v>
      </c>
      <c r="G729">
        <v>2.9</v>
      </c>
      <c r="H729" t="s">
        <v>9</v>
      </c>
      <c r="I729">
        <v>17.5</v>
      </c>
      <c r="J729" t="s">
        <v>13</v>
      </c>
      <c r="K729">
        <v>1.69</v>
      </c>
      <c r="L729" t="s">
        <v>52</v>
      </c>
      <c r="M729" s="8">
        <v>0.34</v>
      </c>
    </row>
    <row r="730" spans="1:13" x14ac:dyDescent="0.25">
      <c r="A730">
        <v>729</v>
      </c>
      <c r="B730">
        <v>9.1</v>
      </c>
      <c r="C730">
        <v>3.9</v>
      </c>
      <c r="D730">
        <v>6.3</v>
      </c>
      <c r="E730">
        <v>4.5999999999999996</v>
      </c>
      <c r="F730">
        <v>0.1</v>
      </c>
      <c r="G730">
        <v>2.98</v>
      </c>
      <c r="H730" t="s">
        <v>10</v>
      </c>
      <c r="I730">
        <v>17.700000000000003</v>
      </c>
      <c r="J730" t="s">
        <v>13</v>
      </c>
      <c r="K730">
        <v>3.69</v>
      </c>
      <c r="L730" t="s">
        <v>52</v>
      </c>
      <c r="M730" s="8">
        <v>0.51</v>
      </c>
    </row>
    <row r="731" spans="1:13" x14ac:dyDescent="0.25">
      <c r="A731">
        <v>730</v>
      </c>
      <c r="B731">
        <v>5.3</v>
      </c>
      <c r="C731">
        <v>0.2</v>
      </c>
      <c r="D731">
        <v>8.5</v>
      </c>
      <c r="E731">
        <v>2.7</v>
      </c>
      <c r="F731">
        <v>7.3</v>
      </c>
      <c r="G731">
        <v>2.62</v>
      </c>
      <c r="H731" t="s">
        <v>9</v>
      </c>
      <c r="I731">
        <v>15.5</v>
      </c>
      <c r="J731" t="s">
        <v>13</v>
      </c>
      <c r="K731">
        <v>3.09</v>
      </c>
      <c r="L731" t="s">
        <v>52</v>
      </c>
      <c r="M731" s="8">
        <v>0.34</v>
      </c>
    </row>
    <row r="732" spans="1:13" x14ac:dyDescent="0.25">
      <c r="A732">
        <v>731</v>
      </c>
      <c r="B732">
        <v>6.1</v>
      </c>
      <c r="C732">
        <v>2.5</v>
      </c>
      <c r="D732">
        <v>6.3</v>
      </c>
      <c r="E732">
        <v>3.5</v>
      </c>
      <c r="F732">
        <v>5.6</v>
      </c>
      <c r="G732">
        <v>3.13</v>
      </c>
      <c r="H732" t="s">
        <v>8</v>
      </c>
      <c r="I732">
        <v>17.7</v>
      </c>
      <c r="J732" t="s">
        <v>15</v>
      </c>
      <c r="K732">
        <v>1.71</v>
      </c>
      <c r="L732" t="s">
        <v>52</v>
      </c>
      <c r="M732" s="8">
        <v>0.34</v>
      </c>
    </row>
    <row r="733" spans="1:13" x14ac:dyDescent="0.25">
      <c r="A733">
        <v>732</v>
      </c>
      <c r="B733">
        <v>9.1</v>
      </c>
      <c r="C733">
        <v>1.9</v>
      </c>
      <c r="D733">
        <v>6.8</v>
      </c>
      <c r="E733">
        <v>2.2000000000000002</v>
      </c>
      <c r="F733">
        <v>4</v>
      </c>
      <c r="G733">
        <v>3.27</v>
      </c>
      <c r="H733" t="s">
        <v>10</v>
      </c>
      <c r="I733">
        <v>17.2</v>
      </c>
      <c r="J733" t="s">
        <v>15</v>
      </c>
      <c r="K733">
        <v>3.33</v>
      </c>
      <c r="L733" t="s">
        <v>52</v>
      </c>
      <c r="M733" s="8">
        <v>0.53</v>
      </c>
    </row>
    <row r="734" spans="1:13" x14ac:dyDescent="0.25">
      <c r="A734">
        <v>733</v>
      </c>
      <c r="B734">
        <v>9</v>
      </c>
      <c r="C734">
        <v>1.3</v>
      </c>
      <c r="D734">
        <v>6</v>
      </c>
      <c r="E734">
        <v>0.5</v>
      </c>
      <c r="F734">
        <v>7.2</v>
      </c>
      <c r="G734">
        <v>3.05</v>
      </c>
      <c r="H734" t="s">
        <v>10</v>
      </c>
      <c r="I734">
        <v>18</v>
      </c>
      <c r="J734" t="s">
        <v>15</v>
      </c>
      <c r="K734">
        <v>4.2300000000000004</v>
      </c>
      <c r="L734" t="s">
        <v>52</v>
      </c>
      <c r="M734" s="8">
        <v>0.5</v>
      </c>
    </row>
    <row r="735" spans="1:13" x14ac:dyDescent="0.25">
      <c r="A735">
        <v>734</v>
      </c>
      <c r="B735">
        <v>9.1999999999999993</v>
      </c>
      <c r="C735">
        <v>0.9</v>
      </c>
      <c r="D735">
        <v>6.9</v>
      </c>
      <c r="E735">
        <v>4.9000000000000004</v>
      </c>
      <c r="F735">
        <v>2.1</v>
      </c>
      <c r="G735">
        <v>2.81</v>
      </c>
      <c r="H735" t="s">
        <v>10</v>
      </c>
      <c r="I735">
        <v>17.100000000000001</v>
      </c>
      <c r="J735" t="s">
        <v>13</v>
      </c>
      <c r="K735">
        <v>3.69</v>
      </c>
      <c r="L735" t="s">
        <v>52</v>
      </c>
      <c r="M735" s="8">
        <v>0.54</v>
      </c>
    </row>
    <row r="736" spans="1:13" x14ac:dyDescent="0.25">
      <c r="A736">
        <v>735</v>
      </c>
      <c r="B736">
        <v>9.1</v>
      </c>
      <c r="C736">
        <v>1.5</v>
      </c>
      <c r="D736">
        <v>7.3</v>
      </c>
      <c r="E736">
        <v>1.8</v>
      </c>
      <c r="F736">
        <v>4.3</v>
      </c>
      <c r="G736">
        <v>3.4</v>
      </c>
      <c r="H736" t="s">
        <v>10</v>
      </c>
      <c r="I736">
        <v>16.7</v>
      </c>
      <c r="J736" t="s">
        <v>15</v>
      </c>
      <c r="K736">
        <v>3.52</v>
      </c>
      <c r="L736" t="s">
        <v>52</v>
      </c>
      <c r="M736" s="8">
        <v>0.54</v>
      </c>
    </row>
    <row r="737" spans="1:13" x14ac:dyDescent="0.25">
      <c r="A737">
        <v>736</v>
      </c>
      <c r="B737">
        <v>7.7</v>
      </c>
      <c r="C737">
        <v>0.1</v>
      </c>
      <c r="D737">
        <v>7.4</v>
      </c>
      <c r="E737">
        <v>2.4</v>
      </c>
      <c r="F737">
        <v>6.4</v>
      </c>
      <c r="G737">
        <v>3.24</v>
      </c>
      <c r="H737" t="s">
        <v>8</v>
      </c>
      <c r="I737">
        <v>16.600000000000001</v>
      </c>
      <c r="J737" t="s">
        <v>15</v>
      </c>
      <c r="K737">
        <v>3.52</v>
      </c>
      <c r="L737" t="s">
        <v>52</v>
      </c>
      <c r="M737" s="8">
        <v>0.46</v>
      </c>
    </row>
    <row r="738" spans="1:13" x14ac:dyDescent="0.25">
      <c r="A738">
        <v>737</v>
      </c>
      <c r="B738">
        <v>5.8</v>
      </c>
      <c r="C738">
        <v>2.6</v>
      </c>
      <c r="D738">
        <v>9.9</v>
      </c>
      <c r="E738">
        <v>3.2</v>
      </c>
      <c r="F738">
        <v>2.5</v>
      </c>
      <c r="G738">
        <v>2.8</v>
      </c>
      <c r="H738" t="s">
        <v>9</v>
      </c>
      <c r="I738">
        <v>14.100000000000001</v>
      </c>
      <c r="J738" t="s">
        <v>13</v>
      </c>
      <c r="K738">
        <v>1.55</v>
      </c>
      <c r="L738" t="s">
        <v>52</v>
      </c>
      <c r="M738" s="8">
        <v>0.41</v>
      </c>
    </row>
    <row r="739" spans="1:13" x14ac:dyDescent="0.25">
      <c r="A739">
        <v>738</v>
      </c>
      <c r="B739">
        <v>7.1</v>
      </c>
      <c r="C739">
        <v>0.5</v>
      </c>
      <c r="D739">
        <v>8.1</v>
      </c>
      <c r="E739">
        <v>5.6</v>
      </c>
      <c r="F739">
        <v>2.7</v>
      </c>
      <c r="G739">
        <v>3.1</v>
      </c>
      <c r="H739" t="s">
        <v>8</v>
      </c>
      <c r="I739">
        <v>15.899999999999999</v>
      </c>
      <c r="J739" t="s">
        <v>15</v>
      </c>
      <c r="K739">
        <v>2.95</v>
      </c>
      <c r="L739" t="s">
        <v>52</v>
      </c>
      <c r="M739" s="8">
        <v>0.45</v>
      </c>
    </row>
    <row r="740" spans="1:13" x14ac:dyDescent="0.25">
      <c r="A740">
        <v>739</v>
      </c>
      <c r="B740">
        <v>8.3000000000000007</v>
      </c>
      <c r="C740">
        <v>0.3</v>
      </c>
      <c r="D740">
        <v>6.8</v>
      </c>
      <c r="E740">
        <v>3.3</v>
      </c>
      <c r="F740">
        <v>5.3</v>
      </c>
      <c r="G740">
        <v>3.48</v>
      </c>
      <c r="H740" t="s">
        <v>10</v>
      </c>
      <c r="I740">
        <v>17.200000000000003</v>
      </c>
      <c r="J740" t="s">
        <v>15</v>
      </c>
      <c r="K740">
        <v>3.37</v>
      </c>
      <c r="L740" t="s">
        <v>52</v>
      </c>
      <c r="M740" s="8">
        <v>0.48</v>
      </c>
    </row>
    <row r="741" spans="1:13" x14ac:dyDescent="0.25">
      <c r="A741">
        <v>740</v>
      </c>
      <c r="B741">
        <v>9.1</v>
      </c>
      <c r="C741">
        <v>2.4</v>
      </c>
      <c r="D741">
        <v>6.9</v>
      </c>
      <c r="E741">
        <v>1.4</v>
      </c>
      <c r="F741">
        <v>4.2</v>
      </c>
      <c r="G741">
        <v>3.3</v>
      </c>
      <c r="H741" t="s">
        <v>10</v>
      </c>
      <c r="I741">
        <v>17.100000000000001</v>
      </c>
      <c r="J741" t="s">
        <v>15</v>
      </c>
      <c r="K741">
        <v>3.42</v>
      </c>
      <c r="L741" t="s">
        <v>52</v>
      </c>
      <c r="M741" s="8">
        <v>0.53</v>
      </c>
    </row>
    <row r="742" spans="1:13" x14ac:dyDescent="0.25">
      <c r="A742">
        <v>741</v>
      </c>
      <c r="B742">
        <v>5.5</v>
      </c>
      <c r="C742">
        <v>1.4</v>
      </c>
      <c r="D742">
        <v>7.1</v>
      </c>
      <c r="E742">
        <v>4.0999999999999996</v>
      </c>
      <c r="F742">
        <v>5.9</v>
      </c>
      <c r="G742">
        <v>2.71</v>
      </c>
      <c r="H742" t="s">
        <v>9</v>
      </c>
      <c r="I742">
        <v>16.899999999999999</v>
      </c>
      <c r="J742" t="s">
        <v>13</v>
      </c>
      <c r="K742">
        <v>2.04</v>
      </c>
      <c r="L742" t="s">
        <v>52</v>
      </c>
      <c r="M742" s="8">
        <v>0.33</v>
      </c>
    </row>
    <row r="743" spans="1:13" x14ac:dyDescent="0.25">
      <c r="A743">
        <v>742</v>
      </c>
      <c r="B743">
        <v>7</v>
      </c>
      <c r="C743">
        <v>0.7</v>
      </c>
      <c r="D743">
        <v>5.8</v>
      </c>
      <c r="E743">
        <v>5</v>
      </c>
      <c r="F743">
        <v>5.5</v>
      </c>
      <c r="G743">
        <v>3.09</v>
      </c>
      <c r="H743" t="s">
        <v>10</v>
      </c>
      <c r="I743">
        <v>18.2</v>
      </c>
      <c r="J743" t="s">
        <v>15</v>
      </c>
      <c r="K743">
        <v>2.7</v>
      </c>
      <c r="L743" t="s">
        <v>52</v>
      </c>
      <c r="M743" s="8">
        <v>0.38</v>
      </c>
    </row>
    <row r="744" spans="1:13" x14ac:dyDescent="0.25">
      <c r="A744">
        <v>743</v>
      </c>
      <c r="B744">
        <v>5.2</v>
      </c>
      <c r="C744">
        <v>1.7</v>
      </c>
      <c r="D744">
        <v>5.8</v>
      </c>
      <c r="E744">
        <v>5.3</v>
      </c>
      <c r="F744">
        <v>6</v>
      </c>
      <c r="G744">
        <v>2.48</v>
      </c>
      <c r="H744" t="s">
        <v>10</v>
      </c>
      <c r="I744">
        <v>18.2</v>
      </c>
      <c r="J744" t="s">
        <v>16</v>
      </c>
      <c r="K744">
        <v>1.93</v>
      </c>
      <c r="L744" t="s">
        <v>52</v>
      </c>
      <c r="M744" s="8">
        <v>0.28999999999999998</v>
      </c>
    </row>
    <row r="745" spans="1:13" x14ac:dyDescent="0.25">
      <c r="A745">
        <v>744</v>
      </c>
      <c r="B745">
        <v>7.5</v>
      </c>
      <c r="C745">
        <v>2.9</v>
      </c>
      <c r="D745">
        <v>9.8000000000000007</v>
      </c>
      <c r="E745">
        <v>0.8</v>
      </c>
      <c r="F745">
        <v>3</v>
      </c>
      <c r="G745">
        <v>3.19</v>
      </c>
      <c r="H745" t="s">
        <v>8</v>
      </c>
      <c r="I745">
        <v>14.200000000000001</v>
      </c>
      <c r="J745" t="s">
        <v>15</v>
      </c>
      <c r="K745">
        <v>2.82</v>
      </c>
      <c r="L745" t="s">
        <v>52</v>
      </c>
      <c r="M745" s="8">
        <v>0.53</v>
      </c>
    </row>
    <row r="746" spans="1:13" x14ac:dyDescent="0.25">
      <c r="A746">
        <v>745</v>
      </c>
      <c r="B746">
        <v>9.4</v>
      </c>
      <c r="C746">
        <v>3.7</v>
      </c>
      <c r="D746">
        <v>9.6</v>
      </c>
      <c r="E746">
        <v>0.8</v>
      </c>
      <c r="F746">
        <v>0.5</v>
      </c>
      <c r="G746">
        <v>3.16</v>
      </c>
      <c r="H746" t="s">
        <v>10</v>
      </c>
      <c r="I746">
        <v>14.400000000000002</v>
      </c>
      <c r="J746" t="s">
        <v>15</v>
      </c>
      <c r="K746">
        <v>4.13</v>
      </c>
      <c r="L746" t="s">
        <v>52</v>
      </c>
      <c r="M746" s="8">
        <v>0.65</v>
      </c>
    </row>
    <row r="747" spans="1:13" x14ac:dyDescent="0.25">
      <c r="A747">
        <v>746</v>
      </c>
      <c r="B747">
        <v>8.8000000000000007</v>
      </c>
      <c r="C747">
        <v>2.1</v>
      </c>
      <c r="D747">
        <v>8.4</v>
      </c>
      <c r="E747">
        <v>2</v>
      </c>
      <c r="F747">
        <v>2.7</v>
      </c>
      <c r="G747">
        <v>3.66</v>
      </c>
      <c r="H747" t="s">
        <v>10</v>
      </c>
      <c r="I747">
        <v>15.600000000000001</v>
      </c>
      <c r="J747" t="s">
        <v>14</v>
      </c>
      <c r="K747">
        <v>3.28</v>
      </c>
      <c r="L747" t="s">
        <v>52</v>
      </c>
      <c r="M747" s="8">
        <v>0.56000000000000005</v>
      </c>
    </row>
    <row r="748" spans="1:13" x14ac:dyDescent="0.25">
      <c r="A748">
        <v>747</v>
      </c>
      <c r="B748">
        <v>8.6999999999999993</v>
      </c>
      <c r="C748">
        <v>3.3</v>
      </c>
      <c r="D748">
        <v>5.7</v>
      </c>
      <c r="E748">
        <v>5</v>
      </c>
      <c r="F748">
        <v>1.3</v>
      </c>
      <c r="G748">
        <v>3.55</v>
      </c>
      <c r="H748" t="s">
        <v>10</v>
      </c>
      <c r="I748">
        <v>18.3</v>
      </c>
      <c r="J748" t="s">
        <v>14</v>
      </c>
      <c r="K748">
        <v>3.14</v>
      </c>
      <c r="L748" t="s">
        <v>52</v>
      </c>
      <c r="M748" s="8">
        <v>0.48</v>
      </c>
    </row>
    <row r="749" spans="1:13" x14ac:dyDescent="0.25">
      <c r="A749">
        <v>748</v>
      </c>
      <c r="B749">
        <v>7.2</v>
      </c>
      <c r="C749">
        <v>1.5</v>
      </c>
      <c r="D749">
        <v>9.6</v>
      </c>
      <c r="E749">
        <v>1.4</v>
      </c>
      <c r="F749">
        <v>4.3</v>
      </c>
      <c r="G749">
        <v>3.11</v>
      </c>
      <c r="H749" t="s">
        <v>8</v>
      </c>
      <c r="I749">
        <v>14.399999999999999</v>
      </c>
      <c r="J749" t="s">
        <v>15</v>
      </c>
      <c r="K749">
        <v>2.75</v>
      </c>
      <c r="L749" t="s">
        <v>52</v>
      </c>
      <c r="M749" s="8">
        <v>0.5</v>
      </c>
    </row>
    <row r="750" spans="1:13" x14ac:dyDescent="0.25">
      <c r="A750">
        <v>749</v>
      </c>
      <c r="B750">
        <v>9.1999999999999993</v>
      </c>
      <c r="C750">
        <v>1.9</v>
      </c>
      <c r="D750">
        <v>7.6</v>
      </c>
      <c r="E750">
        <v>1.6</v>
      </c>
      <c r="F750">
        <v>3.7</v>
      </c>
      <c r="G750">
        <v>3.02</v>
      </c>
      <c r="H750" t="s">
        <v>10</v>
      </c>
      <c r="I750">
        <v>16.399999999999999</v>
      </c>
      <c r="J750" t="s">
        <v>15</v>
      </c>
      <c r="K750">
        <v>3.52</v>
      </c>
      <c r="L750" t="s">
        <v>52</v>
      </c>
      <c r="M750" s="8">
        <v>0.56000000000000005</v>
      </c>
    </row>
    <row r="751" spans="1:13" x14ac:dyDescent="0.25">
      <c r="A751">
        <v>750</v>
      </c>
      <c r="B751">
        <v>5.2</v>
      </c>
      <c r="C751">
        <v>1.1000000000000001</v>
      </c>
      <c r="D751">
        <v>5</v>
      </c>
      <c r="E751">
        <v>5.9</v>
      </c>
      <c r="F751">
        <v>6.8</v>
      </c>
      <c r="G751">
        <v>2.93</v>
      </c>
      <c r="H751" t="s">
        <v>10</v>
      </c>
      <c r="I751">
        <v>19</v>
      </c>
      <c r="J751" t="s">
        <v>13</v>
      </c>
      <c r="K751">
        <v>2.52</v>
      </c>
      <c r="L751" t="s">
        <v>52</v>
      </c>
      <c r="M751" s="8">
        <v>0.27</v>
      </c>
    </row>
    <row r="752" spans="1:13" x14ac:dyDescent="0.25">
      <c r="A752">
        <v>751</v>
      </c>
      <c r="B752">
        <v>9.8000000000000007</v>
      </c>
      <c r="C752">
        <v>1.6</v>
      </c>
      <c r="D752">
        <v>8.6</v>
      </c>
      <c r="E752">
        <v>1.4</v>
      </c>
      <c r="F752">
        <v>2.6</v>
      </c>
      <c r="G752">
        <v>3.68</v>
      </c>
      <c r="H752" t="s">
        <v>10</v>
      </c>
      <c r="I752">
        <v>15.4</v>
      </c>
      <c r="J752" t="s">
        <v>14</v>
      </c>
      <c r="K752">
        <v>4</v>
      </c>
      <c r="L752" t="s">
        <v>52</v>
      </c>
      <c r="M752" s="8">
        <v>0.64</v>
      </c>
    </row>
    <row r="753" spans="1:13" x14ac:dyDescent="0.25">
      <c r="A753">
        <v>752</v>
      </c>
      <c r="B753">
        <v>9.6999999999999993</v>
      </c>
      <c r="C753">
        <v>1.6</v>
      </c>
      <c r="D753">
        <v>8.9</v>
      </c>
      <c r="E753">
        <v>1</v>
      </c>
      <c r="F753">
        <v>2.8</v>
      </c>
      <c r="G753">
        <v>3.57</v>
      </c>
      <c r="H753" t="s">
        <v>10</v>
      </c>
      <c r="I753">
        <v>15.099999999999998</v>
      </c>
      <c r="J753" t="s">
        <v>14</v>
      </c>
      <c r="K753">
        <v>4.0199999999999996</v>
      </c>
      <c r="L753" t="s">
        <v>52</v>
      </c>
      <c r="M753" s="8">
        <v>0.64</v>
      </c>
    </row>
    <row r="754" spans="1:13" x14ac:dyDescent="0.25">
      <c r="A754">
        <v>753</v>
      </c>
      <c r="B754">
        <v>10</v>
      </c>
      <c r="C754">
        <v>0.1</v>
      </c>
      <c r="D754">
        <v>8</v>
      </c>
      <c r="E754">
        <v>3.9</v>
      </c>
      <c r="F754">
        <v>2</v>
      </c>
      <c r="G754">
        <v>3.35</v>
      </c>
      <c r="H754" t="s">
        <v>10</v>
      </c>
      <c r="I754">
        <v>16</v>
      </c>
      <c r="J754" t="s">
        <v>15</v>
      </c>
      <c r="K754">
        <v>4.29</v>
      </c>
      <c r="L754" t="s">
        <v>52</v>
      </c>
      <c r="M754" s="8">
        <v>0.62</v>
      </c>
    </row>
    <row r="755" spans="1:13" x14ac:dyDescent="0.25">
      <c r="A755">
        <v>754</v>
      </c>
      <c r="B755">
        <v>9.6999999999999993</v>
      </c>
      <c r="C755">
        <v>0.7</v>
      </c>
      <c r="D755">
        <v>8.1</v>
      </c>
      <c r="E755">
        <v>1.2</v>
      </c>
      <c r="F755">
        <v>4.3</v>
      </c>
      <c r="G755">
        <v>3.53</v>
      </c>
      <c r="H755" t="s">
        <v>10</v>
      </c>
      <c r="I755">
        <v>15.899999999999999</v>
      </c>
      <c r="J755" t="s">
        <v>14</v>
      </c>
      <c r="K755">
        <v>4.1399999999999997</v>
      </c>
      <c r="L755" t="s">
        <v>52</v>
      </c>
      <c r="M755" s="8">
        <v>0.61</v>
      </c>
    </row>
    <row r="756" spans="1:13" x14ac:dyDescent="0.25">
      <c r="A756">
        <v>755</v>
      </c>
      <c r="B756">
        <v>6.5</v>
      </c>
      <c r="C756">
        <v>2.2000000000000002</v>
      </c>
      <c r="D756">
        <v>7.1</v>
      </c>
      <c r="E756">
        <v>1</v>
      </c>
      <c r="F756">
        <v>7.2</v>
      </c>
      <c r="G756">
        <v>2.91</v>
      </c>
      <c r="H756" t="s">
        <v>8</v>
      </c>
      <c r="I756">
        <v>16.899999999999999</v>
      </c>
      <c r="J756" t="s">
        <v>13</v>
      </c>
      <c r="K756">
        <v>3.08</v>
      </c>
      <c r="L756" t="s">
        <v>52</v>
      </c>
      <c r="M756" s="8">
        <v>0.38</v>
      </c>
    </row>
    <row r="757" spans="1:13" x14ac:dyDescent="0.25">
      <c r="A757">
        <v>756</v>
      </c>
      <c r="B757">
        <v>8.8000000000000007</v>
      </c>
      <c r="C757">
        <v>3.6</v>
      </c>
      <c r="D757">
        <v>5.4</v>
      </c>
      <c r="E757">
        <v>2.4</v>
      </c>
      <c r="F757">
        <v>3.8</v>
      </c>
      <c r="G757">
        <v>3.08</v>
      </c>
      <c r="H757" t="s">
        <v>10</v>
      </c>
      <c r="I757">
        <v>18.600000000000001</v>
      </c>
      <c r="J757" t="s">
        <v>15</v>
      </c>
      <c r="K757">
        <v>2.83</v>
      </c>
      <c r="L757" t="s">
        <v>52</v>
      </c>
      <c r="M757" s="8">
        <v>0.47</v>
      </c>
    </row>
    <row r="758" spans="1:13" x14ac:dyDescent="0.25">
      <c r="A758">
        <v>757</v>
      </c>
      <c r="B758">
        <v>5.5</v>
      </c>
      <c r="C758">
        <v>0.1</v>
      </c>
      <c r="D758">
        <v>8.3000000000000007</v>
      </c>
      <c r="E758">
        <v>3.6</v>
      </c>
      <c r="F758">
        <v>6.5</v>
      </c>
      <c r="G758">
        <v>2.73</v>
      </c>
      <c r="H758" t="s">
        <v>9</v>
      </c>
      <c r="I758">
        <v>15.7</v>
      </c>
      <c r="J758" t="s">
        <v>13</v>
      </c>
      <c r="K758">
        <v>2.82</v>
      </c>
      <c r="L758" t="s">
        <v>52</v>
      </c>
      <c r="M758" s="8">
        <v>0.35</v>
      </c>
    </row>
    <row r="759" spans="1:13" x14ac:dyDescent="0.25">
      <c r="A759">
        <v>758</v>
      </c>
      <c r="B759">
        <v>5.0999999999999996</v>
      </c>
      <c r="C759">
        <v>3.3</v>
      </c>
      <c r="D759">
        <v>9.9</v>
      </c>
      <c r="E759">
        <v>0.8</v>
      </c>
      <c r="F759">
        <v>4.9000000000000004</v>
      </c>
      <c r="G759">
        <v>2.64</v>
      </c>
      <c r="H759" t="s">
        <v>9</v>
      </c>
      <c r="I759">
        <v>14.1</v>
      </c>
      <c r="J759" t="s">
        <v>13</v>
      </c>
      <c r="K759">
        <v>1.99</v>
      </c>
      <c r="L759" t="s">
        <v>52</v>
      </c>
      <c r="M759" s="8">
        <v>0.36</v>
      </c>
    </row>
    <row r="760" spans="1:13" x14ac:dyDescent="0.25">
      <c r="A760">
        <v>759</v>
      </c>
      <c r="B760">
        <v>6.2</v>
      </c>
      <c r="C760">
        <v>3.5</v>
      </c>
      <c r="D760">
        <v>9.6</v>
      </c>
      <c r="E760">
        <v>2</v>
      </c>
      <c r="F760">
        <v>2.7</v>
      </c>
      <c r="G760">
        <v>2.5499999999999998</v>
      </c>
      <c r="H760" t="s">
        <v>8</v>
      </c>
      <c r="I760">
        <v>14.399999999999999</v>
      </c>
      <c r="J760" t="s">
        <v>13</v>
      </c>
      <c r="K760">
        <v>1.84</v>
      </c>
      <c r="L760" t="s">
        <v>52</v>
      </c>
      <c r="M760" s="8">
        <v>0.43</v>
      </c>
    </row>
    <row r="761" spans="1:13" x14ac:dyDescent="0.25">
      <c r="A761">
        <v>760</v>
      </c>
      <c r="B761">
        <v>5.0999999999999996</v>
      </c>
      <c r="C761">
        <v>2.2999999999999998</v>
      </c>
      <c r="D761">
        <v>5.0999999999999996</v>
      </c>
      <c r="E761">
        <v>4.7</v>
      </c>
      <c r="F761">
        <v>6.8</v>
      </c>
      <c r="G761">
        <v>3.03</v>
      </c>
      <c r="H761" t="s">
        <v>10</v>
      </c>
      <c r="I761">
        <v>18.899999999999999</v>
      </c>
      <c r="J761" t="s">
        <v>15</v>
      </c>
      <c r="K761">
        <v>1.86</v>
      </c>
      <c r="L761" t="s">
        <v>52</v>
      </c>
      <c r="M761" s="8">
        <v>0.27</v>
      </c>
    </row>
    <row r="762" spans="1:13" x14ac:dyDescent="0.25">
      <c r="A762">
        <v>761</v>
      </c>
      <c r="B762">
        <v>6.5</v>
      </c>
      <c r="C762">
        <v>0.2</v>
      </c>
      <c r="D762">
        <v>7.9</v>
      </c>
      <c r="E762">
        <v>2.4</v>
      </c>
      <c r="F762">
        <v>7</v>
      </c>
      <c r="G762">
        <v>2.98</v>
      </c>
      <c r="H762" t="s">
        <v>8</v>
      </c>
      <c r="I762">
        <v>16.100000000000001</v>
      </c>
      <c r="J762" t="s">
        <v>13</v>
      </c>
      <c r="K762">
        <v>3.28</v>
      </c>
      <c r="L762" t="s">
        <v>52</v>
      </c>
      <c r="M762" s="8">
        <v>0.4</v>
      </c>
    </row>
    <row r="763" spans="1:13" x14ac:dyDescent="0.25">
      <c r="A763">
        <v>762</v>
      </c>
      <c r="B763">
        <v>6.4</v>
      </c>
      <c r="C763">
        <v>2.8</v>
      </c>
      <c r="D763">
        <v>6.4</v>
      </c>
      <c r="E763">
        <v>5.4</v>
      </c>
      <c r="F763">
        <v>3</v>
      </c>
      <c r="G763">
        <v>3.05</v>
      </c>
      <c r="H763" t="s">
        <v>8</v>
      </c>
      <c r="I763">
        <v>17.600000000000001</v>
      </c>
      <c r="J763" t="s">
        <v>15</v>
      </c>
      <c r="K763">
        <v>1.78</v>
      </c>
      <c r="L763" t="s">
        <v>52</v>
      </c>
      <c r="M763" s="8">
        <v>0.36</v>
      </c>
    </row>
    <row r="764" spans="1:13" x14ac:dyDescent="0.25">
      <c r="A764">
        <v>763</v>
      </c>
      <c r="B764">
        <v>6.9</v>
      </c>
      <c r="C764">
        <v>2.2000000000000002</v>
      </c>
      <c r="D764">
        <v>5.3</v>
      </c>
      <c r="E764">
        <v>2.6</v>
      </c>
      <c r="F764">
        <v>7</v>
      </c>
      <c r="G764">
        <v>3.12</v>
      </c>
      <c r="H764" t="s">
        <v>10</v>
      </c>
      <c r="I764">
        <v>18.700000000000003</v>
      </c>
      <c r="J764" t="s">
        <v>15</v>
      </c>
      <c r="K764">
        <v>2.63</v>
      </c>
      <c r="L764" t="s">
        <v>52</v>
      </c>
      <c r="M764" s="8">
        <v>0.37</v>
      </c>
    </row>
    <row r="765" spans="1:13" x14ac:dyDescent="0.25">
      <c r="A765">
        <v>764</v>
      </c>
      <c r="B765">
        <v>6.1</v>
      </c>
      <c r="C765">
        <v>0.9</v>
      </c>
      <c r="D765">
        <v>9.1</v>
      </c>
      <c r="E765">
        <v>5.6</v>
      </c>
      <c r="F765">
        <v>2.2999999999999998</v>
      </c>
      <c r="G765">
        <v>3.01</v>
      </c>
      <c r="H765" t="s">
        <v>8</v>
      </c>
      <c r="I765">
        <v>14.899999999999999</v>
      </c>
      <c r="J765" t="s">
        <v>15</v>
      </c>
      <c r="K765">
        <v>2.5299999999999998</v>
      </c>
      <c r="L765" t="s">
        <v>52</v>
      </c>
      <c r="M765" s="8">
        <v>0.41</v>
      </c>
    </row>
    <row r="766" spans="1:13" x14ac:dyDescent="0.25">
      <c r="A766">
        <v>765</v>
      </c>
      <c r="B766">
        <v>5.5</v>
      </c>
      <c r="C766">
        <v>1.8</v>
      </c>
      <c r="D766">
        <v>6.7</v>
      </c>
      <c r="E766">
        <v>5.2</v>
      </c>
      <c r="F766">
        <v>4.8</v>
      </c>
      <c r="G766">
        <v>2.2400000000000002</v>
      </c>
      <c r="H766" t="s">
        <v>9</v>
      </c>
      <c r="I766">
        <v>17.3</v>
      </c>
      <c r="J766" t="s">
        <v>16</v>
      </c>
      <c r="K766">
        <v>1.71</v>
      </c>
      <c r="L766" t="s">
        <v>52</v>
      </c>
      <c r="M766" s="8">
        <v>0.32</v>
      </c>
    </row>
    <row r="767" spans="1:13" x14ac:dyDescent="0.25">
      <c r="A767">
        <v>766</v>
      </c>
      <c r="B767">
        <v>6.7</v>
      </c>
      <c r="C767">
        <v>1.6</v>
      </c>
      <c r="D767">
        <v>7.6</v>
      </c>
      <c r="E767">
        <v>1</v>
      </c>
      <c r="F767">
        <v>7.1</v>
      </c>
      <c r="G767">
        <v>2.93</v>
      </c>
      <c r="H767" t="s">
        <v>8</v>
      </c>
      <c r="I767">
        <v>16.399999999999999</v>
      </c>
      <c r="J767" t="s">
        <v>13</v>
      </c>
      <c r="K767">
        <v>3.25</v>
      </c>
      <c r="L767" t="s">
        <v>52</v>
      </c>
      <c r="M767" s="8">
        <v>0.41</v>
      </c>
    </row>
    <row r="768" spans="1:13" x14ac:dyDescent="0.25">
      <c r="A768">
        <v>767</v>
      </c>
      <c r="B768">
        <v>7.9</v>
      </c>
      <c r="C768">
        <v>3.2</v>
      </c>
      <c r="D768">
        <v>8.8000000000000007</v>
      </c>
      <c r="E768">
        <v>0.6</v>
      </c>
      <c r="F768">
        <v>3.5</v>
      </c>
      <c r="G768">
        <v>3.09</v>
      </c>
      <c r="H768" t="s">
        <v>8</v>
      </c>
      <c r="I768">
        <v>15.200000000000001</v>
      </c>
      <c r="J768" t="s">
        <v>15</v>
      </c>
      <c r="K768">
        <v>3.03</v>
      </c>
      <c r="L768" t="s">
        <v>52</v>
      </c>
      <c r="M768" s="8">
        <v>0.52</v>
      </c>
    </row>
    <row r="769" spans="1:13" x14ac:dyDescent="0.25">
      <c r="A769">
        <v>768</v>
      </c>
      <c r="B769">
        <v>6.8</v>
      </c>
      <c r="C769">
        <v>1.6</v>
      </c>
      <c r="D769">
        <v>8.4</v>
      </c>
      <c r="E769">
        <v>0.3</v>
      </c>
      <c r="F769">
        <v>6.9</v>
      </c>
      <c r="G769">
        <v>2.88</v>
      </c>
      <c r="H769" t="s">
        <v>8</v>
      </c>
      <c r="I769">
        <v>15.600000000000001</v>
      </c>
      <c r="J769" t="s">
        <v>13</v>
      </c>
      <c r="K769">
        <v>3.45</v>
      </c>
      <c r="L769" t="s">
        <v>52</v>
      </c>
      <c r="M769" s="8">
        <v>0.44</v>
      </c>
    </row>
    <row r="770" spans="1:13" x14ac:dyDescent="0.25">
      <c r="A770">
        <v>769</v>
      </c>
      <c r="B770">
        <v>5.2</v>
      </c>
      <c r="C770">
        <v>1.6</v>
      </c>
      <c r="D770">
        <v>8.5</v>
      </c>
      <c r="E770">
        <v>1.2</v>
      </c>
      <c r="F770">
        <v>7.5</v>
      </c>
      <c r="G770">
        <v>2.52</v>
      </c>
      <c r="H770" t="s">
        <v>9</v>
      </c>
      <c r="I770">
        <v>15.5</v>
      </c>
      <c r="J770" t="s">
        <v>13</v>
      </c>
      <c r="K770">
        <v>3.01</v>
      </c>
      <c r="L770" t="s">
        <v>52</v>
      </c>
      <c r="M770" s="8">
        <v>0.34</v>
      </c>
    </row>
    <row r="771" spans="1:13" x14ac:dyDescent="0.25">
      <c r="A771">
        <v>770</v>
      </c>
      <c r="B771">
        <v>9.4</v>
      </c>
      <c r="C771">
        <v>3.6</v>
      </c>
      <c r="D771">
        <v>6.5</v>
      </c>
      <c r="E771">
        <v>1</v>
      </c>
      <c r="F771">
        <v>3.5</v>
      </c>
      <c r="G771">
        <v>3.57</v>
      </c>
      <c r="H771" t="s">
        <v>10</v>
      </c>
      <c r="I771">
        <v>17.5</v>
      </c>
      <c r="J771" t="s">
        <v>14</v>
      </c>
      <c r="K771">
        <v>3.56</v>
      </c>
      <c r="L771" t="s">
        <v>52</v>
      </c>
      <c r="M771" s="8">
        <v>0.54</v>
      </c>
    </row>
    <row r="772" spans="1:13" x14ac:dyDescent="0.25">
      <c r="A772">
        <v>771</v>
      </c>
      <c r="B772">
        <v>7.1</v>
      </c>
      <c r="C772">
        <v>1</v>
      </c>
      <c r="D772">
        <v>8.4</v>
      </c>
      <c r="E772">
        <v>5</v>
      </c>
      <c r="F772">
        <v>2.5</v>
      </c>
      <c r="G772">
        <v>3.26</v>
      </c>
      <c r="H772" t="s">
        <v>8</v>
      </c>
      <c r="I772">
        <v>15.6</v>
      </c>
      <c r="J772" t="s">
        <v>15</v>
      </c>
      <c r="K772">
        <v>2.7</v>
      </c>
      <c r="L772" t="s">
        <v>52</v>
      </c>
      <c r="M772" s="8">
        <v>0.46</v>
      </c>
    </row>
    <row r="773" spans="1:13" x14ac:dyDescent="0.25">
      <c r="A773">
        <v>772</v>
      </c>
      <c r="B773">
        <v>7</v>
      </c>
      <c r="C773">
        <v>0.6</v>
      </c>
      <c r="D773">
        <v>8.6999999999999993</v>
      </c>
      <c r="E773">
        <v>2.2000000000000002</v>
      </c>
      <c r="F773">
        <v>5.5</v>
      </c>
      <c r="G773">
        <v>3.15</v>
      </c>
      <c r="H773" t="s">
        <v>8</v>
      </c>
      <c r="I773">
        <v>15.3</v>
      </c>
      <c r="J773" t="s">
        <v>15</v>
      </c>
      <c r="K773">
        <v>2.94</v>
      </c>
      <c r="L773" t="s">
        <v>52</v>
      </c>
      <c r="M773" s="8">
        <v>0.46</v>
      </c>
    </row>
    <row r="774" spans="1:13" x14ac:dyDescent="0.25">
      <c r="A774">
        <v>773</v>
      </c>
      <c r="B774">
        <v>8.4</v>
      </c>
      <c r="C774">
        <v>1.1000000000000001</v>
      </c>
      <c r="D774">
        <v>5.4</v>
      </c>
      <c r="E774">
        <v>6</v>
      </c>
      <c r="F774">
        <v>3.1</v>
      </c>
      <c r="G774">
        <v>3.44</v>
      </c>
      <c r="H774" t="s">
        <v>10</v>
      </c>
      <c r="I774">
        <v>18.600000000000001</v>
      </c>
      <c r="J774" t="s">
        <v>15</v>
      </c>
      <c r="K774">
        <v>3.21</v>
      </c>
      <c r="L774" t="s">
        <v>52</v>
      </c>
      <c r="M774" s="8">
        <v>0.45</v>
      </c>
    </row>
    <row r="775" spans="1:13" x14ac:dyDescent="0.25">
      <c r="A775">
        <v>774</v>
      </c>
      <c r="B775">
        <v>9.3000000000000007</v>
      </c>
      <c r="C775">
        <v>1.2</v>
      </c>
      <c r="D775">
        <v>7.3</v>
      </c>
      <c r="E775">
        <v>3.7</v>
      </c>
      <c r="F775">
        <v>2.5</v>
      </c>
      <c r="G775">
        <v>3.76</v>
      </c>
      <c r="H775" t="s">
        <v>10</v>
      </c>
      <c r="I775">
        <v>16.7</v>
      </c>
      <c r="J775" t="s">
        <v>14</v>
      </c>
      <c r="K775">
        <v>3.57</v>
      </c>
      <c r="L775" t="s">
        <v>52</v>
      </c>
      <c r="M775" s="8">
        <v>0.56000000000000005</v>
      </c>
    </row>
    <row r="776" spans="1:13" x14ac:dyDescent="0.25">
      <c r="A776">
        <v>775</v>
      </c>
      <c r="B776">
        <v>7.1</v>
      </c>
      <c r="C776">
        <v>1.7</v>
      </c>
      <c r="D776">
        <v>6.7</v>
      </c>
      <c r="E776">
        <v>3.4</v>
      </c>
      <c r="F776">
        <v>5.0999999999999996</v>
      </c>
      <c r="G776">
        <v>2.99</v>
      </c>
      <c r="H776" t="s">
        <v>8</v>
      </c>
      <c r="I776">
        <v>17.299999999999997</v>
      </c>
      <c r="J776" t="s">
        <v>13</v>
      </c>
      <c r="K776">
        <v>2.31</v>
      </c>
      <c r="L776" t="s">
        <v>52</v>
      </c>
      <c r="M776" s="8">
        <v>0.41</v>
      </c>
    </row>
    <row r="777" spans="1:13" x14ac:dyDescent="0.25">
      <c r="A777">
        <v>776</v>
      </c>
      <c r="B777">
        <v>9.6999999999999993</v>
      </c>
      <c r="C777">
        <v>2.8</v>
      </c>
      <c r="D777">
        <v>9.1</v>
      </c>
      <c r="E777">
        <v>1.3</v>
      </c>
      <c r="F777">
        <v>1.1000000000000001</v>
      </c>
      <c r="G777">
        <v>3.54</v>
      </c>
      <c r="H777" t="s">
        <v>10</v>
      </c>
      <c r="I777">
        <v>14.9</v>
      </c>
      <c r="J777" t="s">
        <v>14</v>
      </c>
      <c r="K777">
        <v>4.05</v>
      </c>
      <c r="L777" t="s">
        <v>52</v>
      </c>
      <c r="M777" s="8">
        <v>0.65</v>
      </c>
    </row>
    <row r="778" spans="1:13" x14ac:dyDescent="0.25">
      <c r="A778">
        <v>777</v>
      </c>
      <c r="B778">
        <v>8.9</v>
      </c>
      <c r="C778">
        <v>0.1</v>
      </c>
      <c r="D778">
        <v>9.1</v>
      </c>
      <c r="E778">
        <v>0.2</v>
      </c>
      <c r="F778">
        <v>5.7</v>
      </c>
      <c r="G778">
        <v>3.14</v>
      </c>
      <c r="H778" t="s">
        <v>10</v>
      </c>
      <c r="I778">
        <v>14.899999999999999</v>
      </c>
      <c r="J778" t="s">
        <v>15</v>
      </c>
      <c r="K778">
        <v>4.33</v>
      </c>
      <c r="L778" t="s">
        <v>52</v>
      </c>
      <c r="M778" s="8">
        <v>0.6</v>
      </c>
    </row>
    <row r="779" spans="1:13" x14ac:dyDescent="0.25">
      <c r="A779">
        <v>778</v>
      </c>
      <c r="B779">
        <v>8.8000000000000007</v>
      </c>
      <c r="C779">
        <v>1</v>
      </c>
      <c r="D779">
        <v>9.3000000000000007</v>
      </c>
      <c r="E779">
        <v>0.5</v>
      </c>
      <c r="F779">
        <v>4.4000000000000004</v>
      </c>
      <c r="G779">
        <v>3.18</v>
      </c>
      <c r="H779" t="s">
        <v>10</v>
      </c>
      <c r="I779">
        <v>14.700000000000001</v>
      </c>
      <c r="J779" t="s">
        <v>15</v>
      </c>
      <c r="K779">
        <v>3.83</v>
      </c>
      <c r="L779" t="s">
        <v>52</v>
      </c>
      <c r="M779" s="8">
        <v>0.6</v>
      </c>
    </row>
    <row r="780" spans="1:13" x14ac:dyDescent="0.25">
      <c r="A780">
        <v>779</v>
      </c>
      <c r="B780">
        <v>5.6</v>
      </c>
      <c r="C780">
        <v>3.9</v>
      </c>
      <c r="D780">
        <v>8.4</v>
      </c>
      <c r="E780">
        <v>5.0999999999999996</v>
      </c>
      <c r="F780">
        <v>1</v>
      </c>
      <c r="G780">
        <v>3.08</v>
      </c>
      <c r="H780" t="s">
        <v>9</v>
      </c>
      <c r="I780">
        <v>15.6</v>
      </c>
      <c r="J780" t="s">
        <v>15</v>
      </c>
      <c r="K780">
        <v>2.06</v>
      </c>
      <c r="L780" t="s">
        <v>52</v>
      </c>
      <c r="M780" s="8">
        <v>0.36</v>
      </c>
    </row>
    <row r="781" spans="1:13" x14ac:dyDescent="0.25">
      <c r="A781">
        <v>780</v>
      </c>
      <c r="B781">
        <v>8</v>
      </c>
      <c r="C781">
        <v>2.4</v>
      </c>
      <c r="D781">
        <v>8.4</v>
      </c>
      <c r="E781">
        <v>3</v>
      </c>
      <c r="F781">
        <v>2.2000000000000002</v>
      </c>
      <c r="G781">
        <v>2.96</v>
      </c>
      <c r="H781" t="s">
        <v>8</v>
      </c>
      <c r="I781">
        <v>15.600000000000001</v>
      </c>
      <c r="J781" t="s">
        <v>13</v>
      </c>
      <c r="K781">
        <v>2.75</v>
      </c>
      <c r="L781" t="s">
        <v>52</v>
      </c>
      <c r="M781" s="8">
        <v>0.51</v>
      </c>
    </row>
    <row r="782" spans="1:13" x14ac:dyDescent="0.25">
      <c r="A782">
        <v>781</v>
      </c>
      <c r="B782">
        <v>7.1</v>
      </c>
      <c r="C782">
        <v>1.1000000000000001</v>
      </c>
      <c r="D782">
        <v>8.8000000000000007</v>
      </c>
      <c r="E782">
        <v>1.4</v>
      </c>
      <c r="F782">
        <v>5.6</v>
      </c>
      <c r="G782">
        <v>2.85</v>
      </c>
      <c r="H782" t="s">
        <v>8</v>
      </c>
      <c r="I782">
        <v>15.2</v>
      </c>
      <c r="J782" t="s">
        <v>13</v>
      </c>
      <c r="K782">
        <v>3.01</v>
      </c>
      <c r="L782" t="s">
        <v>52</v>
      </c>
      <c r="M782" s="8">
        <v>0.47</v>
      </c>
    </row>
    <row r="783" spans="1:13" x14ac:dyDescent="0.25">
      <c r="A783">
        <v>782</v>
      </c>
      <c r="B783">
        <v>8.1</v>
      </c>
      <c r="C783">
        <v>3</v>
      </c>
      <c r="D783">
        <v>6.1</v>
      </c>
      <c r="E783">
        <v>0.4</v>
      </c>
      <c r="F783">
        <v>6.4</v>
      </c>
      <c r="G783">
        <v>3.37</v>
      </c>
      <c r="H783" t="s">
        <v>10</v>
      </c>
      <c r="I783">
        <v>17.899999999999999</v>
      </c>
      <c r="J783" t="s">
        <v>15</v>
      </c>
      <c r="K783">
        <v>3.45</v>
      </c>
      <c r="L783" t="s">
        <v>52</v>
      </c>
      <c r="M783" s="8">
        <v>0.45</v>
      </c>
    </row>
    <row r="784" spans="1:13" x14ac:dyDescent="0.25">
      <c r="A784">
        <v>783</v>
      </c>
      <c r="B784">
        <v>5.7</v>
      </c>
      <c r="C784">
        <v>2.4</v>
      </c>
      <c r="D784">
        <v>9.1999999999999993</v>
      </c>
      <c r="E784">
        <v>0.3</v>
      </c>
      <c r="F784">
        <v>6.4</v>
      </c>
      <c r="G784">
        <v>2.69</v>
      </c>
      <c r="H784" t="s">
        <v>9</v>
      </c>
      <c r="I784">
        <v>14.8</v>
      </c>
      <c r="J784" t="s">
        <v>13</v>
      </c>
      <c r="K784">
        <v>2.86</v>
      </c>
      <c r="L784" t="s">
        <v>52</v>
      </c>
      <c r="M784" s="8">
        <v>0.39</v>
      </c>
    </row>
    <row r="785" spans="1:13" x14ac:dyDescent="0.25">
      <c r="A785">
        <v>784</v>
      </c>
      <c r="B785">
        <v>7.4</v>
      </c>
      <c r="C785">
        <v>3.7</v>
      </c>
      <c r="D785">
        <v>6.7</v>
      </c>
      <c r="E785">
        <v>2.8</v>
      </c>
      <c r="F785">
        <v>3.4</v>
      </c>
      <c r="G785">
        <v>3.36</v>
      </c>
      <c r="H785" t="s">
        <v>8</v>
      </c>
      <c r="I785">
        <v>17.3</v>
      </c>
      <c r="J785" t="s">
        <v>15</v>
      </c>
      <c r="K785">
        <v>2.08</v>
      </c>
      <c r="L785" t="s">
        <v>52</v>
      </c>
      <c r="M785" s="8">
        <v>0.43</v>
      </c>
    </row>
    <row r="786" spans="1:13" x14ac:dyDescent="0.25">
      <c r="A786">
        <v>785</v>
      </c>
      <c r="B786">
        <v>5.0999999999999996</v>
      </c>
      <c r="C786">
        <v>0.3</v>
      </c>
      <c r="D786">
        <v>6.3</v>
      </c>
      <c r="E786">
        <v>0.2</v>
      </c>
      <c r="F786">
        <v>12.1</v>
      </c>
      <c r="G786">
        <v>2.5499999999999998</v>
      </c>
      <c r="H786" t="s">
        <v>9</v>
      </c>
      <c r="I786">
        <v>17.7</v>
      </c>
      <c r="J786" t="s">
        <v>13</v>
      </c>
      <c r="K786">
        <v>5.6</v>
      </c>
      <c r="L786" t="s">
        <v>52</v>
      </c>
      <c r="M786" s="8">
        <v>0.28999999999999998</v>
      </c>
    </row>
    <row r="787" spans="1:13" x14ac:dyDescent="0.25">
      <c r="A787">
        <v>786</v>
      </c>
      <c r="B787">
        <v>7.7</v>
      </c>
      <c r="C787">
        <v>0.7</v>
      </c>
      <c r="D787">
        <v>6.5</v>
      </c>
      <c r="E787">
        <v>4</v>
      </c>
      <c r="F787">
        <v>5.0999999999999996</v>
      </c>
      <c r="G787">
        <v>3.54</v>
      </c>
      <c r="H787" t="s">
        <v>8</v>
      </c>
      <c r="I787">
        <v>17.5</v>
      </c>
      <c r="J787" t="s">
        <v>14</v>
      </c>
      <c r="K787">
        <v>2.9</v>
      </c>
      <c r="L787" t="s">
        <v>52</v>
      </c>
      <c r="M787" s="8">
        <v>0.44</v>
      </c>
    </row>
    <row r="788" spans="1:13" x14ac:dyDescent="0.25">
      <c r="A788">
        <v>787</v>
      </c>
      <c r="B788">
        <v>9.8000000000000007</v>
      </c>
      <c r="C788">
        <v>0.2</v>
      </c>
      <c r="D788">
        <v>9.5</v>
      </c>
      <c r="E788">
        <v>2.6</v>
      </c>
      <c r="F788">
        <v>1.9</v>
      </c>
      <c r="G788">
        <v>3.47</v>
      </c>
      <c r="H788" t="s">
        <v>10</v>
      </c>
      <c r="I788">
        <v>14.5</v>
      </c>
      <c r="J788" t="s">
        <v>15</v>
      </c>
      <c r="K788">
        <v>4.24</v>
      </c>
      <c r="L788" t="s">
        <v>52</v>
      </c>
      <c r="M788" s="8">
        <v>0.68</v>
      </c>
    </row>
    <row r="789" spans="1:13" x14ac:dyDescent="0.25">
      <c r="A789">
        <v>788</v>
      </c>
      <c r="B789">
        <v>5.3</v>
      </c>
      <c r="C789">
        <v>0.4</v>
      </c>
      <c r="D789">
        <v>8</v>
      </c>
      <c r="E789">
        <v>2</v>
      </c>
      <c r="F789">
        <v>8.3000000000000007</v>
      </c>
      <c r="G789">
        <v>3.37</v>
      </c>
      <c r="H789" t="s">
        <v>9</v>
      </c>
      <c r="I789">
        <v>16</v>
      </c>
      <c r="J789" t="s">
        <v>15</v>
      </c>
      <c r="K789">
        <v>3.52</v>
      </c>
      <c r="L789" t="s">
        <v>52</v>
      </c>
      <c r="M789" s="8">
        <v>0.33</v>
      </c>
    </row>
    <row r="790" spans="1:13" x14ac:dyDescent="0.25">
      <c r="A790">
        <v>789</v>
      </c>
      <c r="B790">
        <v>9.6</v>
      </c>
      <c r="C790">
        <v>1.6</v>
      </c>
      <c r="D790">
        <v>5.7</v>
      </c>
      <c r="E790">
        <v>4.3</v>
      </c>
      <c r="F790">
        <v>2.8</v>
      </c>
      <c r="G790">
        <v>3.49</v>
      </c>
      <c r="H790" t="s">
        <v>10</v>
      </c>
      <c r="I790">
        <v>18.3</v>
      </c>
      <c r="J790" t="s">
        <v>15</v>
      </c>
      <c r="K790">
        <v>3.53</v>
      </c>
      <c r="L790" t="s">
        <v>52</v>
      </c>
      <c r="M790" s="8">
        <v>0.52</v>
      </c>
    </row>
    <row r="791" spans="1:13" x14ac:dyDescent="0.25">
      <c r="A791">
        <v>790</v>
      </c>
      <c r="B791">
        <v>8.5</v>
      </c>
      <c r="C791">
        <v>3.6</v>
      </c>
      <c r="D791">
        <v>9</v>
      </c>
      <c r="E791">
        <v>2</v>
      </c>
      <c r="F791">
        <v>0.9</v>
      </c>
      <c r="G791">
        <v>2.9</v>
      </c>
      <c r="H791" t="s">
        <v>10</v>
      </c>
      <c r="I791">
        <v>15</v>
      </c>
      <c r="J791" t="s">
        <v>13</v>
      </c>
      <c r="K791">
        <v>3.36</v>
      </c>
      <c r="L791" t="s">
        <v>52</v>
      </c>
      <c r="M791" s="8">
        <v>0.56999999999999995</v>
      </c>
    </row>
    <row r="792" spans="1:13" x14ac:dyDescent="0.25">
      <c r="A792">
        <v>791</v>
      </c>
      <c r="B792">
        <v>8.4</v>
      </c>
      <c r="C792">
        <v>3.8</v>
      </c>
      <c r="D792">
        <v>6.5</v>
      </c>
      <c r="E792">
        <v>0</v>
      </c>
      <c r="F792">
        <v>5.3</v>
      </c>
      <c r="G792">
        <v>3.08</v>
      </c>
      <c r="H792" t="s">
        <v>10</v>
      </c>
      <c r="I792">
        <v>17.5</v>
      </c>
      <c r="J792" t="s">
        <v>15</v>
      </c>
      <c r="K792">
        <v>3.49</v>
      </c>
      <c r="L792" t="s">
        <v>52</v>
      </c>
      <c r="M792" s="8">
        <v>0.48</v>
      </c>
    </row>
    <row r="793" spans="1:13" x14ac:dyDescent="0.25">
      <c r="A793">
        <v>792</v>
      </c>
      <c r="B793">
        <v>8.3000000000000007</v>
      </c>
      <c r="C793">
        <v>2.5</v>
      </c>
      <c r="D793">
        <v>8</v>
      </c>
      <c r="E793">
        <v>0.1</v>
      </c>
      <c r="F793">
        <v>5.0999999999999996</v>
      </c>
      <c r="G793">
        <v>3.1</v>
      </c>
      <c r="H793" t="s">
        <v>10</v>
      </c>
      <c r="I793">
        <v>16</v>
      </c>
      <c r="J793" t="s">
        <v>15</v>
      </c>
      <c r="K793">
        <v>3.52</v>
      </c>
      <c r="L793" t="s">
        <v>52</v>
      </c>
      <c r="M793" s="8">
        <v>0.52</v>
      </c>
    </row>
    <row r="794" spans="1:13" x14ac:dyDescent="0.25">
      <c r="A794">
        <v>793</v>
      </c>
      <c r="B794">
        <v>8.6</v>
      </c>
      <c r="C794">
        <v>1.3</v>
      </c>
      <c r="D794">
        <v>8.3000000000000007</v>
      </c>
      <c r="E794">
        <v>3.2</v>
      </c>
      <c r="F794">
        <v>2.6</v>
      </c>
      <c r="G794">
        <v>3.11</v>
      </c>
      <c r="H794" t="s">
        <v>10</v>
      </c>
      <c r="I794">
        <v>15.700000000000001</v>
      </c>
      <c r="J794" t="s">
        <v>15</v>
      </c>
      <c r="K794">
        <v>3.22</v>
      </c>
      <c r="L794" t="s">
        <v>52</v>
      </c>
      <c r="M794" s="8">
        <v>0.55000000000000004</v>
      </c>
    </row>
    <row r="795" spans="1:13" x14ac:dyDescent="0.25">
      <c r="A795">
        <v>794</v>
      </c>
      <c r="B795">
        <v>5.5</v>
      </c>
      <c r="C795">
        <v>3.3</v>
      </c>
      <c r="D795">
        <v>9.6</v>
      </c>
      <c r="E795">
        <v>3.6</v>
      </c>
      <c r="F795">
        <v>2</v>
      </c>
      <c r="G795">
        <v>2.75</v>
      </c>
      <c r="H795" t="s">
        <v>9</v>
      </c>
      <c r="I795">
        <v>14.4</v>
      </c>
      <c r="J795" t="s">
        <v>13</v>
      </c>
      <c r="K795">
        <v>1.44</v>
      </c>
      <c r="L795" t="s">
        <v>51</v>
      </c>
      <c r="M795" s="8">
        <v>0.38</v>
      </c>
    </row>
    <row r="796" spans="1:13" x14ac:dyDescent="0.25">
      <c r="A796">
        <v>795</v>
      </c>
      <c r="B796">
        <v>5.5</v>
      </c>
      <c r="C796">
        <v>1.6</v>
      </c>
      <c r="D796">
        <v>8.6</v>
      </c>
      <c r="E796">
        <v>4.7</v>
      </c>
      <c r="F796">
        <v>3.6</v>
      </c>
      <c r="G796">
        <v>2.64</v>
      </c>
      <c r="H796" t="s">
        <v>9</v>
      </c>
      <c r="I796">
        <v>15.4</v>
      </c>
      <c r="J796" t="s">
        <v>13</v>
      </c>
      <c r="K796">
        <v>1.69</v>
      </c>
      <c r="L796" t="s">
        <v>52</v>
      </c>
      <c r="M796" s="8">
        <v>0.36</v>
      </c>
    </row>
    <row r="797" spans="1:13" x14ac:dyDescent="0.25">
      <c r="A797">
        <v>796</v>
      </c>
      <c r="B797">
        <v>6.3</v>
      </c>
      <c r="C797">
        <v>0.1</v>
      </c>
      <c r="D797">
        <v>7.7</v>
      </c>
      <c r="E797">
        <v>5.0999999999999996</v>
      </c>
      <c r="F797">
        <v>4.8</v>
      </c>
      <c r="G797">
        <v>3.22</v>
      </c>
      <c r="H797" t="s">
        <v>8</v>
      </c>
      <c r="I797">
        <v>16.3</v>
      </c>
      <c r="J797" t="s">
        <v>15</v>
      </c>
      <c r="K797">
        <v>2.73</v>
      </c>
      <c r="L797" t="s">
        <v>52</v>
      </c>
      <c r="M797" s="8">
        <v>0.39</v>
      </c>
    </row>
    <row r="798" spans="1:13" x14ac:dyDescent="0.25">
      <c r="A798">
        <v>797</v>
      </c>
      <c r="B798">
        <v>9.8000000000000007</v>
      </c>
      <c r="C798">
        <v>2.2999999999999998</v>
      </c>
      <c r="D798">
        <v>7.6</v>
      </c>
      <c r="E798">
        <v>0.4</v>
      </c>
      <c r="F798">
        <v>3.9</v>
      </c>
      <c r="G798">
        <v>3.04</v>
      </c>
      <c r="H798" t="s">
        <v>10</v>
      </c>
      <c r="I798">
        <v>16.400000000000002</v>
      </c>
      <c r="J798" t="s">
        <v>15</v>
      </c>
      <c r="K798">
        <v>4.0599999999999996</v>
      </c>
      <c r="L798" t="s">
        <v>52</v>
      </c>
      <c r="M798" s="8">
        <v>0.6</v>
      </c>
    </row>
    <row r="799" spans="1:13" x14ac:dyDescent="0.25">
      <c r="A799">
        <v>798</v>
      </c>
      <c r="B799">
        <v>8</v>
      </c>
      <c r="C799">
        <v>1.6</v>
      </c>
      <c r="D799">
        <v>6.2</v>
      </c>
      <c r="E799">
        <v>0.6</v>
      </c>
      <c r="F799">
        <v>7.6</v>
      </c>
      <c r="G799">
        <v>3.38</v>
      </c>
      <c r="H799" t="s">
        <v>8</v>
      </c>
      <c r="I799">
        <v>17.799999999999997</v>
      </c>
      <c r="J799" t="s">
        <v>15</v>
      </c>
      <c r="K799">
        <v>3.89</v>
      </c>
      <c r="L799" t="s">
        <v>52</v>
      </c>
      <c r="M799" s="8">
        <v>0.45</v>
      </c>
    </row>
    <row r="800" spans="1:13" x14ac:dyDescent="0.25">
      <c r="A800">
        <v>799</v>
      </c>
      <c r="B800">
        <v>6.6</v>
      </c>
      <c r="C800">
        <v>0.4</v>
      </c>
      <c r="D800">
        <v>5.9</v>
      </c>
      <c r="E800">
        <v>5.9</v>
      </c>
      <c r="F800">
        <v>5.2</v>
      </c>
      <c r="G800">
        <v>3.27</v>
      </c>
      <c r="H800" t="s">
        <v>10</v>
      </c>
      <c r="I800">
        <v>18.100000000000001</v>
      </c>
      <c r="J800" t="s">
        <v>15</v>
      </c>
      <c r="K800">
        <v>2.81</v>
      </c>
      <c r="L800" t="s">
        <v>52</v>
      </c>
      <c r="M800" s="8">
        <v>0.36</v>
      </c>
    </row>
    <row r="801" spans="1:13" x14ac:dyDescent="0.25">
      <c r="A801">
        <v>800</v>
      </c>
      <c r="B801">
        <v>9.4</v>
      </c>
      <c r="C801">
        <v>4</v>
      </c>
      <c r="D801">
        <v>7.9</v>
      </c>
      <c r="E801">
        <v>2.2000000000000002</v>
      </c>
      <c r="F801">
        <v>0.5</v>
      </c>
      <c r="G801">
        <v>2.91</v>
      </c>
      <c r="H801" t="s">
        <v>10</v>
      </c>
      <c r="I801">
        <v>16.100000000000001</v>
      </c>
      <c r="J801" t="s">
        <v>13</v>
      </c>
      <c r="K801">
        <v>3.86</v>
      </c>
      <c r="L801" t="s">
        <v>52</v>
      </c>
      <c r="M801" s="8">
        <v>0.57999999999999996</v>
      </c>
    </row>
    <row r="802" spans="1:13" x14ac:dyDescent="0.25">
      <c r="A802">
        <v>801</v>
      </c>
      <c r="B802">
        <v>6.6</v>
      </c>
      <c r="C802">
        <v>1.2</v>
      </c>
      <c r="D802">
        <v>7</v>
      </c>
      <c r="E802">
        <v>4</v>
      </c>
      <c r="F802">
        <v>5.2</v>
      </c>
      <c r="G802">
        <v>2.76</v>
      </c>
      <c r="H802" t="s">
        <v>8</v>
      </c>
      <c r="I802">
        <v>17</v>
      </c>
      <c r="J802" t="s">
        <v>13</v>
      </c>
      <c r="K802">
        <v>2.29</v>
      </c>
      <c r="L802" t="s">
        <v>52</v>
      </c>
      <c r="M802" s="8">
        <v>0.39</v>
      </c>
    </row>
    <row r="803" spans="1:13" x14ac:dyDescent="0.25">
      <c r="A803">
        <v>802</v>
      </c>
      <c r="B803">
        <v>5.7</v>
      </c>
      <c r="C803">
        <v>2.5</v>
      </c>
      <c r="D803">
        <v>5.6</v>
      </c>
      <c r="E803">
        <v>3.5</v>
      </c>
      <c r="F803">
        <v>6.7</v>
      </c>
      <c r="G803">
        <v>3.08</v>
      </c>
      <c r="H803" t="s">
        <v>10</v>
      </c>
      <c r="I803">
        <v>18.399999999999999</v>
      </c>
      <c r="J803" t="s">
        <v>15</v>
      </c>
      <c r="K803">
        <v>1.94</v>
      </c>
      <c r="L803" t="s">
        <v>52</v>
      </c>
      <c r="M803" s="8">
        <v>0.31</v>
      </c>
    </row>
    <row r="804" spans="1:13" x14ac:dyDescent="0.25">
      <c r="A804">
        <v>803</v>
      </c>
      <c r="B804">
        <v>8.5</v>
      </c>
      <c r="C804">
        <v>2.8</v>
      </c>
      <c r="D804">
        <v>8.8000000000000007</v>
      </c>
      <c r="E804">
        <v>3.4</v>
      </c>
      <c r="F804">
        <v>0.5</v>
      </c>
      <c r="G804">
        <v>3.63</v>
      </c>
      <c r="H804" t="s">
        <v>10</v>
      </c>
      <c r="I804">
        <v>15.200000000000001</v>
      </c>
      <c r="J804" t="s">
        <v>14</v>
      </c>
      <c r="K804">
        <v>3.37</v>
      </c>
      <c r="L804" t="s">
        <v>52</v>
      </c>
      <c r="M804" s="8">
        <v>0.56000000000000005</v>
      </c>
    </row>
    <row r="805" spans="1:13" x14ac:dyDescent="0.25">
      <c r="A805">
        <v>804</v>
      </c>
      <c r="B805">
        <v>8.1</v>
      </c>
      <c r="C805">
        <v>0.7</v>
      </c>
      <c r="D805">
        <v>5.0999999999999996</v>
      </c>
      <c r="E805">
        <v>1.7</v>
      </c>
      <c r="F805">
        <v>8.4</v>
      </c>
      <c r="G805">
        <v>3.21</v>
      </c>
      <c r="H805" t="s">
        <v>10</v>
      </c>
      <c r="I805">
        <v>18.899999999999999</v>
      </c>
      <c r="J805" t="s">
        <v>15</v>
      </c>
      <c r="K805">
        <v>4.09</v>
      </c>
      <c r="L805" t="s">
        <v>52</v>
      </c>
      <c r="M805" s="8">
        <v>0.43</v>
      </c>
    </row>
    <row r="806" spans="1:13" x14ac:dyDescent="0.25">
      <c r="A806">
        <v>805</v>
      </c>
      <c r="B806">
        <v>7.2</v>
      </c>
      <c r="C806">
        <v>2.5</v>
      </c>
      <c r="D806">
        <v>9.1999999999999993</v>
      </c>
      <c r="E806">
        <v>1</v>
      </c>
      <c r="F806">
        <v>4.0999999999999996</v>
      </c>
      <c r="G806">
        <v>3.07</v>
      </c>
      <c r="H806" t="s">
        <v>8</v>
      </c>
      <c r="I806">
        <v>14.799999999999999</v>
      </c>
      <c r="J806" t="s">
        <v>15</v>
      </c>
      <c r="K806">
        <v>2.65</v>
      </c>
      <c r="L806" t="s">
        <v>52</v>
      </c>
      <c r="M806" s="8">
        <v>0.49</v>
      </c>
    </row>
    <row r="807" spans="1:13" x14ac:dyDescent="0.25">
      <c r="A807">
        <v>806</v>
      </c>
      <c r="B807">
        <v>7.9</v>
      </c>
      <c r="C807">
        <v>2.2000000000000002</v>
      </c>
      <c r="D807">
        <v>5.4</v>
      </c>
      <c r="E807">
        <v>0.3</v>
      </c>
      <c r="F807">
        <v>8.1999999999999993</v>
      </c>
      <c r="G807">
        <v>2.99</v>
      </c>
      <c r="H807" t="s">
        <v>10</v>
      </c>
      <c r="I807">
        <v>18.600000000000001</v>
      </c>
      <c r="J807" t="s">
        <v>13</v>
      </c>
      <c r="K807">
        <v>4</v>
      </c>
      <c r="L807" t="s">
        <v>52</v>
      </c>
      <c r="M807" s="8">
        <v>0.42</v>
      </c>
    </row>
    <row r="808" spans="1:13" x14ac:dyDescent="0.25">
      <c r="A808">
        <v>807</v>
      </c>
      <c r="B808">
        <v>5.5</v>
      </c>
      <c r="C808">
        <v>2.2999999999999998</v>
      </c>
      <c r="D808">
        <v>7.7</v>
      </c>
      <c r="E808">
        <v>1.4</v>
      </c>
      <c r="F808">
        <v>7.1</v>
      </c>
      <c r="G808">
        <v>3.05</v>
      </c>
      <c r="H808" t="s">
        <v>9</v>
      </c>
      <c r="I808">
        <v>16.299999999999997</v>
      </c>
      <c r="J808" t="s">
        <v>15</v>
      </c>
      <c r="K808">
        <v>2.68</v>
      </c>
      <c r="L808" t="s">
        <v>52</v>
      </c>
      <c r="M808" s="8">
        <v>0.34</v>
      </c>
    </row>
    <row r="809" spans="1:13" x14ac:dyDescent="0.25">
      <c r="A809">
        <v>808</v>
      </c>
      <c r="B809">
        <v>5.2</v>
      </c>
      <c r="C809">
        <v>2</v>
      </c>
      <c r="D809">
        <v>8.4</v>
      </c>
      <c r="E809">
        <v>1.5</v>
      </c>
      <c r="F809">
        <v>6.9</v>
      </c>
      <c r="G809">
        <v>2.88</v>
      </c>
      <c r="H809" t="s">
        <v>9</v>
      </c>
      <c r="I809">
        <v>15.6</v>
      </c>
      <c r="J809" t="s">
        <v>13</v>
      </c>
      <c r="K809">
        <v>2.59</v>
      </c>
      <c r="L809" t="s">
        <v>52</v>
      </c>
      <c r="M809" s="8">
        <v>0.33</v>
      </c>
    </row>
    <row r="810" spans="1:13" x14ac:dyDescent="0.25">
      <c r="A810">
        <v>809</v>
      </c>
      <c r="B810">
        <v>6.5</v>
      </c>
      <c r="C810">
        <v>2.5</v>
      </c>
      <c r="D810">
        <v>9.5</v>
      </c>
      <c r="E810">
        <v>4.5</v>
      </c>
      <c r="F810">
        <v>1</v>
      </c>
      <c r="G810">
        <v>3.29</v>
      </c>
      <c r="H810" t="s">
        <v>8</v>
      </c>
      <c r="I810">
        <v>14.5</v>
      </c>
      <c r="J810" t="s">
        <v>15</v>
      </c>
      <c r="K810">
        <v>2.39</v>
      </c>
      <c r="L810" t="s">
        <v>52</v>
      </c>
      <c r="M810" s="8">
        <v>0.45</v>
      </c>
    </row>
    <row r="811" spans="1:13" x14ac:dyDescent="0.25">
      <c r="A811">
        <v>810</v>
      </c>
      <c r="B811">
        <v>6.8</v>
      </c>
      <c r="C811">
        <v>2.6</v>
      </c>
      <c r="D811">
        <v>7.3</v>
      </c>
      <c r="E811">
        <v>1.1000000000000001</v>
      </c>
      <c r="F811">
        <v>6.2</v>
      </c>
      <c r="G811">
        <v>3.13</v>
      </c>
      <c r="H811" t="s">
        <v>8</v>
      </c>
      <c r="I811">
        <v>16.7</v>
      </c>
      <c r="J811" t="s">
        <v>15</v>
      </c>
      <c r="K811">
        <v>2.76</v>
      </c>
      <c r="L811" t="s">
        <v>52</v>
      </c>
      <c r="M811" s="8">
        <v>0.41</v>
      </c>
    </row>
    <row r="812" spans="1:13" x14ac:dyDescent="0.25">
      <c r="A812">
        <v>811</v>
      </c>
      <c r="B812">
        <v>8.5</v>
      </c>
      <c r="C812">
        <v>2.2000000000000002</v>
      </c>
      <c r="D812">
        <v>6.8</v>
      </c>
      <c r="E812">
        <v>5.5</v>
      </c>
      <c r="F812">
        <v>1</v>
      </c>
      <c r="G812">
        <v>3.07</v>
      </c>
      <c r="H812" t="s">
        <v>10</v>
      </c>
      <c r="I812">
        <v>17.2</v>
      </c>
      <c r="J812" t="s">
        <v>15</v>
      </c>
      <c r="K812">
        <v>3.39</v>
      </c>
      <c r="L812" t="s">
        <v>52</v>
      </c>
      <c r="M812" s="8">
        <v>0.49</v>
      </c>
    </row>
    <row r="813" spans="1:13" x14ac:dyDescent="0.25">
      <c r="A813">
        <v>812</v>
      </c>
      <c r="B813">
        <v>8.4</v>
      </c>
      <c r="C813">
        <v>1.6</v>
      </c>
      <c r="D813">
        <v>8.8000000000000007</v>
      </c>
      <c r="E813">
        <v>2.4</v>
      </c>
      <c r="F813">
        <v>2.8</v>
      </c>
      <c r="G813">
        <v>3.51</v>
      </c>
      <c r="H813" t="s">
        <v>10</v>
      </c>
      <c r="I813">
        <v>15.2</v>
      </c>
      <c r="J813" t="s">
        <v>14</v>
      </c>
      <c r="K813">
        <v>3.11</v>
      </c>
      <c r="L813" t="s">
        <v>52</v>
      </c>
      <c r="M813" s="8">
        <v>0.55000000000000004</v>
      </c>
    </row>
    <row r="814" spans="1:13" x14ac:dyDescent="0.25">
      <c r="A814">
        <v>813</v>
      </c>
      <c r="B814">
        <v>7.1</v>
      </c>
      <c r="C814">
        <v>3.7</v>
      </c>
      <c r="D814">
        <v>6.3</v>
      </c>
      <c r="E814">
        <v>0.7</v>
      </c>
      <c r="F814">
        <v>6.2</v>
      </c>
      <c r="G814">
        <v>3.15</v>
      </c>
      <c r="H814" t="s">
        <v>8</v>
      </c>
      <c r="I814">
        <v>17.7</v>
      </c>
      <c r="J814" t="s">
        <v>15</v>
      </c>
      <c r="K814">
        <v>2.87</v>
      </c>
      <c r="L814" t="s">
        <v>52</v>
      </c>
      <c r="M814" s="8">
        <v>0.4</v>
      </c>
    </row>
    <row r="815" spans="1:13" x14ac:dyDescent="0.25">
      <c r="A815">
        <v>814</v>
      </c>
      <c r="B815">
        <v>6.9</v>
      </c>
      <c r="C815">
        <v>0.2</v>
      </c>
      <c r="D815">
        <v>6.7</v>
      </c>
      <c r="E815">
        <v>3</v>
      </c>
      <c r="F815">
        <v>7.2</v>
      </c>
      <c r="G815">
        <v>3.05</v>
      </c>
      <c r="H815" t="s">
        <v>8</v>
      </c>
      <c r="I815">
        <v>17.3</v>
      </c>
      <c r="J815" t="s">
        <v>15</v>
      </c>
      <c r="K815">
        <v>3.35</v>
      </c>
      <c r="L815" t="s">
        <v>52</v>
      </c>
      <c r="M815" s="8">
        <v>0.4</v>
      </c>
    </row>
    <row r="816" spans="1:13" x14ac:dyDescent="0.25">
      <c r="A816">
        <v>815</v>
      </c>
      <c r="B816">
        <v>5.8</v>
      </c>
      <c r="C816">
        <v>2.6</v>
      </c>
      <c r="D816">
        <v>10</v>
      </c>
      <c r="E816">
        <v>2.5</v>
      </c>
      <c r="F816">
        <v>3.1</v>
      </c>
      <c r="G816">
        <v>2.64</v>
      </c>
      <c r="H816" t="s">
        <v>9</v>
      </c>
      <c r="I816">
        <v>14</v>
      </c>
      <c r="J816" t="s">
        <v>13</v>
      </c>
      <c r="K816">
        <v>1.56</v>
      </c>
      <c r="L816" t="s">
        <v>52</v>
      </c>
      <c r="M816" s="8">
        <v>0.41</v>
      </c>
    </row>
    <row r="817" spans="1:13" x14ac:dyDescent="0.25">
      <c r="A817">
        <v>816</v>
      </c>
      <c r="B817">
        <v>5.6</v>
      </c>
      <c r="C817">
        <v>3.5</v>
      </c>
      <c r="D817">
        <v>7.1</v>
      </c>
      <c r="E817">
        <v>2.2999999999999998</v>
      </c>
      <c r="F817">
        <v>5.5</v>
      </c>
      <c r="G817">
        <v>2.5</v>
      </c>
      <c r="H817" t="s">
        <v>9</v>
      </c>
      <c r="I817">
        <v>16.899999999999999</v>
      </c>
      <c r="J817" t="s">
        <v>13</v>
      </c>
      <c r="K817">
        <v>1.61</v>
      </c>
      <c r="L817" t="s">
        <v>52</v>
      </c>
      <c r="M817" s="8">
        <v>0.33</v>
      </c>
    </row>
    <row r="818" spans="1:13" x14ac:dyDescent="0.25">
      <c r="A818">
        <v>817</v>
      </c>
      <c r="B818">
        <v>8.3000000000000007</v>
      </c>
      <c r="C818">
        <v>1.8</v>
      </c>
      <c r="D818">
        <v>8.1999999999999993</v>
      </c>
      <c r="E818">
        <v>0.4</v>
      </c>
      <c r="F818">
        <v>5.3</v>
      </c>
      <c r="G818">
        <v>3.33</v>
      </c>
      <c r="H818" t="s">
        <v>10</v>
      </c>
      <c r="I818">
        <v>15.8</v>
      </c>
      <c r="J818" t="s">
        <v>15</v>
      </c>
      <c r="K818">
        <v>3.56</v>
      </c>
      <c r="L818" t="s">
        <v>52</v>
      </c>
      <c r="M818" s="8">
        <v>0.53</v>
      </c>
    </row>
    <row r="819" spans="1:13" x14ac:dyDescent="0.25">
      <c r="A819">
        <v>818</v>
      </c>
      <c r="B819">
        <v>5.8</v>
      </c>
      <c r="C819">
        <v>1.9</v>
      </c>
      <c r="D819">
        <v>8</v>
      </c>
      <c r="E819">
        <v>3.5</v>
      </c>
      <c r="F819">
        <v>4.8</v>
      </c>
      <c r="G819">
        <v>2.9</v>
      </c>
      <c r="H819" t="s">
        <v>9</v>
      </c>
      <c r="I819">
        <v>16</v>
      </c>
      <c r="J819" t="s">
        <v>13</v>
      </c>
      <c r="K819">
        <v>1.69</v>
      </c>
      <c r="L819" t="s">
        <v>52</v>
      </c>
      <c r="M819" s="8">
        <v>0.36</v>
      </c>
    </row>
    <row r="820" spans="1:13" x14ac:dyDescent="0.25">
      <c r="A820">
        <v>819</v>
      </c>
      <c r="B820">
        <v>7</v>
      </c>
      <c r="C820">
        <v>1.4</v>
      </c>
      <c r="D820">
        <v>5.6</v>
      </c>
      <c r="E820">
        <v>2.4</v>
      </c>
      <c r="F820">
        <v>7.6</v>
      </c>
      <c r="G820">
        <v>3.15</v>
      </c>
      <c r="H820" t="s">
        <v>10</v>
      </c>
      <c r="I820">
        <v>18.399999999999999</v>
      </c>
      <c r="J820" t="s">
        <v>15</v>
      </c>
      <c r="K820">
        <v>3.15</v>
      </c>
      <c r="L820" t="s">
        <v>52</v>
      </c>
      <c r="M820" s="8">
        <v>0.38</v>
      </c>
    </row>
    <row r="821" spans="1:13" x14ac:dyDescent="0.25">
      <c r="A821">
        <v>820</v>
      </c>
      <c r="B821">
        <v>6</v>
      </c>
      <c r="C821">
        <v>0.2</v>
      </c>
      <c r="D821">
        <v>7.8</v>
      </c>
      <c r="E821">
        <v>3.6</v>
      </c>
      <c r="F821">
        <v>6.4</v>
      </c>
      <c r="G821">
        <v>2.75</v>
      </c>
      <c r="H821" t="s">
        <v>8</v>
      </c>
      <c r="I821">
        <v>16.200000000000003</v>
      </c>
      <c r="J821" t="s">
        <v>13</v>
      </c>
      <c r="K821">
        <v>2.85</v>
      </c>
      <c r="L821" t="s">
        <v>52</v>
      </c>
      <c r="M821" s="8">
        <v>0.37</v>
      </c>
    </row>
    <row r="822" spans="1:13" x14ac:dyDescent="0.25">
      <c r="A822">
        <v>821</v>
      </c>
      <c r="B822">
        <v>9.4</v>
      </c>
      <c r="C822">
        <v>2.2999999999999998</v>
      </c>
      <c r="D822">
        <v>6.7</v>
      </c>
      <c r="E822">
        <v>4.5</v>
      </c>
      <c r="F822">
        <v>1.1000000000000001</v>
      </c>
      <c r="G822">
        <v>3.25</v>
      </c>
      <c r="H822" t="s">
        <v>10</v>
      </c>
      <c r="I822">
        <v>17.3</v>
      </c>
      <c r="J822" t="s">
        <v>15</v>
      </c>
      <c r="K822">
        <v>3.66</v>
      </c>
      <c r="L822" t="s">
        <v>52</v>
      </c>
      <c r="M822" s="8">
        <v>0.54</v>
      </c>
    </row>
    <row r="823" spans="1:13" x14ac:dyDescent="0.25">
      <c r="A823">
        <v>822</v>
      </c>
      <c r="B823">
        <v>7.8</v>
      </c>
      <c r="C823">
        <v>3.6</v>
      </c>
      <c r="D823">
        <v>7</v>
      </c>
      <c r="E823">
        <v>1.7</v>
      </c>
      <c r="F823">
        <v>3.9</v>
      </c>
      <c r="G823">
        <v>3.19</v>
      </c>
      <c r="H823" t="s">
        <v>8</v>
      </c>
      <c r="I823">
        <v>17</v>
      </c>
      <c r="J823" t="s">
        <v>15</v>
      </c>
      <c r="K823">
        <v>2.56</v>
      </c>
      <c r="L823" t="s">
        <v>52</v>
      </c>
      <c r="M823" s="8">
        <v>0.46</v>
      </c>
    </row>
    <row r="824" spans="1:13" x14ac:dyDescent="0.25">
      <c r="A824">
        <v>823</v>
      </c>
      <c r="B824">
        <v>5.7</v>
      </c>
      <c r="C824">
        <v>0.6</v>
      </c>
      <c r="D824">
        <v>7.2</v>
      </c>
      <c r="E824">
        <v>3.6</v>
      </c>
      <c r="F824">
        <v>6.9</v>
      </c>
      <c r="G824">
        <v>2.96</v>
      </c>
      <c r="H824" t="s">
        <v>9</v>
      </c>
      <c r="I824">
        <v>16.8</v>
      </c>
      <c r="J824" t="s">
        <v>13</v>
      </c>
      <c r="K824">
        <v>2.76</v>
      </c>
      <c r="L824" t="s">
        <v>52</v>
      </c>
      <c r="M824" s="8">
        <v>0.34</v>
      </c>
    </row>
    <row r="825" spans="1:13" x14ac:dyDescent="0.25">
      <c r="A825">
        <v>824</v>
      </c>
      <c r="B825">
        <v>9.1</v>
      </c>
      <c r="C825">
        <v>0.3</v>
      </c>
      <c r="D825">
        <v>7.4</v>
      </c>
      <c r="E825">
        <v>3.8</v>
      </c>
      <c r="F825">
        <v>3.4</v>
      </c>
      <c r="G825">
        <v>3.66</v>
      </c>
      <c r="H825" t="s">
        <v>10</v>
      </c>
      <c r="I825">
        <v>16.599999999999998</v>
      </c>
      <c r="J825" t="s">
        <v>14</v>
      </c>
      <c r="K825">
        <v>3.65</v>
      </c>
      <c r="L825" t="s">
        <v>52</v>
      </c>
      <c r="M825" s="8">
        <v>0.55000000000000004</v>
      </c>
    </row>
    <row r="826" spans="1:13" x14ac:dyDescent="0.25">
      <c r="A826">
        <v>825</v>
      </c>
      <c r="B826">
        <v>9.1</v>
      </c>
      <c r="C826">
        <v>3.1</v>
      </c>
      <c r="D826">
        <v>6.4</v>
      </c>
      <c r="E826">
        <v>5.0999999999999996</v>
      </c>
      <c r="F826">
        <v>0.3</v>
      </c>
      <c r="G826">
        <v>3.45</v>
      </c>
      <c r="H826" t="s">
        <v>10</v>
      </c>
      <c r="I826">
        <v>17.599999999999998</v>
      </c>
      <c r="J826" t="s">
        <v>15</v>
      </c>
      <c r="K826">
        <v>3.7</v>
      </c>
      <c r="L826" t="s">
        <v>52</v>
      </c>
      <c r="M826" s="8">
        <v>0.52</v>
      </c>
    </row>
    <row r="827" spans="1:13" x14ac:dyDescent="0.25">
      <c r="A827">
        <v>826</v>
      </c>
      <c r="B827">
        <v>7.9</v>
      </c>
      <c r="C827">
        <v>3.7</v>
      </c>
      <c r="D827">
        <v>8.4</v>
      </c>
      <c r="E827">
        <v>1.9</v>
      </c>
      <c r="F827">
        <v>2.1</v>
      </c>
      <c r="G827">
        <v>2.68</v>
      </c>
      <c r="H827" t="s">
        <v>8</v>
      </c>
      <c r="I827">
        <v>15.600000000000001</v>
      </c>
      <c r="J827" t="s">
        <v>13</v>
      </c>
      <c r="K827">
        <v>2.79</v>
      </c>
      <c r="L827" t="s">
        <v>52</v>
      </c>
      <c r="M827" s="8">
        <v>0.51</v>
      </c>
    </row>
    <row r="828" spans="1:13" x14ac:dyDescent="0.25">
      <c r="A828">
        <v>827</v>
      </c>
      <c r="B828">
        <v>9</v>
      </c>
      <c r="C828">
        <v>3.8</v>
      </c>
      <c r="D828">
        <v>5.0999999999999996</v>
      </c>
      <c r="E828">
        <v>5.9</v>
      </c>
      <c r="F828">
        <v>0.2</v>
      </c>
      <c r="G828">
        <v>3.22</v>
      </c>
      <c r="H828" t="s">
        <v>10</v>
      </c>
      <c r="I828">
        <v>18.900000000000002</v>
      </c>
      <c r="J828" t="s">
        <v>15</v>
      </c>
      <c r="K828">
        <v>3.7</v>
      </c>
      <c r="L828" t="s">
        <v>52</v>
      </c>
      <c r="M828" s="8">
        <v>0.48</v>
      </c>
    </row>
    <row r="829" spans="1:13" x14ac:dyDescent="0.25">
      <c r="A829">
        <v>828</v>
      </c>
      <c r="B829">
        <v>7.2</v>
      </c>
      <c r="C829">
        <v>2.6</v>
      </c>
      <c r="D829">
        <v>6.9</v>
      </c>
      <c r="E829">
        <v>0.3</v>
      </c>
      <c r="F829">
        <v>7</v>
      </c>
      <c r="G829">
        <v>3</v>
      </c>
      <c r="H829" t="s">
        <v>8</v>
      </c>
      <c r="I829">
        <v>17.100000000000001</v>
      </c>
      <c r="J829" t="s">
        <v>15</v>
      </c>
      <c r="K829">
        <v>3.4</v>
      </c>
      <c r="L829" t="s">
        <v>52</v>
      </c>
      <c r="M829" s="8">
        <v>0.42</v>
      </c>
    </row>
    <row r="830" spans="1:13" x14ac:dyDescent="0.25">
      <c r="A830">
        <v>829</v>
      </c>
      <c r="B830">
        <v>8</v>
      </c>
      <c r="C830">
        <v>3.6</v>
      </c>
      <c r="D830">
        <v>6.9</v>
      </c>
      <c r="E830">
        <v>1.2</v>
      </c>
      <c r="F830">
        <v>4.3</v>
      </c>
      <c r="G830">
        <v>3.08</v>
      </c>
      <c r="H830" t="s">
        <v>8</v>
      </c>
      <c r="I830">
        <v>17.099999999999998</v>
      </c>
      <c r="J830" t="s">
        <v>15</v>
      </c>
      <c r="K830">
        <v>2.82</v>
      </c>
      <c r="L830" t="s">
        <v>52</v>
      </c>
      <c r="M830" s="8">
        <v>0.47</v>
      </c>
    </row>
    <row r="831" spans="1:13" x14ac:dyDescent="0.25">
      <c r="A831">
        <v>830</v>
      </c>
      <c r="B831">
        <v>9.1</v>
      </c>
      <c r="C831">
        <v>3.3</v>
      </c>
      <c r="D831">
        <v>7.9</v>
      </c>
      <c r="E831">
        <v>1.3</v>
      </c>
      <c r="F831">
        <v>2.4</v>
      </c>
      <c r="G831">
        <v>3.35</v>
      </c>
      <c r="H831" t="s">
        <v>10</v>
      </c>
      <c r="I831">
        <v>16.099999999999998</v>
      </c>
      <c r="J831" t="s">
        <v>15</v>
      </c>
      <c r="K831">
        <v>3.48</v>
      </c>
      <c r="L831" t="s">
        <v>52</v>
      </c>
      <c r="M831" s="8">
        <v>0.56999999999999995</v>
      </c>
    </row>
    <row r="832" spans="1:13" x14ac:dyDescent="0.25">
      <c r="A832">
        <v>831</v>
      </c>
      <c r="B832">
        <v>9</v>
      </c>
      <c r="C832">
        <v>2.2000000000000002</v>
      </c>
      <c r="D832">
        <v>9.1</v>
      </c>
      <c r="E832">
        <v>2.2999999999999998</v>
      </c>
      <c r="F832">
        <v>1.4</v>
      </c>
      <c r="G832">
        <v>3.44</v>
      </c>
      <c r="H832" t="s">
        <v>10</v>
      </c>
      <c r="I832">
        <v>14.9</v>
      </c>
      <c r="J832" t="s">
        <v>15</v>
      </c>
      <c r="K832">
        <v>3.54</v>
      </c>
      <c r="L832" t="s">
        <v>52</v>
      </c>
      <c r="M832" s="8">
        <v>0.6</v>
      </c>
    </row>
    <row r="833" spans="1:13" x14ac:dyDescent="0.25">
      <c r="A833">
        <v>832</v>
      </c>
      <c r="B833">
        <v>7.1</v>
      </c>
      <c r="C833">
        <v>3.8</v>
      </c>
      <c r="D833">
        <v>7.7</v>
      </c>
      <c r="E833">
        <v>3.3</v>
      </c>
      <c r="F833">
        <v>2.1</v>
      </c>
      <c r="G833">
        <v>3.33</v>
      </c>
      <c r="H833" t="s">
        <v>8</v>
      </c>
      <c r="I833">
        <v>16.3</v>
      </c>
      <c r="J833" t="s">
        <v>15</v>
      </c>
      <c r="K833">
        <v>2.14</v>
      </c>
      <c r="L833" t="s">
        <v>52</v>
      </c>
      <c r="M833" s="8">
        <v>0.44</v>
      </c>
    </row>
    <row r="834" spans="1:13" x14ac:dyDescent="0.25">
      <c r="A834">
        <v>833</v>
      </c>
      <c r="B834">
        <v>6.1</v>
      </c>
      <c r="C834">
        <v>2.5</v>
      </c>
      <c r="D834">
        <v>7.9</v>
      </c>
      <c r="E834">
        <v>1.1000000000000001</v>
      </c>
      <c r="F834">
        <v>6.4</v>
      </c>
      <c r="G834">
        <v>2.94</v>
      </c>
      <c r="H834" t="s">
        <v>8</v>
      </c>
      <c r="I834">
        <v>16.100000000000001</v>
      </c>
      <c r="J834" t="s">
        <v>13</v>
      </c>
      <c r="K834">
        <v>2.63</v>
      </c>
      <c r="L834" t="s">
        <v>52</v>
      </c>
      <c r="M834" s="8">
        <v>0.38</v>
      </c>
    </row>
    <row r="835" spans="1:13" x14ac:dyDescent="0.25">
      <c r="A835">
        <v>834</v>
      </c>
      <c r="B835">
        <v>8.8000000000000007</v>
      </c>
      <c r="C835">
        <v>2.1</v>
      </c>
      <c r="D835">
        <v>6.1</v>
      </c>
      <c r="E835">
        <v>4</v>
      </c>
      <c r="F835">
        <v>3</v>
      </c>
      <c r="G835">
        <v>3.2</v>
      </c>
      <c r="H835" t="s">
        <v>10</v>
      </c>
      <c r="I835">
        <v>17.899999999999999</v>
      </c>
      <c r="J835" t="s">
        <v>15</v>
      </c>
      <c r="K835">
        <v>2.99</v>
      </c>
      <c r="L835" t="s">
        <v>52</v>
      </c>
      <c r="M835" s="8">
        <v>0.49</v>
      </c>
    </row>
    <row r="836" spans="1:13" x14ac:dyDescent="0.25">
      <c r="A836">
        <v>835</v>
      </c>
      <c r="B836">
        <v>5.4</v>
      </c>
      <c r="C836">
        <v>1.8</v>
      </c>
      <c r="D836">
        <v>5.8</v>
      </c>
      <c r="E836">
        <v>1.1000000000000001</v>
      </c>
      <c r="F836">
        <v>9.9</v>
      </c>
      <c r="G836">
        <v>2.71</v>
      </c>
      <c r="H836" t="s">
        <v>10</v>
      </c>
      <c r="I836">
        <v>18.200000000000003</v>
      </c>
      <c r="J836" t="s">
        <v>13</v>
      </c>
      <c r="K836">
        <v>4.03</v>
      </c>
      <c r="L836" t="s">
        <v>52</v>
      </c>
      <c r="M836" s="8">
        <v>0.3</v>
      </c>
    </row>
    <row r="837" spans="1:13" x14ac:dyDescent="0.25">
      <c r="A837">
        <v>836</v>
      </c>
      <c r="B837">
        <v>5.3</v>
      </c>
      <c r="C837">
        <v>1.6</v>
      </c>
      <c r="D837">
        <v>7.6</v>
      </c>
      <c r="E837">
        <v>2.9</v>
      </c>
      <c r="F837">
        <v>6.6</v>
      </c>
      <c r="G837">
        <v>2.54</v>
      </c>
      <c r="H837" t="s">
        <v>9</v>
      </c>
      <c r="I837">
        <v>16.399999999999999</v>
      </c>
      <c r="J837" t="s">
        <v>13</v>
      </c>
      <c r="K837">
        <v>2.2599999999999998</v>
      </c>
      <c r="L837" t="s">
        <v>52</v>
      </c>
      <c r="M837" s="8">
        <v>0.32</v>
      </c>
    </row>
    <row r="838" spans="1:13" x14ac:dyDescent="0.25">
      <c r="A838">
        <v>837</v>
      </c>
      <c r="B838">
        <v>6.9</v>
      </c>
      <c r="C838">
        <v>3.4</v>
      </c>
      <c r="D838">
        <v>5.7</v>
      </c>
      <c r="E838">
        <v>3</v>
      </c>
      <c r="F838">
        <v>5</v>
      </c>
      <c r="G838">
        <v>3.37</v>
      </c>
      <c r="H838" t="s">
        <v>10</v>
      </c>
      <c r="I838">
        <v>18.3</v>
      </c>
      <c r="J838" t="s">
        <v>15</v>
      </c>
      <c r="K838">
        <v>1.77</v>
      </c>
      <c r="L838" t="s">
        <v>52</v>
      </c>
      <c r="M838" s="8">
        <v>0.38</v>
      </c>
    </row>
    <row r="839" spans="1:13" x14ac:dyDescent="0.25">
      <c r="A839">
        <v>838</v>
      </c>
      <c r="B839">
        <v>9.4</v>
      </c>
      <c r="C839">
        <v>2.2000000000000002</v>
      </c>
      <c r="D839">
        <v>9.8000000000000007</v>
      </c>
      <c r="E839">
        <v>0.1</v>
      </c>
      <c r="F839">
        <v>2.5</v>
      </c>
      <c r="G839">
        <v>3.79</v>
      </c>
      <c r="H839" t="s">
        <v>10</v>
      </c>
      <c r="I839">
        <v>14.200000000000001</v>
      </c>
      <c r="J839" t="s">
        <v>14</v>
      </c>
      <c r="K839">
        <v>4.04</v>
      </c>
      <c r="L839" t="s">
        <v>52</v>
      </c>
      <c r="M839" s="8">
        <v>0.66</v>
      </c>
    </row>
    <row r="840" spans="1:13" x14ac:dyDescent="0.25">
      <c r="A840">
        <v>839</v>
      </c>
      <c r="B840">
        <v>5.5</v>
      </c>
      <c r="C840">
        <v>0.2</v>
      </c>
      <c r="D840">
        <v>5.9</v>
      </c>
      <c r="E840">
        <v>3.2</v>
      </c>
      <c r="F840">
        <v>9.1999999999999993</v>
      </c>
      <c r="G840">
        <v>2.74</v>
      </c>
      <c r="H840" t="s">
        <v>10</v>
      </c>
      <c r="I840">
        <v>18.100000000000001</v>
      </c>
      <c r="J840" t="s">
        <v>13</v>
      </c>
      <c r="K840">
        <v>3.8</v>
      </c>
      <c r="L840" t="s">
        <v>52</v>
      </c>
      <c r="M840" s="8">
        <v>0.3</v>
      </c>
    </row>
    <row r="841" spans="1:13" x14ac:dyDescent="0.25">
      <c r="A841">
        <v>840</v>
      </c>
      <c r="B841">
        <v>9.6999999999999993</v>
      </c>
      <c r="C841">
        <v>3.4</v>
      </c>
      <c r="D841">
        <v>6.5</v>
      </c>
      <c r="E841">
        <v>0.3</v>
      </c>
      <c r="F841">
        <v>4.0999999999999996</v>
      </c>
      <c r="G841">
        <v>3.48</v>
      </c>
      <c r="H841" t="s">
        <v>10</v>
      </c>
      <c r="I841">
        <v>17.5</v>
      </c>
      <c r="J841" t="s">
        <v>15</v>
      </c>
      <c r="K841">
        <v>3.92</v>
      </c>
      <c r="L841" t="s">
        <v>52</v>
      </c>
      <c r="M841" s="8">
        <v>0.55000000000000004</v>
      </c>
    </row>
    <row r="842" spans="1:13" x14ac:dyDescent="0.25">
      <c r="A842">
        <v>841</v>
      </c>
      <c r="B842">
        <v>5.8</v>
      </c>
      <c r="C842">
        <v>0.5</v>
      </c>
      <c r="D842">
        <v>5.6</v>
      </c>
      <c r="E842">
        <v>3.1</v>
      </c>
      <c r="F842">
        <v>9</v>
      </c>
      <c r="G842">
        <v>2.73</v>
      </c>
      <c r="H842" t="s">
        <v>10</v>
      </c>
      <c r="I842">
        <v>18.399999999999999</v>
      </c>
      <c r="J842" t="s">
        <v>13</v>
      </c>
      <c r="K842">
        <v>3.65</v>
      </c>
      <c r="L842" t="s">
        <v>52</v>
      </c>
      <c r="M842" s="8">
        <v>0.32</v>
      </c>
    </row>
    <row r="843" spans="1:13" x14ac:dyDescent="0.25">
      <c r="A843">
        <v>842</v>
      </c>
      <c r="B843">
        <v>9.9</v>
      </c>
      <c r="C843">
        <v>2.7</v>
      </c>
      <c r="D843">
        <v>9.6999999999999993</v>
      </c>
      <c r="E843">
        <v>0.2</v>
      </c>
      <c r="F843">
        <v>1.5</v>
      </c>
      <c r="G843">
        <v>3.23</v>
      </c>
      <c r="H843" t="s">
        <v>10</v>
      </c>
      <c r="I843">
        <v>14.3</v>
      </c>
      <c r="J843" t="s">
        <v>15</v>
      </c>
      <c r="K843">
        <v>4.34</v>
      </c>
      <c r="L843" t="s">
        <v>52</v>
      </c>
      <c r="M843" s="8">
        <v>0.69</v>
      </c>
    </row>
    <row r="844" spans="1:13" x14ac:dyDescent="0.25">
      <c r="A844">
        <v>843</v>
      </c>
      <c r="B844">
        <v>6.9</v>
      </c>
      <c r="C844">
        <v>2.2000000000000002</v>
      </c>
      <c r="D844">
        <v>5.4</v>
      </c>
      <c r="E844">
        <v>0</v>
      </c>
      <c r="F844">
        <v>9.5</v>
      </c>
      <c r="G844">
        <v>3.27</v>
      </c>
      <c r="H844" t="s">
        <v>10</v>
      </c>
      <c r="I844">
        <v>18.600000000000001</v>
      </c>
      <c r="J844" t="s">
        <v>15</v>
      </c>
      <c r="K844">
        <v>4.33</v>
      </c>
      <c r="L844" t="s">
        <v>52</v>
      </c>
      <c r="M844" s="8">
        <v>0.37</v>
      </c>
    </row>
    <row r="845" spans="1:13" x14ac:dyDescent="0.25">
      <c r="A845">
        <v>844</v>
      </c>
      <c r="B845">
        <v>7.1</v>
      </c>
      <c r="C845">
        <v>2</v>
      </c>
      <c r="D845">
        <v>7.1</v>
      </c>
      <c r="E845">
        <v>0.1</v>
      </c>
      <c r="F845">
        <v>7.7</v>
      </c>
      <c r="G845">
        <v>3.34</v>
      </c>
      <c r="H845" t="s">
        <v>8</v>
      </c>
      <c r="I845">
        <v>16.899999999999999</v>
      </c>
      <c r="J845" t="s">
        <v>15</v>
      </c>
      <c r="K845">
        <v>3.76</v>
      </c>
      <c r="L845" t="s">
        <v>52</v>
      </c>
      <c r="M845" s="8">
        <v>0.42</v>
      </c>
    </row>
    <row r="846" spans="1:13" x14ac:dyDescent="0.25">
      <c r="A846">
        <v>845</v>
      </c>
      <c r="B846">
        <v>6.7</v>
      </c>
      <c r="C846">
        <v>0.7</v>
      </c>
      <c r="D846">
        <v>5.5</v>
      </c>
      <c r="E846">
        <v>5.7</v>
      </c>
      <c r="F846">
        <v>5.4</v>
      </c>
      <c r="G846">
        <v>3.31</v>
      </c>
      <c r="H846" t="s">
        <v>10</v>
      </c>
      <c r="I846">
        <v>18.5</v>
      </c>
      <c r="J846" t="s">
        <v>15</v>
      </c>
      <c r="K846">
        <v>2.68</v>
      </c>
      <c r="L846" t="s">
        <v>52</v>
      </c>
      <c r="M846" s="8">
        <v>0.36</v>
      </c>
    </row>
    <row r="847" spans="1:13" x14ac:dyDescent="0.25">
      <c r="A847">
        <v>846</v>
      </c>
      <c r="B847">
        <v>6.6</v>
      </c>
      <c r="C847">
        <v>1.6</v>
      </c>
      <c r="D847">
        <v>6.2</v>
      </c>
      <c r="E847">
        <v>0.6</v>
      </c>
      <c r="F847">
        <v>9</v>
      </c>
      <c r="G847">
        <v>3.12</v>
      </c>
      <c r="H847" t="s">
        <v>8</v>
      </c>
      <c r="I847">
        <v>17.799999999999997</v>
      </c>
      <c r="J847" t="s">
        <v>15</v>
      </c>
      <c r="K847">
        <v>4.01</v>
      </c>
      <c r="L847" t="s">
        <v>52</v>
      </c>
      <c r="M847" s="8">
        <v>0.37</v>
      </c>
    </row>
    <row r="848" spans="1:13" x14ac:dyDescent="0.25">
      <c r="A848">
        <v>847</v>
      </c>
      <c r="B848">
        <v>5.9</v>
      </c>
      <c r="C848">
        <v>3.2</v>
      </c>
      <c r="D848">
        <v>8.4</v>
      </c>
      <c r="E848">
        <v>3.3</v>
      </c>
      <c r="F848">
        <v>3.2</v>
      </c>
      <c r="G848">
        <v>3.05</v>
      </c>
      <c r="H848" t="s">
        <v>9</v>
      </c>
      <c r="I848">
        <v>15.600000000000001</v>
      </c>
      <c r="J848" t="s">
        <v>15</v>
      </c>
      <c r="K848">
        <v>1.33</v>
      </c>
      <c r="L848" t="s">
        <v>51</v>
      </c>
      <c r="M848" s="8">
        <v>0.38</v>
      </c>
    </row>
    <row r="849" spans="1:13" x14ac:dyDescent="0.25">
      <c r="A849">
        <v>848</v>
      </c>
      <c r="B849">
        <v>5.4</v>
      </c>
      <c r="C849">
        <v>1.1000000000000001</v>
      </c>
      <c r="D849">
        <v>6.7</v>
      </c>
      <c r="E849">
        <v>4.7</v>
      </c>
      <c r="F849">
        <v>6.1</v>
      </c>
      <c r="G849">
        <v>2.8</v>
      </c>
      <c r="H849" t="s">
        <v>9</v>
      </c>
      <c r="I849">
        <v>17.299999999999997</v>
      </c>
      <c r="J849" t="s">
        <v>13</v>
      </c>
      <c r="K849">
        <v>2.2200000000000002</v>
      </c>
      <c r="L849" t="s">
        <v>52</v>
      </c>
      <c r="M849" s="8">
        <v>0.31</v>
      </c>
    </row>
    <row r="850" spans="1:13" x14ac:dyDescent="0.25">
      <c r="A850">
        <v>849</v>
      </c>
      <c r="B850">
        <v>10</v>
      </c>
      <c r="C850">
        <v>1</v>
      </c>
      <c r="D850">
        <v>9.4</v>
      </c>
      <c r="E850">
        <v>3</v>
      </c>
      <c r="F850">
        <v>0.6</v>
      </c>
      <c r="G850">
        <v>3.4</v>
      </c>
      <c r="H850" t="s">
        <v>10</v>
      </c>
      <c r="I850">
        <v>14.6</v>
      </c>
      <c r="J850" t="s">
        <v>15</v>
      </c>
      <c r="K850">
        <v>4.3600000000000003</v>
      </c>
      <c r="L850" t="s">
        <v>52</v>
      </c>
      <c r="M850" s="8">
        <v>0.68</v>
      </c>
    </row>
    <row r="851" spans="1:13" x14ac:dyDescent="0.25">
      <c r="A851">
        <v>850</v>
      </c>
      <c r="B851">
        <v>7</v>
      </c>
      <c r="C851">
        <v>3.9</v>
      </c>
      <c r="D851">
        <v>5.9</v>
      </c>
      <c r="E851">
        <v>4.8</v>
      </c>
      <c r="F851">
        <v>2.4</v>
      </c>
      <c r="G851">
        <v>2.78</v>
      </c>
      <c r="H851" t="s">
        <v>10</v>
      </c>
      <c r="I851">
        <v>18.099999999999998</v>
      </c>
      <c r="J851" t="s">
        <v>13</v>
      </c>
      <c r="K851">
        <v>1.92</v>
      </c>
      <c r="L851" t="s">
        <v>52</v>
      </c>
      <c r="M851" s="8">
        <v>0.39</v>
      </c>
    </row>
    <row r="852" spans="1:13" x14ac:dyDescent="0.25">
      <c r="A852">
        <v>851</v>
      </c>
      <c r="B852">
        <v>6.7</v>
      </c>
      <c r="C852">
        <v>2.9</v>
      </c>
      <c r="D852">
        <v>7.1</v>
      </c>
      <c r="E852">
        <v>3.5</v>
      </c>
      <c r="F852">
        <v>3.8</v>
      </c>
      <c r="G852">
        <v>3.09</v>
      </c>
      <c r="H852" t="s">
        <v>8</v>
      </c>
      <c r="I852">
        <v>16.899999999999999</v>
      </c>
      <c r="J852" t="s">
        <v>15</v>
      </c>
      <c r="K852">
        <v>1.69</v>
      </c>
      <c r="L852" t="s">
        <v>52</v>
      </c>
      <c r="M852" s="8">
        <v>0.4</v>
      </c>
    </row>
    <row r="853" spans="1:13" x14ac:dyDescent="0.25">
      <c r="A853">
        <v>852</v>
      </c>
      <c r="B853">
        <v>9.3000000000000007</v>
      </c>
      <c r="C853">
        <v>0.2</v>
      </c>
      <c r="D853">
        <v>8.5</v>
      </c>
      <c r="E853">
        <v>0.8</v>
      </c>
      <c r="F853">
        <v>5.2</v>
      </c>
      <c r="G853">
        <v>3.49</v>
      </c>
      <c r="H853" t="s">
        <v>10</v>
      </c>
      <c r="I853">
        <v>15.5</v>
      </c>
      <c r="J853" t="s">
        <v>15</v>
      </c>
      <c r="K853">
        <v>4.25</v>
      </c>
      <c r="L853" t="s">
        <v>52</v>
      </c>
      <c r="M853" s="8">
        <v>0.6</v>
      </c>
    </row>
    <row r="854" spans="1:13" x14ac:dyDescent="0.25">
      <c r="A854">
        <v>853</v>
      </c>
      <c r="B854">
        <v>7.1</v>
      </c>
      <c r="C854">
        <v>2.2000000000000002</v>
      </c>
      <c r="D854">
        <v>7</v>
      </c>
      <c r="E854">
        <v>3.1</v>
      </c>
      <c r="F854">
        <v>4.5999999999999996</v>
      </c>
      <c r="G854">
        <v>2.87</v>
      </c>
      <c r="H854" t="s">
        <v>8</v>
      </c>
      <c r="I854">
        <v>17</v>
      </c>
      <c r="J854" t="s">
        <v>13</v>
      </c>
      <c r="K854">
        <v>2.14</v>
      </c>
      <c r="L854" t="s">
        <v>52</v>
      </c>
      <c r="M854" s="8">
        <v>0.42</v>
      </c>
    </row>
    <row r="855" spans="1:13" x14ac:dyDescent="0.25">
      <c r="A855">
        <v>854</v>
      </c>
      <c r="B855">
        <v>5.7</v>
      </c>
      <c r="C855">
        <v>0.6</v>
      </c>
      <c r="D855">
        <v>9.6999999999999993</v>
      </c>
      <c r="E855">
        <v>5.3</v>
      </c>
      <c r="F855">
        <v>2.7</v>
      </c>
      <c r="G855">
        <v>3.18</v>
      </c>
      <c r="H855" t="s">
        <v>9</v>
      </c>
      <c r="I855">
        <v>14.3</v>
      </c>
      <c r="J855" t="s">
        <v>15</v>
      </c>
      <c r="K855">
        <v>2.39</v>
      </c>
      <c r="L855" t="s">
        <v>52</v>
      </c>
      <c r="M855" s="8">
        <v>0.4</v>
      </c>
    </row>
    <row r="856" spans="1:13" x14ac:dyDescent="0.25">
      <c r="A856">
        <v>855</v>
      </c>
      <c r="B856">
        <v>9.5</v>
      </c>
      <c r="C856">
        <v>4</v>
      </c>
      <c r="D856">
        <v>6</v>
      </c>
      <c r="E856">
        <v>1.6</v>
      </c>
      <c r="F856">
        <v>2.9</v>
      </c>
      <c r="G856">
        <v>3.39</v>
      </c>
      <c r="H856" t="s">
        <v>10</v>
      </c>
      <c r="I856">
        <v>18</v>
      </c>
      <c r="J856" t="s">
        <v>15</v>
      </c>
      <c r="K856">
        <v>3.47</v>
      </c>
      <c r="L856" t="s">
        <v>52</v>
      </c>
      <c r="M856" s="8">
        <v>0.53</v>
      </c>
    </row>
    <row r="857" spans="1:13" x14ac:dyDescent="0.25">
      <c r="A857">
        <v>856</v>
      </c>
      <c r="B857">
        <v>7.1</v>
      </c>
      <c r="C857">
        <v>1.4</v>
      </c>
      <c r="D857">
        <v>8</v>
      </c>
      <c r="E857">
        <v>3.5</v>
      </c>
      <c r="F857">
        <v>4</v>
      </c>
      <c r="G857">
        <v>3.48</v>
      </c>
      <c r="H857" t="s">
        <v>8</v>
      </c>
      <c r="I857">
        <v>16</v>
      </c>
      <c r="J857" t="s">
        <v>15</v>
      </c>
      <c r="K857">
        <v>2.35</v>
      </c>
      <c r="L857" t="s">
        <v>52</v>
      </c>
      <c r="M857" s="8">
        <v>0.44</v>
      </c>
    </row>
    <row r="858" spans="1:13" x14ac:dyDescent="0.25">
      <c r="A858">
        <v>857</v>
      </c>
      <c r="B858">
        <v>5.8</v>
      </c>
      <c r="C858">
        <v>1.9</v>
      </c>
      <c r="D858">
        <v>7.8</v>
      </c>
      <c r="E858">
        <v>3.4</v>
      </c>
      <c r="F858">
        <v>5.0999999999999996</v>
      </c>
      <c r="G858">
        <v>3.01</v>
      </c>
      <c r="H858" t="s">
        <v>9</v>
      </c>
      <c r="I858">
        <v>16.2</v>
      </c>
      <c r="J858" t="s">
        <v>15</v>
      </c>
      <c r="K858">
        <v>1.75</v>
      </c>
      <c r="L858" t="s">
        <v>52</v>
      </c>
      <c r="M858" s="8">
        <v>0.36</v>
      </c>
    </row>
    <row r="859" spans="1:13" x14ac:dyDescent="0.25">
      <c r="A859">
        <v>858</v>
      </c>
      <c r="B859">
        <v>5.0999999999999996</v>
      </c>
      <c r="C859">
        <v>1.4</v>
      </c>
      <c r="D859">
        <v>8.9</v>
      </c>
      <c r="E859">
        <v>3.4</v>
      </c>
      <c r="F859">
        <v>5.2</v>
      </c>
      <c r="G859">
        <v>2.6</v>
      </c>
      <c r="H859" t="s">
        <v>9</v>
      </c>
      <c r="I859">
        <v>15.100000000000001</v>
      </c>
      <c r="J859" t="s">
        <v>13</v>
      </c>
      <c r="K859">
        <v>1.79</v>
      </c>
      <c r="L859" t="s">
        <v>52</v>
      </c>
      <c r="M859" s="8">
        <v>0.34</v>
      </c>
    </row>
    <row r="860" spans="1:13" x14ac:dyDescent="0.25">
      <c r="A860">
        <v>859</v>
      </c>
      <c r="B860">
        <v>6.3</v>
      </c>
      <c r="C860">
        <v>2.8</v>
      </c>
      <c r="D860">
        <v>7.8</v>
      </c>
      <c r="E860">
        <v>4.8</v>
      </c>
      <c r="F860">
        <v>2.2999999999999998</v>
      </c>
      <c r="G860">
        <v>3.08</v>
      </c>
      <c r="H860" t="s">
        <v>8</v>
      </c>
      <c r="I860">
        <v>16.2</v>
      </c>
      <c r="J860" t="s">
        <v>15</v>
      </c>
      <c r="K860">
        <v>1.85</v>
      </c>
      <c r="L860" t="s">
        <v>52</v>
      </c>
      <c r="M860" s="8">
        <v>0.39</v>
      </c>
    </row>
    <row r="861" spans="1:13" x14ac:dyDescent="0.25">
      <c r="A861">
        <v>860</v>
      </c>
      <c r="B861">
        <v>7.4</v>
      </c>
      <c r="C861">
        <v>0.5</v>
      </c>
      <c r="D861">
        <v>6.3</v>
      </c>
      <c r="E861">
        <v>2.5</v>
      </c>
      <c r="F861">
        <v>7.3</v>
      </c>
      <c r="G861">
        <v>3.4</v>
      </c>
      <c r="H861" t="s">
        <v>8</v>
      </c>
      <c r="I861">
        <v>17.7</v>
      </c>
      <c r="J861" t="s">
        <v>15</v>
      </c>
      <c r="K861">
        <v>3.48</v>
      </c>
      <c r="L861" t="s">
        <v>52</v>
      </c>
      <c r="M861" s="8">
        <v>0.42</v>
      </c>
    </row>
    <row r="862" spans="1:13" x14ac:dyDescent="0.25">
      <c r="A862">
        <v>861</v>
      </c>
      <c r="B862">
        <v>8</v>
      </c>
      <c r="C862">
        <v>2.1</v>
      </c>
      <c r="D862">
        <v>6.4</v>
      </c>
      <c r="E862">
        <v>0</v>
      </c>
      <c r="F862">
        <v>7.5</v>
      </c>
      <c r="G862">
        <v>2.83</v>
      </c>
      <c r="H862" t="s">
        <v>8</v>
      </c>
      <c r="I862">
        <v>17.600000000000001</v>
      </c>
      <c r="J862" t="s">
        <v>13</v>
      </c>
      <c r="K862">
        <v>3.97</v>
      </c>
      <c r="L862" t="s">
        <v>52</v>
      </c>
      <c r="M862" s="8">
        <v>0.45</v>
      </c>
    </row>
    <row r="863" spans="1:13" x14ac:dyDescent="0.25">
      <c r="A863">
        <v>862</v>
      </c>
      <c r="B863">
        <v>8.6999999999999993</v>
      </c>
      <c r="C863">
        <v>0.1</v>
      </c>
      <c r="D863">
        <v>7.9</v>
      </c>
      <c r="E863">
        <v>5.6</v>
      </c>
      <c r="F863">
        <v>1.7</v>
      </c>
      <c r="G863">
        <v>3.3</v>
      </c>
      <c r="H863" t="s">
        <v>10</v>
      </c>
      <c r="I863">
        <v>16.099999999999998</v>
      </c>
      <c r="J863" t="s">
        <v>15</v>
      </c>
      <c r="K863">
        <v>3.88</v>
      </c>
      <c r="L863" t="s">
        <v>52</v>
      </c>
      <c r="M863" s="8">
        <v>0.54</v>
      </c>
    </row>
    <row r="864" spans="1:13" x14ac:dyDescent="0.25">
      <c r="A864">
        <v>863</v>
      </c>
      <c r="B864">
        <v>5.9</v>
      </c>
      <c r="C864">
        <v>1.9</v>
      </c>
      <c r="D864">
        <v>5.5</v>
      </c>
      <c r="E864">
        <v>3.8</v>
      </c>
      <c r="F864">
        <v>6.9</v>
      </c>
      <c r="G864">
        <v>2.4500000000000002</v>
      </c>
      <c r="H864" t="s">
        <v>10</v>
      </c>
      <c r="I864">
        <v>18.5</v>
      </c>
      <c r="J864" t="s">
        <v>16</v>
      </c>
      <c r="K864">
        <v>2.23</v>
      </c>
      <c r="L864" t="s">
        <v>52</v>
      </c>
      <c r="M864" s="8">
        <v>0.32</v>
      </c>
    </row>
    <row r="865" spans="1:13" x14ac:dyDescent="0.25">
      <c r="A865">
        <v>864</v>
      </c>
      <c r="B865">
        <v>7.6</v>
      </c>
      <c r="C865">
        <v>3.6</v>
      </c>
      <c r="D865">
        <v>6</v>
      </c>
      <c r="E865">
        <v>0.1</v>
      </c>
      <c r="F865">
        <v>6.7</v>
      </c>
      <c r="G865">
        <v>3.38</v>
      </c>
      <c r="H865" t="s">
        <v>8</v>
      </c>
      <c r="I865">
        <v>18</v>
      </c>
      <c r="J865" t="s">
        <v>15</v>
      </c>
      <c r="K865">
        <v>3.4</v>
      </c>
      <c r="L865" t="s">
        <v>52</v>
      </c>
      <c r="M865" s="8">
        <v>0.42</v>
      </c>
    </row>
    <row r="866" spans="1:13" x14ac:dyDescent="0.25">
      <c r="A866">
        <v>865</v>
      </c>
      <c r="B866">
        <v>9.3000000000000007</v>
      </c>
      <c r="C866">
        <v>2.2999999999999998</v>
      </c>
      <c r="D866">
        <v>9.5</v>
      </c>
      <c r="E866">
        <v>1.7</v>
      </c>
      <c r="F866">
        <v>1.2</v>
      </c>
      <c r="G866">
        <v>3.34</v>
      </c>
      <c r="H866" t="s">
        <v>10</v>
      </c>
      <c r="I866">
        <v>14.5</v>
      </c>
      <c r="J866" t="s">
        <v>15</v>
      </c>
      <c r="K866">
        <v>3.81</v>
      </c>
      <c r="L866" t="s">
        <v>52</v>
      </c>
      <c r="M866" s="8">
        <v>0.64</v>
      </c>
    </row>
    <row r="867" spans="1:13" x14ac:dyDescent="0.25">
      <c r="A867">
        <v>866</v>
      </c>
      <c r="B867">
        <v>8.6999999999999993</v>
      </c>
      <c r="C867">
        <v>3.7</v>
      </c>
      <c r="D867">
        <v>7.9</v>
      </c>
      <c r="E867">
        <v>0.7</v>
      </c>
      <c r="F867">
        <v>3</v>
      </c>
      <c r="G867">
        <v>3.57</v>
      </c>
      <c r="H867" t="s">
        <v>10</v>
      </c>
      <c r="I867">
        <v>16.099999999999998</v>
      </c>
      <c r="J867" t="s">
        <v>14</v>
      </c>
      <c r="K867">
        <v>3.37</v>
      </c>
      <c r="L867" t="s">
        <v>52</v>
      </c>
      <c r="M867" s="8">
        <v>0.54</v>
      </c>
    </row>
    <row r="868" spans="1:13" x14ac:dyDescent="0.25">
      <c r="A868">
        <v>867</v>
      </c>
      <c r="B868">
        <v>6.3</v>
      </c>
      <c r="C868">
        <v>0.8</v>
      </c>
      <c r="D868">
        <v>6.2</v>
      </c>
      <c r="E868">
        <v>1.8</v>
      </c>
      <c r="F868">
        <v>8.9</v>
      </c>
      <c r="G868">
        <v>3.37</v>
      </c>
      <c r="H868" t="s">
        <v>8</v>
      </c>
      <c r="I868">
        <v>17.8</v>
      </c>
      <c r="J868" t="s">
        <v>15</v>
      </c>
      <c r="K868">
        <v>3.81</v>
      </c>
      <c r="L868" t="s">
        <v>52</v>
      </c>
      <c r="M868" s="8">
        <v>0.35</v>
      </c>
    </row>
    <row r="869" spans="1:13" x14ac:dyDescent="0.25">
      <c r="A869">
        <v>868</v>
      </c>
      <c r="B869">
        <v>7.1</v>
      </c>
      <c r="C869">
        <v>2.5</v>
      </c>
      <c r="D869">
        <v>5.4</v>
      </c>
      <c r="E869">
        <v>0.5</v>
      </c>
      <c r="F869">
        <v>8.5</v>
      </c>
      <c r="G869">
        <v>3.33</v>
      </c>
      <c r="H869" t="s">
        <v>10</v>
      </c>
      <c r="I869">
        <v>18.600000000000001</v>
      </c>
      <c r="J869" t="s">
        <v>15</v>
      </c>
      <c r="K869">
        <v>3.77</v>
      </c>
      <c r="L869" t="s">
        <v>52</v>
      </c>
      <c r="M869" s="8">
        <v>0.38</v>
      </c>
    </row>
    <row r="870" spans="1:13" x14ac:dyDescent="0.25">
      <c r="A870">
        <v>869</v>
      </c>
      <c r="B870">
        <v>5.9</v>
      </c>
      <c r="C870">
        <v>2.1</v>
      </c>
      <c r="D870">
        <v>6.1</v>
      </c>
      <c r="E870">
        <v>1.7</v>
      </c>
      <c r="F870">
        <v>8.1999999999999993</v>
      </c>
      <c r="G870">
        <v>3.13</v>
      </c>
      <c r="H870" t="s">
        <v>9</v>
      </c>
      <c r="I870">
        <v>17.899999999999999</v>
      </c>
      <c r="J870" t="s">
        <v>15</v>
      </c>
      <c r="K870">
        <v>3.12</v>
      </c>
      <c r="L870" t="s">
        <v>52</v>
      </c>
      <c r="M870" s="8">
        <v>0.33</v>
      </c>
    </row>
    <row r="871" spans="1:13" x14ac:dyDescent="0.25">
      <c r="A871">
        <v>870</v>
      </c>
      <c r="B871">
        <v>5.0999999999999996</v>
      </c>
      <c r="C871">
        <v>2.6</v>
      </c>
      <c r="D871">
        <v>8.3000000000000007</v>
      </c>
      <c r="E871">
        <v>4.8</v>
      </c>
      <c r="F871">
        <v>3.2</v>
      </c>
      <c r="G871">
        <v>2.69</v>
      </c>
      <c r="H871" t="s">
        <v>9</v>
      </c>
      <c r="I871">
        <v>15.7</v>
      </c>
      <c r="J871" t="s">
        <v>13</v>
      </c>
      <c r="K871">
        <v>1.21</v>
      </c>
      <c r="L871" t="s">
        <v>51</v>
      </c>
      <c r="M871" s="8">
        <v>0.32</v>
      </c>
    </row>
    <row r="872" spans="1:13" x14ac:dyDescent="0.25">
      <c r="A872">
        <v>871</v>
      </c>
      <c r="B872">
        <v>9.6999999999999993</v>
      </c>
      <c r="C872">
        <v>0.1</v>
      </c>
      <c r="D872">
        <v>5.8</v>
      </c>
      <c r="E872">
        <v>5.3</v>
      </c>
      <c r="F872">
        <v>3.1</v>
      </c>
      <c r="G872">
        <v>3.92</v>
      </c>
      <c r="H872" t="s">
        <v>10</v>
      </c>
      <c r="I872">
        <v>18.2</v>
      </c>
      <c r="J872" t="s">
        <v>14</v>
      </c>
      <c r="K872">
        <v>4.04</v>
      </c>
      <c r="L872" t="s">
        <v>52</v>
      </c>
      <c r="M872" s="8">
        <v>0.53</v>
      </c>
    </row>
    <row r="873" spans="1:13" x14ac:dyDescent="0.25">
      <c r="A873">
        <v>872</v>
      </c>
      <c r="B873">
        <v>8.3000000000000007</v>
      </c>
      <c r="C873">
        <v>2.7</v>
      </c>
      <c r="D873">
        <v>9.6999999999999993</v>
      </c>
      <c r="E873">
        <v>3.3</v>
      </c>
      <c r="F873">
        <v>0</v>
      </c>
      <c r="G873">
        <v>2.95</v>
      </c>
      <c r="H873" t="s">
        <v>10</v>
      </c>
      <c r="I873">
        <v>14.3</v>
      </c>
      <c r="J873" t="s">
        <v>13</v>
      </c>
      <c r="K873">
        <v>3.46</v>
      </c>
      <c r="L873" t="s">
        <v>52</v>
      </c>
      <c r="M873" s="8">
        <v>0.57999999999999996</v>
      </c>
    </row>
    <row r="874" spans="1:13" x14ac:dyDescent="0.25">
      <c r="A874">
        <v>873</v>
      </c>
      <c r="B874">
        <v>8.6</v>
      </c>
      <c r="C874">
        <v>1.1000000000000001</v>
      </c>
      <c r="D874">
        <v>9.4</v>
      </c>
      <c r="E874">
        <v>0.2</v>
      </c>
      <c r="F874">
        <v>4.7</v>
      </c>
      <c r="G874">
        <v>3.36</v>
      </c>
      <c r="H874" t="s">
        <v>10</v>
      </c>
      <c r="I874">
        <v>14.599999999999998</v>
      </c>
      <c r="J874" t="s">
        <v>15</v>
      </c>
      <c r="K874">
        <v>3.83</v>
      </c>
      <c r="L874" t="s">
        <v>52</v>
      </c>
      <c r="M874" s="8">
        <v>0.59</v>
      </c>
    </row>
    <row r="875" spans="1:13" x14ac:dyDescent="0.25">
      <c r="A875">
        <v>874</v>
      </c>
      <c r="B875">
        <v>6.3</v>
      </c>
      <c r="C875">
        <v>0.9</v>
      </c>
      <c r="D875">
        <v>5.7</v>
      </c>
      <c r="E875">
        <v>5.2</v>
      </c>
      <c r="F875">
        <v>5.9</v>
      </c>
      <c r="G875">
        <v>2.9</v>
      </c>
      <c r="H875" t="s">
        <v>10</v>
      </c>
      <c r="I875">
        <v>18.3</v>
      </c>
      <c r="J875" t="s">
        <v>13</v>
      </c>
      <c r="K875">
        <v>2.4900000000000002</v>
      </c>
      <c r="L875" t="s">
        <v>52</v>
      </c>
      <c r="M875" s="8">
        <v>0.34</v>
      </c>
    </row>
    <row r="876" spans="1:13" x14ac:dyDescent="0.25">
      <c r="A876">
        <v>875</v>
      </c>
      <c r="B876">
        <v>7.5</v>
      </c>
      <c r="C876">
        <v>2.7</v>
      </c>
      <c r="D876">
        <v>6.2</v>
      </c>
      <c r="E876">
        <v>4.5</v>
      </c>
      <c r="F876">
        <v>3.1</v>
      </c>
      <c r="G876">
        <v>2.97</v>
      </c>
      <c r="H876" t="s">
        <v>8</v>
      </c>
      <c r="I876">
        <v>17.8</v>
      </c>
      <c r="J876" t="s">
        <v>13</v>
      </c>
      <c r="K876">
        <v>2.17</v>
      </c>
      <c r="L876" t="s">
        <v>52</v>
      </c>
      <c r="M876" s="8">
        <v>0.42</v>
      </c>
    </row>
    <row r="877" spans="1:13" x14ac:dyDescent="0.25">
      <c r="A877">
        <v>876</v>
      </c>
      <c r="B877">
        <v>7.1</v>
      </c>
      <c r="C877">
        <v>0.8</v>
      </c>
      <c r="D877">
        <v>9.9</v>
      </c>
      <c r="E877">
        <v>3.9</v>
      </c>
      <c r="F877">
        <v>2.2999999999999998</v>
      </c>
      <c r="G877">
        <v>3.28</v>
      </c>
      <c r="H877" t="s">
        <v>8</v>
      </c>
      <c r="I877">
        <v>14.099999999999998</v>
      </c>
      <c r="J877" t="s">
        <v>15</v>
      </c>
      <c r="K877">
        <v>2.7</v>
      </c>
      <c r="L877" t="s">
        <v>52</v>
      </c>
      <c r="M877" s="8">
        <v>0.5</v>
      </c>
    </row>
    <row r="878" spans="1:13" x14ac:dyDescent="0.25">
      <c r="A878">
        <v>877</v>
      </c>
      <c r="B878">
        <v>9.6999999999999993</v>
      </c>
      <c r="C878">
        <v>1.2</v>
      </c>
      <c r="D878">
        <v>8.9</v>
      </c>
      <c r="E878">
        <v>3.2</v>
      </c>
      <c r="F878">
        <v>1</v>
      </c>
      <c r="G878">
        <v>3.26</v>
      </c>
      <c r="H878" t="s">
        <v>10</v>
      </c>
      <c r="I878">
        <v>15.099999999999998</v>
      </c>
      <c r="J878" t="s">
        <v>15</v>
      </c>
      <c r="K878">
        <v>4.07</v>
      </c>
      <c r="L878" t="s">
        <v>52</v>
      </c>
      <c r="M878" s="8">
        <v>0.64</v>
      </c>
    </row>
    <row r="879" spans="1:13" x14ac:dyDescent="0.25">
      <c r="A879">
        <v>878</v>
      </c>
      <c r="B879">
        <v>8.4</v>
      </c>
      <c r="C879">
        <v>2.9</v>
      </c>
      <c r="D879">
        <v>7.9</v>
      </c>
      <c r="E879">
        <v>1</v>
      </c>
      <c r="F879">
        <v>3.8</v>
      </c>
      <c r="G879">
        <v>3.2</v>
      </c>
      <c r="H879" t="s">
        <v>10</v>
      </c>
      <c r="I879">
        <v>16.100000000000001</v>
      </c>
      <c r="J879" t="s">
        <v>15</v>
      </c>
      <c r="K879">
        <v>3.14</v>
      </c>
      <c r="L879" t="s">
        <v>52</v>
      </c>
      <c r="M879" s="8">
        <v>0.52</v>
      </c>
    </row>
    <row r="880" spans="1:13" x14ac:dyDescent="0.25">
      <c r="A880">
        <v>879</v>
      </c>
      <c r="B880">
        <v>7.5</v>
      </c>
      <c r="C880">
        <v>1.2</v>
      </c>
      <c r="D880">
        <v>7.1</v>
      </c>
      <c r="E880">
        <v>3.9</v>
      </c>
      <c r="F880">
        <v>4.3</v>
      </c>
      <c r="G880">
        <v>2.96</v>
      </c>
      <c r="H880" t="s">
        <v>8</v>
      </c>
      <c r="I880">
        <v>16.899999999999999</v>
      </c>
      <c r="J880" t="s">
        <v>13</v>
      </c>
      <c r="K880">
        <v>2.58</v>
      </c>
      <c r="L880" t="s">
        <v>52</v>
      </c>
      <c r="M880" s="8">
        <v>0.44</v>
      </c>
    </row>
    <row r="881" spans="1:13" x14ac:dyDescent="0.25">
      <c r="A881">
        <v>880</v>
      </c>
      <c r="B881">
        <v>7</v>
      </c>
      <c r="C881">
        <v>1.1000000000000001</v>
      </c>
      <c r="D881">
        <v>6</v>
      </c>
      <c r="E881">
        <v>4.7</v>
      </c>
      <c r="F881">
        <v>5.2</v>
      </c>
      <c r="G881">
        <v>3.2</v>
      </c>
      <c r="H881" t="s">
        <v>8</v>
      </c>
      <c r="I881">
        <v>18</v>
      </c>
      <c r="J881" t="s">
        <v>15</v>
      </c>
      <c r="K881">
        <v>2.4700000000000002</v>
      </c>
      <c r="L881" t="s">
        <v>52</v>
      </c>
      <c r="M881" s="8">
        <v>0.39</v>
      </c>
    </row>
    <row r="882" spans="1:13" x14ac:dyDescent="0.25">
      <c r="A882">
        <v>881</v>
      </c>
      <c r="B882">
        <v>9.5</v>
      </c>
      <c r="C882">
        <v>1.5</v>
      </c>
      <c r="D882">
        <v>8.8000000000000007</v>
      </c>
      <c r="E882">
        <v>3.8</v>
      </c>
      <c r="F882">
        <v>0.4</v>
      </c>
      <c r="G882">
        <v>3.36</v>
      </c>
      <c r="H882" t="s">
        <v>10</v>
      </c>
      <c r="I882">
        <v>15.200000000000001</v>
      </c>
      <c r="J882" t="s">
        <v>15</v>
      </c>
      <c r="K882">
        <v>4.0599999999999996</v>
      </c>
      <c r="L882" t="s">
        <v>52</v>
      </c>
      <c r="M882" s="8">
        <v>0.62</v>
      </c>
    </row>
    <row r="883" spans="1:13" x14ac:dyDescent="0.25">
      <c r="A883">
        <v>882</v>
      </c>
      <c r="B883">
        <v>9.8000000000000007</v>
      </c>
      <c r="C883">
        <v>1.5</v>
      </c>
      <c r="D883">
        <v>6.7</v>
      </c>
      <c r="E883">
        <v>0.4</v>
      </c>
      <c r="F883">
        <v>5.6</v>
      </c>
      <c r="G883">
        <v>3.54</v>
      </c>
      <c r="H883" t="s">
        <v>10</v>
      </c>
      <c r="I883">
        <v>17.3</v>
      </c>
      <c r="J883" t="s">
        <v>14</v>
      </c>
      <c r="K883">
        <v>4.28</v>
      </c>
      <c r="L883" t="s">
        <v>52</v>
      </c>
      <c r="M883" s="8">
        <v>0.56999999999999995</v>
      </c>
    </row>
    <row r="884" spans="1:13" x14ac:dyDescent="0.25">
      <c r="A884">
        <v>883</v>
      </c>
      <c r="B884">
        <v>7.4</v>
      </c>
      <c r="C884">
        <v>0.4</v>
      </c>
      <c r="D884">
        <v>6.2</v>
      </c>
      <c r="E884">
        <v>1.9</v>
      </c>
      <c r="F884">
        <v>8.1</v>
      </c>
      <c r="G884">
        <v>3.16</v>
      </c>
      <c r="H884" t="s">
        <v>8</v>
      </c>
      <c r="I884">
        <v>17.8</v>
      </c>
      <c r="J884" t="s">
        <v>15</v>
      </c>
      <c r="K884">
        <v>3.87</v>
      </c>
      <c r="L884" t="s">
        <v>52</v>
      </c>
      <c r="M884" s="8">
        <v>0.42</v>
      </c>
    </row>
    <row r="885" spans="1:13" x14ac:dyDescent="0.25">
      <c r="A885">
        <v>884</v>
      </c>
      <c r="B885">
        <v>6.5</v>
      </c>
      <c r="C885">
        <v>3.4</v>
      </c>
      <c r="D885">
        <v>9.3000000000000007</v>
      </c>
      <c r="E885">
        <v>3.7</v>
      </c>
      <c r="F885">
        <v>1.1000000000000001</v>
      </c>
      <c r="G885">
        <v>3.02</v>
      </c>
      <c r="H885" t="s">
        <v>8</v>
      </c>
      <c r="I885">
        <v>14.700000000000001</v>
      </c>
      <c r="J885" t="s">
        <v>15</v>
      </c>
      <c r="K885">
        <v>2.21</v>
      </c>
      <c r="L885" t="s">
        <v>52</v>
      </c>
      <c r="M885" s="8">
        <v>0.44</v>
      </c>
    </row>
    <row r="886" spans="1:13" x14ac:dyDescent="0.25">
      <c r="A886">
        <v>885</v>
      </c>
      <c r="B886">
        <v>5.7</v>
      </c>
      <c r="C886">
        <v>2.8</v>
      </c>
      <c r="D886">
        <v>9.6999999999999993</v>
      </c>
      <c r="E886">
        <v>4</v>
      </c>
      <c r="F886">
        <v>1.8</v>
      </c>
      <c r="G886">
        <v>2.86</v>
      </c>
      <c r="H886" t="s">
        <v>9</v>
      </c>
      <c r="I886">
        <v>14.3</v>
      </c>
      <c r="J886" t="s">
        <v>13</v>
      </c>
      <c r="K886">
        <v>1.68</v>
      </c>
      <c r="L886" t="s">
        <v>52</v>
      </c>
      <c r="M886" s="8">
        <v>0.4</v>
      </c>
    </row>
    <row r="887" spans="1:13" x14ac:dyDescent="0.25">
      <c r="A887">
        <v>886</v>
      </c>
      <c r="B887">
        <v>8.1999999999999993</v>
      </c>
      <c r="C887">
        <v>2</v>
      </c>
      <c r="D887">
        <v>5.6</v>
      </c>
      <c r="E887">
        <v>1.9</v>
      </c>
      <c r="F887">
        <v>6.3</v>
      </c>
      <c r="G887">
        <v>2.81</v>
      </c>
      <c r="H887" t="s">
        <v>10</v>
      </c>
      <c r="I887">
        <v>18.399999999999999</v>
      </c>
      <c r="J887" t="s">
        <v>13</v>
      </c>
      <c r="K887">
        <v>3.16</v>
      </c>
      <c r="L887" t="s">
        <v>52</v>
      </c>
      <c r="M887" s="8">
        <v>0.45</v>
      </c>
    </row>
    <row r="888" spans="1:13" x14ac:dyDescent="0.25">
      <c r="A888">
        <v>887</v>
      </c>
      <c r="B888">
        <v>9</v>
      </c>
      <c r="C888">
        <v>3.4</v>
      </c>
      <c r="D888">
        <v>5.7</v>
      </c>
      <c r="E888">
        <v>5.6</v>
      </c>
      <c r="F888">
        <v>0.3</v>
      </c>
      <c r="G888">
        <v>3.59</v>
      </c>
      <c r="H888" t="s">
        <v>10</v>
      </c>
      <c r="I888">
        <v>18.3</v>
      </c>
      <c r="J888" t="s">
        <v>14</v>
      </c>
      <c r="K888">
        <v>3.66</v>
      </c>
      <c r="L888" t="s">
        <v>52</v>
      </c>
      <c r="M888" s="8">
        <v>0.49</v>
      </c>
    </row>
    <row r="889" spans="1:13" x14ac:dyDescent="0.25">
      <c r="A889">
        <v>888</v>
      </c>
      <c r="B889">
        <v>8.8000000000000007</v>
      </c>
      <c r="C889">
        <v>3.2</v>
      </c>
      <c r="D889">
        <v>9.6999999999999993</v>
      </c>
      <c r="E889">
        <v>0.7</v>
      </c>
      <c r="F889">
        <v>1.6</v>
      </c>
      <c r="G889">
        <v>3.07</v>
      </c>
      <c r="H889" t="s">
        <v>10</v>
      </c>
      <c r="I889">
        <v>14.299999999999999</v>
      </c>
      <c r="J889" t="s">
        <v>15</v>
      </c>
      <c r="K889">
        <v>3.63</v>
      </c>
      <c r="L889" t="s">
        <v>52</v>
      </c>
      <c r="M889" s="8">
        <v>0.62</v>
      </c>
    </row>
    <row r="890" spans="1:13" x14ac:dyDescent="0.25">
      <c r="A890">
        <v>889</v>
      </c>
      <c r="B890">
        <v>9.3000000000000007</v>
      </c>
      <c r="C890">
        <v>0.5</v>
      </c>
      <c r="D890">
        <v>8.5</v>
      </c>
      <c r="E890">
        <v>4.2</v>
      </c>
      <c r="F890">
        <v>1.5</v>
      </c>
      <c r="G890">
        <v>3.17</v>
      </c>
      <c r="H890" t="s">
        <v>10</v>
      </c>
      <c r="I890">
        <v>15.5</v>
      </c>
      <c r="J890" t="s">
        <v>15</v>
      </c>
      <c r="K890">
        <v>3.94</v>
      </c>
      <c r="L890" t="s">
        <v>52</v>
      </c>
      <c r="M890" s="8">
        <v>0.6</v>
      </c>
    </row>
    <row r="891" spans="1:13" x14ac:dyDescent="0.25">
      <c r="A891">
        <v>890</v>
      </c>
      <c r="B891">
        <v>9.4</v>
      </c>
      <c r="C891">
        <v>0.7</v>
      </c>
      <c r="D891">
        <v>5.3</v>
      </c>
      <c r="E891">
        <v>4.3</v>
      </c>
      <c r="F891">
        <v>4.3</v>
      </c>
      <c r="G891">
        <v>3.57</v>
      </c>
      <c r="H891" t="s">
        <v>10</v>
      </c>
      <c r="I891">
        <v>18.7</v>
      </c>
      <c r="J891" t="s">
        <v>14</v>
      </c>
      <c r="K891">
        <v>3.58</v>
      </c>
      <c r="L891" t="s">
        <v>52</v>
      </c>
      <c r="M891" s="8">
        <v>0.5</v>
      </c>
    </row>
    <row r="892" spans="1:13" x14ac:dyDescent="0.25">
      <c r="A892">
        <v>891</v>
      </c>
      <c r="B892">
        <v>7.4</v>
      </c>
      <c r="C892">
        <v>3.4</v>
      </c>
      <c r="D892">
        <v>6.9</v>
      </c>
      <c r="E892">
        <v>1</v>
      </c>
      <c r="F892">
        <v>5.3</v>
      </c>
      <c r="G892">
        <v>3.15</v>
      </c>
      <c r="H892" t="s">
        <v>8</v>
      </c>
      <c r="I892">
        <v>17.100000000000001</v>
      </c>
      <c r="J892" t="s">
        <v>15</v>
      </c>
      <c r="K892">
        <v>2.73</v>
      </c>
      <c r="L892" t="s">
        <v>52</v>
      </c>
      <c r="M892" s="8">
        <v>0.43</v>
      </c>
    </row>
    <row r="893" spans="1:13" x14ac:dyDescent="0.25">
      <c r="A893">
        <v>892</v>
      </c>
      <c r="B893">
        <v>5.9</v>
      </c>
      <c r="C893">
        <v>2.9</v>
      </c>
      <c r="D893">
        <v>7.6</v>
      </c>
      <c r="E893">
        <v>3.6</v>
      </c>
      <c r="F893">
        <v>4</v>
      </c>
      <c r="G893">
        <v>3.13</v>
      </c>
      <c r="H893" t="s">
        <v>9</v>
      </c>
      <c r="I893">
        <v>16.399999999999999</v>
      </c>
      <c r="J893" t="s">
        <v>15</v>
      </c>
      <c r="K893">
        <v>1.28</v>
      </c>
      <c r="L893" t="s">
        <v>51</v>
      </c>
      <c r="M893" s="8">
        <v>0.36</v>
      </c>
    </row>
    <row r="894" spans="1:13" x14ac:dyDescent="0.25">
      <c r="A894">
        <v>893</v>
      </c>
      <c r="B894">
        <v>7.3</v>
      </c>
      <c r="C894">
        <v>3.3</v>
      </c>
      <c r="D894">
        <v>9.1</v>
      </c>
      <c r="E894">
        <v>3.1</v>
      </c>
      <c r="F894">
        <v>1.2</v>
      </c>
      <c r="G894">
        <v>3.34</v>
      </c>
      <c r="H894" t="s">
        <v>8</v>
      </c>
      <c r="I894">
        <v>14.899999999999999</v>
      </c>
      <c r="J894" t="s">
        <v>15</v>
      </c>
      <c r="K894">
        <v>2.56</v>
      </c>
      <c r="L894" t="s">
        <v>52</v>
      </c>
      <c r="M894" s="8">
        <v>0.49</v>
      </c>
    </row>
    <row r="895" spans="1:13" x14ac:dyDescent="0.25">
      <c r="A895">
        <v>894</v>
      </c>
      <c r="B895">
        <v>6.8</v>
      </c>
      <c r="C895">
        <v>3.5</v>
      </c>
      <c r="D895">
        <v>8.6</v>
      </c>
      <c r="E895">
        <v>0.6</v>
      </c>
      <c r="F895">
        <v>4.5</v>
      </c>
      <c r="G895">
        <v>3.23</v>
      </c>
      <c r="H895" t="s">
        <v>8</v>
      </c>
      <c r="I895">
        <v>15.4</v>
      </c>
      <c r="J895" t="s">
        <v>15</v>
      </c>
      <c r="K895">
        <v>2.57</v>
      </c>
      <c r="L895" t="s">
        <v>52</v>
      </c>
      <c r="M895" s="8">
        <v>0.44</v>
      </c>
    </row>
    <row r="896" spans="1:13" x14ac:dyDescent="0.25">
      <c r="A896">
        <v>895</v>
      </c>
      <c r="B896">
        <v>7</v>
      </c>
      <c r="C896">
        <v>3.5</v>
      </c>
      <c r="D896">
        <v>5.2</v>
      </c>
      <c r="E896">
        <v>5.8</v>
      </c>
      <c r="F896">
        <v>2.5</v>
      </c>
      <c r="G896">
        <v>3.26</v>
      </c>
      <c r="H896" t="s">
        <v>10</v>
      </c>
      <c r="I896">
        <v>18.8</v>
      </c>
      <c r="J896" t="s">
        <v>15</v>
      </c>
      <c r="K896">
        <v>2.06</v>
      </c>
      <c r="L896" t="s">
        <v>52</v>
      </c>
      <c r="M896" s="8">
        <v>0.37</v>
      </c>
    </row>
    <row r="897" spans="1:13" x14ac:dyDescent="0.25">
      <c r="A897">
        <v>896</v>
      </c>
      <c r="B897">
        <v>6.4</v>
      </c>
      <c r="C897">
        <v>1</v>
      </c>
      <c r="D897">
        <v>9.6999999999999993</v>
      </c>
      <c r="E897">
        <v>1.8</v>
      </c>
      <c r="F897">
        <v>5.0999999999999996</v>
      </c>
      <c r="G897">
        <v>3.25</v>
      </c>
      <c r="H897" t="s">
        <v>8</v>
      </c>
      <c r="I897">
        <v>14.3</v>
      </c>
      <c r="J897" t="s">
        <v>15</v>
      </c>
      <c r="K897">
        <v>2.59</v>
      </c>
      <c r="L897" t="s">
        <v>52</v>
      </c>
      <c r="M897" s="8">
        <v>0.45</v>
      </c>
    </row>
    <row r="898" spans="1:13" x14ac:dyDescent="0.25">
      <c r="A898">
        <v>897</v>
      </c>
      <c r="B898">
        <v>8.9</v>
      </c>
      <c r="C898">
        <v>1.6</v>
      </c>
      <c r="D898">
        <v>5.7</v>
      </c>
      <c r="E898">
        <v>0.1</v>
      </c>
      <c r="F898">
        <v>7.7</v>
      </c>
      <c r="G898">
        <v>3.42</v>
      </c>
      <c r="H898" t="s">
        <v>10</v>
      </c>
      <c r="I898">
        <v>18.3</v>
      </c>
      <c r="J898" t="s">
        <v>15</v>
      </c>
      <c r="K898">
        <v>4.37</v>
      </c>
      <c r="L898" t="s">
        <v>52</v>
      </c>
      <c r="M898" s="8">
        <v>0.49</v>
      </c>
    </row>
    <row r="899" spans="1:13" x14ac:dyDescent="0.25">
      <c r="A899">
        <v>898</v>
      </c>
      <c r="B899">
        <v>6.8</v>
      </c>
      <c r="C899">
        <v>1.4</v>
      </c>
      <c r="D899">
        <v>6.7</v>
      </c>
      <c r="E899">
        <v>3.1</v>
      </c>
      <c r="F899">
        <v>6</v>
      </c>
      <c r="G899">
        <v>3.03</v>
      </c>
      <c r="H899" t="s">
        <v>8</v>
      </c>
      <c r="I899">
        <v>17.299999999999997</v>
      </c>
      <c r="J899" t="s">
        <v>15</v>
      </c>
      <c r="K899">
        <v>2.52</v>
      </c>
      <c r="L899" t="s">
        <v>52</v>
      </c>
      <c r="M899" s="8">
        <v>0.39</v>
      </c>
    </row>
    <row r="900" spans="1:13" x14ac:dyDescent="0.25">
      <c r="A900">
        <v>899</v>
      </c>
      <c r="B900">
        <v>7.2</v>
      </c>
      <c r="C900">
        <v>3.5</v>
      </c>
      <c r="D900">
        <v>7.5</v>
      </c>
      <c r="E900">
        <v>2.9</v>
      </c>
      <c r="F900">
        <v>2.9</v>
      </c>
      <c r="G900">
        <v>3.04</v>
      </c>
      <c r="H900" t="s">
        <v>8</v>
      </c>
      <c r="I900">
        <v>16.5</v>
      </c>
      <c r="J900" t="s">
        <v>15</v>
      </c>
      <c r="K900">
        <v>2.0699999999999998</v>
      </c>
      <c r="L900" t="s">
        <v>52</v>
      </c>
      <c r="M900" s="8">
        <v>0.44</v>
      </c>
    </row>
    <row r="901" spans="1:13" x14ac:dyDescent="0.25">
      <c r="A901">
        <v>900</v>
      </c>
      <c r="B901">
        <v>8.3000000000000007</v>
      </c>
      <c r="C901">
        <v>2.4</v>
      </c>
      <c r="D901">
        <v>7.1</v>
      </c>
      <c r="E901">
        <v>2.5</v>
      </c>
      <c r="F901">
        <v>3.7</v>
      </c>
      <c r="G901">
        <v>3.22</v>
      </c>
      <c r="H901" t="s">
        <v>10</v>
      </c>
      <c r="I901">
        <v>16.900000000000002</v>
      </c>
      <c r="J901" t="s">
        <v>15</v>
      </c>
      <c r="K901">
        <v>2.78</v>
      </c>
      <c r="L901" t="s">
        <v>52</v>
      </c>
      <c r="M901" s="8">
        <v>0.49</v>
      </c>
    </row>
    <row r="902" spans="1:13" x14ac:dyDescent="0.25">
      <c r="A902">
        <v>901</v>
      </c>
      <c r="B902">
        <v>8.9</v>
      </c>
      <c r="C902">
        <v>0.8</v>
      </c>
      <c r="D902">
        <v>9.1</v>
      </c>
      <c r="E902">
        <v>3.4</v>
      </c>
      <c r="F902">
        <v>1.8</v>
      </c>
      <c r="G902">
        <v>3.1</v>
      </c>
      <c r="H902" t="s">
        <v>10</v>
      </c>
      <c r="I902">
        <v>14.900000000000002</v>
      </c>
      <c r="J902" t="s">
        <v>15</v>
      </c>
      <c r="K902">
        <v>3.61</v>
      </c>
      <c r="L902" t="s">
        <v>52</v>
      </c>
      <c r="M902" s="8">
        <v>0.6</v>
      </c>
    </row>
    <row r="903" spans="1:13" x14ac:dyDescent="0.25">
      <c r="A903">
        <v>902</v>
      </c>
      <c r="B903">
        <v>6.3</v>
      </c>
      <c r="C903">
        <v>3</v>
      </c>
      <c r="D903">
        <v>7.6</v>
      </c>
      <c r="E903">
        <v>1.9</v>
      </c>
      <c r="F903">
        <v>5.2</v>
      </c>
      <c r="G903">
        <v>2.48</v>
      </c>
      <c r="H903" t="s">
        <v>8</v>
      </c>
      <c r="I903">
        <v>16.400000000000002</v>
      </c>
      <c r="J903" t="s">
        <v>16</v>
      </c>
      <c r="K903">
        <v>2.0099999999999998</v>
      </c>
      <c r="L903" t="s">
        <v>52</v>
      </c>
      <c r="M903" s="8">
        <v>0.38</v>
      </c>
    </row>
    <row r="904" spans="1:13" x14ac:dyDescent="0.25">
      <c r="A904">
        <v>903</v>
      </c>
      <c r="B904">
        <v>8</v>
      </c>
      <c r="C904">
        <v>4</v>
      </c>
      <c r="D904">
        <v>7.2</v>
      </c>
      <c r="E904">
        <v>4.4000000000000004</v>
      </c>
      <c r="F904">
        <v>0.4</v>
      </c>
      <c r="G904">
        <v>3.11</v>
      </c>
      <c r="H904" t="s">
        <v>8</v>
      </c>
      <c r="I904">
        <v>16.799999999999997</v>
      </c>
      <c r="J904" t="s">
        <v>15</v>
      </c>
      <c r="K904">
        <v>3.11</v>
      </c>
      <c r="L904" t="s">
        <v>52</v>
      </c>
      <c r="M904" s="8">
        <v>0.48</v>
      </c>
    </row>
    <row r="905" spans="1:13" x14ac:dyDescent="0.25">
      <c r="A905">
        <v>904</v>
      </c>
      <c r="B905">
        <v>6</v>
      </c>
      <c r="C905">
        <v>1.7</v>
      </c>
      <c r="D905">
        <v>6.1</v>
      </c>
      <c r="E905">
        <v>0</v>
      </c>
      <c r="F905">
        <v>10.199999999999999</v>
      </c>
      <c r="G905">
        <v>2.87</v>
      </c>
      <c r="H905" t="s">
        <v>8</v>
      </c>
      <c r="I905">
        <v>17.899999999999999</v>
      </c>
      <c r="J905" t="s">
        <v>13</v>
      </c>
      <c r="K905">
        <v>4.58</v>
      </c>
      <c r="L905" t="s">
        <v>52</v>
      </c>
      <c r="M905" s="8">
        <v>0.34</v>
      </c>
    </row>
    <row r="906" spans="1:13" x14ac:dyDescent="0.25">
      <c r="A906">
        <v>905</v>
      </c>
      <c r="B906">
        <v>9.6</v>
      </c>
      <c r="C906">
        <v>3.4</v>
      </c>
      <c r="D906">
        <v>8.6999999999999993</v>
      </c>
      <c r="E906">
        <v>0.4</v>
      </c>
      <c r="F906">
        <v>1.9</v>
      </c>
      <c r="G906">
        <v>3.5</v>
      </c>
      <c r="H906" t="s">
        <v>10</v>
      </c>
      <c r="I906">
        <v>15.3</v>
      </c>
      <c r="J906" t="s">
        <v>14</v>
      </c>
      <c r="K906">
        <v>4.04</v>
      </c>
      <c r="L906" t="s">
        <v>52</v>
      </c>
      <c r="M906" s="8">
        <v>0.63</v>
      </c>
    </row>
    <row r="907" spans="1:13" x14ac:dyDescent="0.25">
      <c r="A907">
        <v>906</v>
      </c>
      <c r="B907">
        <v>7.2</v>
      </c>
      <c r="C907">
        <v>0.5</v>
      </c>
      <c r="D907">
        <v>7.6</v>
      </c>
      <c r="E907">
        <v>2.1</v>
      </c>
      <c r="F907">
        <v>6.6</v>
      </c>
      <c r="G907">
        <v>3.11</v>
      </c>
      <c r="H907" t="s">
        <v>8</v>
      </c>
      <c r="I907">
        <v>16.399999999999999</v>
      </c>
      <c r="J907" t="s">
        <v>15</v>
      </c>
      <c r="K907">
        <v>3.31</v>
      </c>
      <c r="L907" t="s">
        <v>52</v>
      </c>
      <c r="M907" s="8">
        <v>0.44</v>
      </c>
    </row>
    <row r="908" spans="1:13" x14ac:dyDescent="0.25">
      <c r="A908">
        <v>907</v>
      </c>
      <c r="B908">
        <v>6.9</v>
      </c>
      <c r="C908">
        <v>2.5</v>
      </c>
      <c r="D908">
        <v>8.6</v>
      </c>
      <c r="E908">
        <v>0.7</v>
      </c>
      <c r="F908">
        <v>5.3</v>
      </c>
      <c r="G908">
        <v>3.29</v>
      </c>
      <c r="H908" t="s">
        <v>8</v>
      </c>
      <c r="I908">
        <v>15.399999999999999</v>
      </c>
      <c r="J908" t="s">
        <v>15</v>
      </c>
      <c r="K908">
        <v>2.78</v>
      </c>
      <c r="L908" t="s">
        <v>52</v>
      </c>
      <c r="M908" s="8">
        <v>0.45</v>
      </c>
    </row>
    <row r="909" spans="1:13" x14ac:dyDescent="0.25">
      <c r="A909">
        <v>908</v>
      </c>
      <c r="B909">
        <v>6.7</v>
      </c>
      <c r="C909">
        <v>1.8</v>
      </c>
      <c r="D909">
        <v>8.4</v>
      </c>
      <c r="E909">
        <v>3.1</v>
      </c>
      <c r="F909">
        <v>4</v>
      </c>
      <c r="G909">
        <v>2.92</v>
      </c>
      <c r="H909" t="s">
        <v>8</v>
      </c>
      <c r="I909">
        <v>15.6</v>
      </c>
      <c r="J909" t="s">
        <v>13</v>
      </c>
      <c r="K909">
        <v>2.0699999999999998</v>
      </c>
      <c r="L909" t="s">
        <v>52</v>
      </c>
      <c r="M909" s="8">
        <v>0.43</v>
      </c>
    </row>
    <row r="910" spans="1:13" x14ac:dyDescent="0.25">
      <c r="A910">
        <v>909</v>
      </c>
      <c r="B910">
        <v>9.3000000000000007</v>
      </c>
      <c r="C910">
        <v>3.5</v>
      </c>
      <c r="D910">
        <v>5</v>
      </c>
      <c r="E910">
        <v>4.7</v>
      </c>
      <c r="F910">
        <v>1.5</v>
      </c>
      <c r="G910">
        <v>3.45</v>
      </c>
      <c r="H910" t="s">
        <v>10</v>
      </c>
      <c r="I910">
        <v>19</v>
      </c>
      <c r="J910" t="s">
        <v>15</v>
      </c>
      <c r="K910">
        <v>3.31</v>
      </c>
      <c r="L910" t="s">
        <v>52</v>
      </c>
      <c r="M910" s="8">
        <v>0.49</v>
      </c>
    </row>
    <row r="911" spans="1:13" x14ac:dyDescent="0.25">
      <c r="A911">
        <v>910</v>
      </c>
      <c r="B911">
        <v>7.4</v>
      </c>
      <c r="C911">
        <v>3.9</v>
      </c>
      <c r="D911">
        <v>8.8000000000000007</v>
      </c>
      <c r="E911">
        <v>1</v>
      </c>
      <c r="F911">
        <v>2.9</v>
      </c>
      <c r="G911">
        <v>3.11</v>
      </c>
      <c r="H911" t="s">
        <v>8</v>
      </c>
      <c r="I911">
        <v>15.200000000000001</v>
      </c>
      <c r="J911" t="s">
        <v>15</v>
      </c>
      <c r="K911">
        <v>2.68</v>
      </c>
      <c r="L911" t="s">
        <v>52</v>
      </c>
      <c r="M911" s="8">
        <v>0.49</v>
      </c>
    </row>
    <row r="912" spans="1:13" x14ac:dyDescent="0.25">
      <c r="A912">
        <v>911</v>
      </c>
      <c r="B912">
        <v>7.7</v>
      </c>
      <c r="C912">
        <v>4</v>
      </c>
      <c r="D912">
        <v>9.3000000000000007</v>
      </c>
      <c r="E912">
        <v>0.3</v>
      </c>
      <c r="F912">
        <v>2.7</v>
      </c>
      <c r="G912">
        <v>2.96</v>
      </c>
      <c r="H912" t="s">
        <v>8</v>
      </c>
      <c r="I912">
        <v>14.7</v>
      </c>
      <c r="J912" t="s">
        <v>13</v>
      </c>
      <c r="K912">
        <v>3.09</v>
      </c>
      <c r="L912" t="s">
        <v>52</v>
      </c>
      <c r="M912" s="8">
        <v>0.52</v>
      </c>
    </row>
    <row r="913" spans="1:13" x14ac:dyDescent="0.25">
      <c r="A913">
        <v>912</v>
      </c>
      <c r="B913">
        <v>5</v>
      </c>
      <c r="C913">
        <v>1.6</v>
      </c>
      <c r="D913">
        <v>6.2</v>
      </c>
      <c r="E913">
        <v>4.9000000000000004</v>
      </c>
      <c r="F913">
        <v>6.3</v>
      </c>
      <c r="G913">
        <v>3.01</v>
      </c>
      <c r="H913" t="s">
        <v>9</v>
      </c>
      <c r="I913">
        <v>17.8</v>
      </c>
      <c r="J913" t="s">
        <v>15</v>
      </c>
      <c r="K913">
        <v>2</v>
      </c>
      <c r="L913" t="s">
        <v>52</v>
      </c>
      <c r="M913" s="8">
        <v>0.28000000000000003</v>
      </c>
    </row>
    <row r="914" spans="1:13" x14ac:dyDescent="0.25">
      <c r="A914">
        <v>913</v>
      </c>
      <c r="B914">
        <v>6.7</v>
      </c>
      <c r="C914">
        <v>3.3</v>
      </c>
      <c r="D914">
        <v>5</v>
      </c>
      <c r="E914">
        <v>1.8</v>
      </c>
      <c r="F914">
        <v>7.2</v>
      </c>
      <c r="G914">
        <v>2.85</v>
      </c>
      <c r="H914" t="s">
        <v>10</v>
      </c>
      <c r="I914">
        <v>19</v>
      </c>
      <c r="J914" t="s">
        <v>13</v>
      </c>
      <c r="K914">
        <v>2.62</v>
      </c>
      <c r="L914" t="s">
        <v>52</v>
      </c>
      <c r="M914" s="8">
        <v>0.35</v>
      </c>
    </row>
    <row r="915" spans="1:13" x14ac:dyDescent="0.25">
      <c r="A915">
        <v>914</v>
      </c>
      <c r="B915">
        <v>5.3</v>
      </c>
      <c r="C915">
        <v>0.7</v>
      </c>
      <c r="D915">
        <v>7.8</v>
      </c>
      <c r="E915">
        <v>1.7</v>
      </c>
      <c r="F915">
        <v>8.5</v>
      </c>
      <c r="G915">
        <v>2.64</v>
      </c>
      <c r="H915" t="s">
        <v>9</v>
      </c>
      <c r="I915">
        <v>16.2</v>
      </c>
      <c r="J915" t="s">
        <v>13</v>
      </c>
      <c r="K915">
        <v>3.56</v>
      </c>
      <c r="L915" t="s">
        <v>52</v>
      </c>
      <c r="M915" s="8">
        <v>0.33</v>
      </c>
    </row>
    <row r="916" spans="1:13" x14ac:dyDescent="0.25">
      <c r="A916">
        <v>915</v>
      </c>
      <c r="B916">
        <v>7.1</v>
      </c>
      <c r="C916">
        <v>1.5</v>
      </c>
      <c r="D916">
        <v>9.4</v>
      </c>
      <c r="E916">
        <v>5.4</v>
      </c>
      <c r="F916">
        <v>0.6</v>
      </c>
      <c r="G916">
        <v>2.65</v>
      </c>
      <c r="H916" t="s">
        <v>8</v>
      </c>
      <c r="I916">
        <v>14.6</v>
      </c>
      <c r="J916" t="s">
        <v>13</v>
      </c>
      <c r="K916">
        <v>3.1</v>
      </c>
      <c r="L916" t="s">
        <v>52</v>
      </c>
      <c r="M916" s="8">
        <v>0.49</v>
      </c>
    </row>
    <row r="917" spans="1:13" x14ac:dyDescent="0.25">
      <c r="A917">
        <v>916</v>
      </c>
      <c r="B917">
        <v>5.5</v>
      </c>
      <c r="C917">
        <v>3.8</v>
      </c>
      <c r="D917">
        <v>5.3</v>
      </c>
      <c r="E917">
        <v>1.8</v>
      </c>
      <c r="F917">
        <v>7.6</v>
      </c>
      <c r="G917">
        <v>2.81</v>
      </c>
      <c r="H917" t="s">
        <v>10</v>
      </c>
      <c r="I917">
        <v>18.700000000000003</v>
      </c>
      <c r="J917" t="s">
        <v>13</v>
      </c>
      <c r="K917">
        <v>2.4700000000000002</v>
      </c>
      <c r="L917" t="s">
        <v>52</v>
      </c>
      <c r="M917" s="8">
        <v>0.28999999999999998</v>
      </c>
    </row>
    <row r="918" spans="1:13" x14ac:dyDescent="0.25">
      <c r="A918">
        <v>917</v>
      </c>
      <c r="B918">
        <v>6.5</v>
      </c>
      <c r="C918">
        <v>1.3</v>
      </c>
      <c r="D918">
        <v>5.8</v>
      </c>
      <c r="E918">
        <v>4.7</v>
      </c>
      <c r="F918">
        <v>5.7</v>
      </c>
      <c r="G918">
        <v>3.04</v>
      </c>
      <c r="H918" t="s">
        <v>10</v>
      </c>
      <c r="I918">
        <v>18.2</v>
      </c>
      <c r="J918" t="s">
        <v>15</v>
      </c>
      <c r="K918">
        <v>2.29</v>
      </c>
      <c r="L918" t="s">
        <v>52</v>
      </c>
      <c r="M918" s="8">
        <v>0.36</v>
      </c>
    </row>
    <row r="919" spans="1:13" x14ac:dyDescent="0.25">
      <c r="A919">
        <v>918</v>
      </c>
      <c r="B919">
        <v>5.6</v>
      </c>
      <c r="C919">
        <v>0.3</v>
      </c>
      <c r="D919">
        <v>9.5</v>
      </c>
      <c r="E919">
        <v>1.1000000000000001</v>
      </c>
      <c r="F919">
        <v>7.5</v>
      </c>
      <c r="G919">
        <v>2.66</v>
      </c>
      <c r="H919" t="s">
        <v>9</v>
      </c>
      <c r="I919">
        <v>14.5</v>
      </c>
      <c r="J919" t="s">
        <v>13</v>
      </c>
      <c r="K919">
        <v>3.48</v>
      </c>
      <c r="L919" t="s">
        <v>52</v>
      </c>
      <c r="M919" s="8">
        <v>0.39</v>
      </c>
    </row>
    <row r="920" spans="1:13" x14ac:dyDescent="0.25">
      <c r="A920">
        <v>919</v>
      </c>
      <c r="B920">
        <v>9.1</v>
      </c>
      <c r="C920">
        <v>2.2000000000000002</v>
      </c>
      <c r="D920">
        <v>5.4</v>
      </c>
      <c r="E920">
        <v>5.7</v>
      </c>
      <c r="F920">
        <v>1.6</v>
      </c>
      <c r="G920">
        <v>3.48</v>
      </c>
      <c r="H920" t="s">
        <v>10</v>
      </c>
      <c r="I920">
        <v>18.600000000000001</v>
      </c>
      <c r="J920" t="s">
        <v>15</v>
      </c>
      <c r="K920">
        <v>3.47</v>
      </c>
      <c r="L920" t="s">
        <v>52</v>
      </c>
      <c r="M920" s="8">
        <v>0.49</v>
      </c>
    </row>
    <row r="921" spans="1:13" x14ac:dyDescent="0.25">
      <c r="A921">
        <v>920</v>
      </c>
      <c r="B921">
        <v>5.8</v>
      </c>
      <c r="C921">
        <v>3.4</v>
      </c>
      <c r="D921">
        <v>5.0999999999999996</v>
      </c>
      <c r="E921">
        <v>3.1</v>
      </c>
      <c r="F921">
        <v>6.6</v>
      </c>
      <c r="G921">
        <v>2.79</v>
      </c>
      <c r="H921" t="s">
        <v>10</v>
      </c>
      <c r="I921">
        <v>18.899999999999999</v>
      </c>
      <c r="J921" t="s">
        <v>13</v>
      </c>
      <c r="K921">
        <v>1.74</v>
      </c>
      <c r="L921" t="s">
        <v>52</v>
      </c>
      <c r="M921" s="8">
        <v>0.31</v>
      </c>
    </row>
    <row r="922" spans="1:13" x14ac:dyDescent="0.25">
      <c r="A922">
        <v>921</v>
      </c>
      <c r="B922">
        <v>8.8000000000000007</v>
      </c>
      <c r="C922">
        <v>3.7</v>
      </c>
      <c r="D922">
        <v>9.5</v>
      </c>
      <c r="E922">
        <v>1.6</v>
      </c>
      <c r="F922">
        <v>0.4</v>
      </c>
      <c r="G922">
        <v>3.29</v>
      </c>
      <c r="H922" t="s">
        <v>10</v>
      </c>
      <c r="I922">
        <v>14.5</v>
      </c>
      <c r="J922" t="s">
        <v>15</v>
      </c>
      <c r="K922">
        <v>3.71</v>
      </c>
      <c r="L922" t="s">
        <v>52</v>
      </c>
      <c r="M922" s="8">
        <v>0.61</v>
      </c>
    </row>
    <row r="923" spans="1:13" x14ac:dyDescent="0.25">
      <c r="A923">
        <v>922</v>
      </c>
      <c r="B923">
        <v>6.4</v>
      </c>
      <c r="C923">
        <v>1.2</v>
      </c>
      <c r="D923">
        <v>6.9</v>
      </c>
      <c r="E923">
        <v>2.4</v>
      </c>
      <c r="F923">
        <v>7.1</v>
      </c>
      <c r="G923">
        <v>3</v>
      </c>
      <c r="H923" t="s">
        <v>8</v>
      </c>
      <c r="I923">
        <v>17.100000000000001</v>
      </c>
      <c r="J923" t="s">
        <v>15</v>
      </c>
      <c r="K923">
        <v>2.91</v>
      </c>
      <c r="L923" t="s">
        <v>52</v>
      </c>
      <c r="M923" s="8">
        <v>0.37</v>
      </c>
    </row>
    <row r="924" spans="1:13" x14ac:dyDescent="0.25">
      <c r="A924">
        <v>923</v>
      </c>
      <c r="B924">
        <v>7.7</v>
      </c>
      <c r="C924">
        <v>0.6</v>
      </c>
      <c r="D924">
        <v>8.5</v>
      </c>
      <c r="E924">
        <v>1</v>
      </c>
      <c r="F924">
        <v>6.2</v>
      </c>
      <c r="G924">
        <v>3.16</v>
      </c>
      <c r="H924" t="s">
        <v>8</v>
      </c>
      <c r="I924">
        <v>15.5</v>
      </c>
      <c r="J924" t="s">
        <v>15</v>
      </c>
      <c r="K924">
        <v>3.61</v>
      </c>
      <c r="L924" t="s">
        <v>52</v>
      </c>
      <c r="M924" s="8">
        <v>0.5</v>
      </c>
    </row>
    <row r="925" spans="1:13" x14ac:dyDescent="0.25">
      <c r="A925">
        <v>924</v>
      </c>
      <c r="B925">
        <v>9</v>
      </c>
      <c r="C925">
        <v>3</v>
      </c>
      <c r="D925">
        <v>8.1999999999999993</v>
      </c>
      <c r="E925">
        <v>0.6</v>
      </c>
      <c r="F925">
        <v>3.2</v>
      </c>
      <c r="G925">
        <v>2.96</v>
      </c>
      <c r="H925" t="s">
        <v>10</v>
      </c>
      <c r="I925">
        <v>15.8</v>
      </c>
      <c r="J925" t="s">
        <v>13</v>
      </c>
      <c r="K925">
        <v>3.57</v>
      </c>
      <c r="L925" t="s">
        <v>52</v>
      </c>
      <c r="M925" s="8">
        <v>0.56999999999999995</v>
      </c>
    </row>
    <row r="926" spans="1:13" x14ac:dyDescent="0.25">
      <c r="A926">
        <v>925</v>
      </c>
      <c r="B926">
        <v>7.7</v>
      </c>
      <c r="C926">
        <v>0.3</v>
      </c>
      <c r="D926">
        <v>6.9</v>
      </c>
      <c r="E926">
        <v>2.5</v>
      </c>
      <c r="F926">
        <v>6.6</v>
      </c>
      <c r="G926">
        <v>3.08</v>
      </c>
      <c r="H926" t="s">
        <v>8</v>
      </c>
      <c r="I926">
        <v>17.100000000000001</v>
      </c>
      <c r="J926" t="s">
        <v>15</v>
      </c>
      <c r="K926">
        <v>3.47</v>
      </c>
      <c r="L926" t="s">
        <v>52</v>
      </c>
      <c r="M926" s="8">
        <v>0.45</v>
      </c>
    </row>
    <row r="927" spans="1:13" x14ac:dyDescent="0.25">
      <c r="A927">
        <v>926</v>
      </c>
      <c r="B927">
        <v>5.9</v>
      </c>
      <c r="C927">
        <v>1.6</v>
      </c>
      <c r="D927">
        <v>9.6999999999999993</v>
      </c>
      <c r="E927">
        <v>0.8</v>
      </c>
      <c r="F927">
        <v>6</v>
      </c>
      <c r="G927">
        <v>2.86</v>
      </c>
      <c r="H927" t="s">
        <v>9</v>
      </c>
      <c r="I927">
        <v>14.3</v>
      </c>
      <c r="J927" t="s">
        <v>13</v>
      </c>
      <c r="K927">
        <v>2.76</v>
      </c>
      <c r="L927" t="s">
        <v>52</v>
      </c>
      <c r="M927" s="8">
        <v>0.41</v>
      </c>
    </row>
    <row r="928" spans="1:13" x14ac:dyDescent="0.25">
      <c r="A928">
        <v>927</v>
      </c>
      <c r="B928">
        <v>8.8000000000000007</v>
      </c>
      <c r="C928">
        <v>0.4</v>
      </c>
      <c r="D928">
        <v>9.9</v>
      </c>
      <c r="E928">
        <v>1.9</v>
      </c>
      <c r="F928">
        <v>3</v>
      </c>
      <c r="G928">
        <v>3.19</v>
      </c>
      <c r="H928" t="s">
        <v>10</v>
      </c>
      <c r="I928">
        <v>14.100000000000001</v>
      </c>
      <c r="J928" t="s">
        <v>15</v>
      </c>
      <c r="K928">
        <v>3.67</v>
      </c>
      <c r="L928" t="s">
        <v>52</v>
      </c>
      <c r="M928" s="8">
        <v>0.62</v>
      </c>
    </row>
    <row r="929" spans="1:13" x14ac:dyDescent="0.25">
      <c r="A929">
        <v>928</v>
      </c>
      <c r="B929">
        <v>8.1</v>
      </c>
      <c r="C929">
        <v>0.8</v>
      </c>
      <c r="D929">
        <v>5.7</v>
      </c>
      <c r="E929">
        <v>5.6</v>
      </c>
      <c r="F929">
        <v>3.8</v>
      </c>
      <c r="G929">
        <v>3.45</v>
      </c>
      <c r="H929" t="s">
        <v>10</v>
      </c>
      <c r="I929">
        <v>18.3</v>
      </c>
      <c r="J929" t="s">
        <v>15</v>
      </c>
      <c r="K929">
        <v>3.07</v>
      </c>
      <c r="L929" t="s">
        <v>52</v>
      </c>
      <c r="M929" s="8">
        <v>0.44</v>
      </c>
    </row>
    <row r="930" spans="1:13" x14ac:dyDescent="0.25">
      <c r="A930">
        <v>929</v>
      </c>
      <c r="B930">
        <v>9.6</v>
      </c>
      <c r="C930">
        <v>3.5</v>
      </c>
      <c r="D930">
        <v>8.1</v>
      </c>
      <c r="E930">
        <v>2.2999999999999998</v>
      </c>
      <c r="F930">
        <v>0.5</v>
      </c>
      <c r="G930">
        <v>3.4</v>
      </c>
      <c r="H930" t="s">
        <v>10</v>
      </c>
      <c r="I930">
        <v>15.899999999999999</v>
      </c>
      <c r="J930" t="s">
        <v>15</v>
      </c>
      <c r="K930">
        <v>3.95</v>
      </c>
      <c r="L930" t="s">
        <v>52</v>
      </c>
      <c r="M930" s="8">
        <v>0.6</v>
      </c>
    </row>
    <row r="931" spans="1:13" x14ac:dyDescent="0.25">
      <c r="A931">
        <v>930</v>
      </c>
      <c r="B931">
        <v>6.6</v>
      </c>
      <c r="C931">
        <v>2.5</v>
      </c>
      <c r="D931">
        <v>6.8</v>
      </c>
      <c r="E931">
        <v>0.9</v>
      </c>
      <c r="F931">
        <v>7.2</v>
      </c>
      <c r="G931">
        <v>2.88</v>
      </c>
      <c r="H931" t="s">
        <v>8</v>
      </c>
      <c r="I931">
        <v>17.2</v>
      </c>
      <c r="J931" t="s">
        <v>13</v>
      </c>
      <c r="K931">
        <v>3.08</v>
      </c>
      <c r="L931" t="s">
        <v>52</v>
      </c>
      <c r="M931" s="8">
        <v>0.38</v>
      </c>
    </row>
    <row r="932" spans="1:13" x14ac:dyDescent="0.25">
      <c r="A932">
        <v>931</v>
      </c>
      <c r="B932">
        <v>8</v>
      </c>
      <c r="C932">
        <v>3.3</v>
      </c>
      <c r="D932">
        <v>6.9</v>
      </c>
      <c r="E932">
        <v>0.8</v>
      </c>
      <c r="F932">
        <v>5</v>
      </c>
      <c r="G932">
        <v>3.08</v>
      </c>
      <c r="H932" t="s">
        <v>8</v>
      </c>
      <c r="I932">
        <v>17.100000000000001</v>
      </c>
      <c r="J932" t="s">
        <v>15</v>
      </c>
      <c r="K932">
        <v>3.02</v>
      </c>
      <c r="L932" t="s">
        <v>52</v>
      </c>
      <c r="M932" s="8">
        <v>0.47</v>
      </c>
    </row>
    <row r="933" spans="1:13" x14ac:dyDescent="0.25">
      <c r="A933">
        <v>932</v>
      </c>
      <c r="B933">
        <v>6.5</v>
      </c>
      <c r="C933">
        <v>2.6</v>
      </c>
      <c r="D933">
        <v>8</v>
      </c>
      <c r="E933">
        <v>4.2</v>
      </c>
      <c r="F933">
        <v>2.7</v>
      </c>
      <c r="G933">
        <v>2.83</v>
      </c>
      <c r="H933" t="s">
        <v>8</v>
      </c>
      <c r="I933">
        <v>16</v>
      </c>
      <c r="J933" t="s">
        <v>13</v>
      </c>
      <c r="K933">
        <v>1.82</v>
      </c>
      <c r="L933" t="s">
        <v>52</v>
      </c>
      <c r="M933" s="8">
        <v>0.41</v>
      </c>
    </row>
    <row r="934" spans="1:13" x14ac:dyDescent="0.25">
      <c r="A934">
        <v>933</v>
      </c>
      <c r="B934">
        <v>6.8</v>
      </c>
      <c r="C934">
        <v>3.3</v>
      </c>
      <c r="D934">
        <v>6</v>
      </c>
      <c r="E934">
        <v>2.8</v>
      </c>
      <c r="F934">
        <v>5.0999999999999996</v>
      </c>
      <c r="G934">
        <v>2.92</v>
      </c>
      <c r="H934" t="s">
        <v>8</v>
      </c>
      <c r="I934">
        <v>18</v>
      </c>
      <c r="J934" t="s">
        <v>13</v>
      </c>
      <c r="K934">
        <v>1.82</v>
      </c>
      <c r="L934" t="s">
        <v>52</v>
      </c>
      <c r="M934" s="8">
        <v>0.38</v>
      </c>
    </row>
    <row r="935" spans="1:13" x14ac:dyDescent="0.25">
      <c r="A935">
        <v>934</v>
      </c>
      <c r="B935">
        <v>5.5</v>
      </c>
      <c r="C935">
        <v>3.5</v>
      </c>
      <c r="D935">
        <v>6.7</v>
      </c>
      <c r="E935">
        <v>4.0999999999999996</v>
      </c>
      <c r="F935">
        <v>4.2</v>
      </c>
      <c r="G935">
        <v>2.92</v>
      </c>
      <c r="H935" t="s">
        <v>9</v>
      </c>
      <c r="I935">
        <v>17.3</v>
      </c>
      <c r="J935" t="s">
        <v>13</v>
      </c>
      <c r="K935">
        <v>0.84</v>
      </c>
      <c r="L935" t="s">
        <v>51</v>
      </c>
      <c r="M935" s="8">
        <v>0.32</v>
      </c>
    </row>
    <row r="936" spans="1:13" x14ac:dyDescent="0.25">
      <c r="A936">
        <v>935</v>
      </c>
      <c r="B936">
        <v>5.0999999999999996</v>
      </c>
      <c r="C936">
        <v>2.8</v>
      </c>
      <c r="D936">
        <v>6.6</v>
      </c>
      <c r="E936">
        <v>0.3</v>
      </c>
      <c r="F936">
        <v>9.1999999999999993</v>
      </c>
      <c r="G936">
        <v>2.4900000000000002</v>
      </c>
      <c r="H936" t="s">
        <v>9</v>
      </c>
      <c r="I936">
        <v>17.399999999999999</v>
      </c>
      <c r="J936" t="s">
        <v>16</v>
      </c>
      <c r="K936">
        <v>3.78</v>
      </c>
      <c r="L936" t="s">
        <v>52</v>
      </c>
      <c r="M936" s="8">
        <v>0.28999999999999998</v>
      </c>
    </row>
    <row r="937" spans="1:13" x14ac:dyDescent="0.25">
      <c r="A937">
        <v>936</v>
      </c>
      <c r="B937">
        <v>6.9</v>
      </c>
      <c r="C937">
        <v>0.3</v>
      </c>
      <c r="D937">
        <v>5.7</v>
      </c>
      <c r="E937">
        <v>1.8</v>
      </c>
      <c r="F937">
        <v>9.3000000000000007</v>
      </c>
      <c r="G937">
        <v>3.15</v>
      </c>
      <c r="H937" t="s">
        <v>10</v>
      </c>
      <c r="I937">
        <v>18.3</v>
      </c>
      <c r="J937" t="s">
        <v>15</v>
      </c>
      <c r="K937">
        <v>4.2300000000000004</v>
      </c>
      <c r="L937" t="s">
        <v>52</v>
      </c>
      <c r="M937" s="8">
        <v>0.38</v>
      </c>
    </row>
    <row r="938" spans="1:13" x14ac:dyDescent="0.25">
      <c r="A938">
        <v>937</v>
      </c>
      <c r="B938">
        <v>5.4</v>
      </c>
      <c r="C938">
        <v>3.6</v>
      </c>
      <c r="D938">
        <v>5</v>
      </c>
      <c r="E938">
        <v>2.9</v>
      </c>
      <c r="F938">
        <v>7.1</v>
      </c>
      <c r="G938">
        <v>2.74</v>
      </c>
      <c r="H938" t="s">
        <v>10</v>
      </c>
      <c r="I938">
        <v>19</v>
      </c>
      <c r="J938" t="s">
        <v>13</v>
      </c>
      <c r="K938">
        <v>1.89</v>
      </c>
      <c r="L938" t="s">
        <v>52</v>
      </c>
      <c r="M938" s="8">
        <v>0.28000000000000003</v>
      </c>
    </row>
    <row r="939" spans="1:13" x14ac:dyDescent="0.25">
      <c r="A939">
        <v>938</v>
      </c>
      <c r="B939">
        <v>9.6</v>
      </c>
      <c r="C939">
        <v>0.6</v>
      </c>
      <c r="D939">
        <v>9.8000000000000007</v>
      </c>
      <c r="E939">
        <v>0.8</v>
      </c>
      <c r="F939">
        <v>3.2</v>
      </c>
      <c r="G939">
        <v>3.29</v>
      </c>
      <c r="H939" t="s">
        <v>10</v>
      </c>
      <c r="I939">
        <v>14.2</v>
      </c>
      <c r="J939" t="s">
        <v>15</v>
      </c>
      <c r="K939">
        <v>4.2</v>
      </c>
      <c r="L939" t="s">
        <v>52</v>
      </c>
      <c r="M939" s="8">
        <v>0.68</v>
      </c>
    </row>
    <row r="940" spans="1:13" x14ac:dyDescent="0.25">
      <c r="A940">
        <v>939</v>
      </c>
      <c r="B940">
        <v>8.6999999999999993</v>
      </c>
      <c r="C940">
        <v>2.2000000000000002</v>
      </c>
      <c r="D940">
        <v>9.4</v>
      </c>
      <c r="E940">
        <v>2</v>
      </c>
      <c r="F940">
        <v>1.7</v>
      </c>
      <c r="G940">
        <v>3.03</v>
      </c>
      <c r="H940" t="s">
        <v>10</v>
      </c>
      <c r="I940">
        <v>14.599999999999998</v>
      </c>
      <c r="J940" t="s">
        <v>15</v>
      </c>
      <c r="K940">
        <v>3.37</v>
      </c>
      <c r="L940" t="s">
        <v>52</v>
      </c>
      <c r="M940" s="8">
        <v>0.6</v>
      </c>
    </row>
    <row r="941" spans="1:13" x14ac:dyDescent="0.25">
      <c r="A941">
        <v>940</v>
      </c>
      <c r="B941">
        <v>5.8</v>
      </c>
      <c r="C941">
        <v>3.7</v>
      </c>
      <c r="D941">
        <v>6.6</v>
      </c>
      <c r="E941">
        <v>2.2000000000000002</v>
      </c>
      <c r="F941">
        <v>5.7</v>
      </c>
      <c r="G941">
        <v>2.9</v>
      </c>
      <c r="H941" t="s">
        <v>9</v>
      </c>
      <c r="I941">
        <v>17.399999999999999</v>
      </c>
      <c r="J941" t="s">
        <v>13</v>
      </c>
      <c r="K941">
        <v>1.73</v>
      </c>
      <c r="L941" t="s">
        <v>52</v>
      </c>
      <c r="M941" s="8">
        <v>0.33</v>
      </c>
    </row>
    <row r="942" spans="1:13" x14ac:dyDescent="0.25">
      <c r="A942">
        <v>941</v>
      </c>
      <c r="B942">
        <v>8.8000000000000007</v>
      </c>
      <c r="C942">
        <v>1.4</v>
      </c>
      <c r="D942">
        <v>9.8000000000000007</v>
      </c>
      <c r="E942">
        <v>3</v>
      </c>
      <c r="F942">
        <v>1</v>
      </c>
      <c r="G942">
        <v>3.51</v>
      </c>
      <c r="H942" t="s">
        <v>10</v>
      </c>
      <c r="I942">
        <v>14.200000000000001</v>
      </c>
      <c r="J942" t="s">
        <v>14</v>
      </c>
      <c r="K942">
        <v>3.61</v>
      </c>
      <c r="L942" t="s">
        <v>52</v>
      </c>
      <c r="M942" s="8">
        <v>0.62</v>
      </c>
    </row>
    <row r="943" spans="1:13" x14ac:dyDescent="0.25">
      <c r="A943">
        <v>942</v>
      </c>
      <c r="B943">
        <v>5.2</v>
      </c>
      <c r="C943">
        <v>1</v>
      </c>
      <c r="D943">
        <v>7.3</v>
      </c>
      <c r="E943">
        <v>1.4</v>
      </c>
      <c r="F943">
        <v>9.1</v>
      </c>
      <c r="G943">
        <v>2.83</v>
      </c>
      <c r="H943" t="s">
        <v>9</v>
      </c>
      <c r="I943">
        <v>16.7</v>
      </c>
      <c r="J943" t="s">
        <v>13</v>
      </c>
      <c r="K943">
        <v>3.79</v>
      </c>
      <c r="L943" t="s">
        <v>52</v>
      </c>
      <c r="M943" s="8">
        <v>0.31</v>
      </c>
    </row>
    <row r="944" spans="1:13" x14ac:dyDescent="0.25">
      <c r="A944">
        <v>943</v>
      </c>
      <c r="B944">
        <v>8.6999999999999993</v>
      </c>
      <c r="C944">
        <v>3.7</v>
      </c>
      <c r="D944">
        <v>7.1</v>
      </c>
      <c r="E944">
        <v>1.5</v>
      </c>
      <c r="F944">
        <v>3</v>
      </c>
      <c r="G944">
        <v>3.29</v>
      </c>
      <c r="H944" t="s">
        <v>10</v>
      </c>
      <c r="I944">
        <v>16.899999999999999</v>
      </c>
      <c r="J944" t="s">
        <v>15</v>
      </c>
      <c r="K944">
        <v>3.12</v>
      </c>
      <c r="L944" t="s">
        <v>52</v>
      </c>
      <c r="M944" s="8">
        <v>0.51</v>
      </c>
    </row>
    <row r="945" spans="1:13" x14ac:dyDescent="0.25">
      <c r="A945">
        <v>944</v>
      </c>
      <c r="B945">
        <v>7.4</v>
      </c>
      <c r="C945">
        <v>1.4</v>
      </c>
      <c r="D945">
        <v>9.5</v>
      </c>
      <c r="E945">
        <v>3.2</v>
      </c>
      <c r="F945">
        <v>2.5</v>
      </c>
      <c r="G945">
        <v>3.22</v>
      </c>
      <c r="H945" t="s">
        <v>8</v>
      </c>
      <c r="I945">
        <v>14.5</v>
      </c>
      <c r="J945" t="s">
        <v>15</v>
      </c>
      <c r="K945">
        <v>2.62</v>
      </c>
      <c r="L945" t="s">
        <v>52</v>
      </c>
      <c r="M945" s="8">
        <v>0.51</v>
      </c>
    </row>
    <row r="946" spans="1:13" x14ac:dyDescent="0.25">
      <c r="A946">
        <v>945</v>
      </c>
      <c r="B946">
        <v>8.8000000000000007</v>
      </c>
      <c r="C946">
        <v>3.2</v>
      </c>
      <c r="D946">
        <v>6.7</v>
      </c>
      <c r="E946">
        <v>2.2999999999999998</v>
      </c>
      <c r="F946">
        <v>3</v>
      </c>
      <c r="G946">
        <v>3.24</v>
      </c>
      <c r="H946" t="s">
        <v>10</v>
      </c>
      <c r="I946">
        <v>17.3</v>
      </c>
      <c r="J946" t="s">
        <v>15</v>
      </c>
      <c r="K946">
        <v>3.01</v>
      </c>
      <c r="L946" t="s">
        <v>52</v>
      </c>
      <c r="M946" s="8">
        <v>0.51</v>
      </c>
    </row>
    <row r="947" spans="1:13" x14ac:dyDescent="0.25">
      <c r="A947">
        <v>946</v>
      </c>
      <c r="B947">
        <v>9</v>
      </c>
      <c r="C947">
        <v>3.8</v>
      </c>
      <c r="D947">
        <v>8.1</v>
      </c>
      <c r="E947">
        <v>2.2999999999999998</v>
      </c>
      <c r="F947">
        <v>0.8</v>
      </c>
      <c r="G947">
        <v>3.55</v>
      </c>
      <c r="H947" t="s">
        <v>10</v>
      </c>
      <c r="I947">
        <v>15.900000000000002</v>
      </c>
      <c r="J947" t="s">
        <v>14</v>
      </c>
      <c r="K947">
        <v>3.57</v>
      </c>
      <c r="L947" t="s">
        <v>52</v>
      </c>
      <c r="M947" s="8">
        <v>0.56999999999999995</v>
      </c>
    </row>
    <row r="948" spans="1:13" x14ac:dyDescent="0.25">
      <c r="A948">
        <v>947</v>
      </c>
      <c r="B948">
        <v>9</v>
      </c>
      <c r="C948">
        <v>3.4</v>
      </c>
      <c r="D948">
        <v>7</v>
      </c>
      <c r="E948">
        <v>0.2</v>
      </c>
      <c r="F948">
        <v>4.4000000000000004</v>
      </c>
      <c r="G948">
        <v>3.68</v>
      </c>
      <c r="H948" t="s">
        <v>10</v>
      </c>
      <c r="I948">
        <v>17</v>
      </c>
      <c r="J948" t="s">
        <v>14</v>
      </c>
      <c r="K948">
        <v>3.64</v>
      </c>
      <c r="L948" t="s">
        <v>52</v>
      </c>
      <c r="M948" s="8">
        <v>0.53</v>
      </c>
    </row>
    <row r="949" spans="1:13" x14ac:dyDescent="0.25">
      <c r="A949">
        <v>948</v>
      </c>
      <c r="B949">
        <v>7.3</v>
      </c>
      <c r="C949">
        <v>3</v>
      </c>
      <c r="D949">
        <v>6.8</v>
      </c>
      <c r="E949">
        <v>3.8</v>
      </c>
      <c r="F949">
        <v>3.1</v>
      </c>
      <c r="G949">
        <v>2.91</v>
      </c>
      <c r="H949" t="s">
        <v>8</v>
      </c>
      <c r="I949">
        <v>17.200000000000003</v>
      </c>
      <c r="J949" t="s">
        <v>13</v>
      </c>
      <c r="K949">
        <v>2.0299999999999998</v>
      </c>
      <c r="L949" t="s">
        <v>52</v>
      </c>
      <c r="M949" s="8">
        <v>0.42</v>
      </c>
    </row>
    <row r="950" spans="1:13" x14ac:dyDescent="0.25">
      <c r="A950">
        <v>949</v>
      </c>
      <c r="B950">
        <v>5.9</v>
      </c>
      <c r="C950">
        <v>3</v>
      </c>
      <c r="D950">
        <v>7.7</v>
      </c>
      <c r="E950">
        <v>1.2</v>
      </c>
      <c r="F950">
        <v>6.2</v>
      </c>
      <c r="G950">
        <v>3.09</v>
      </c>
      <c r="H950" t="s">
        <v>9</v>
      </c>
      <c r="I950">
        <v>16.3</v>
      </c>
      <c r="J950" t="s">
        <v>15</v>
      </c>
      <c r="K950">
        <v>2.4</v>
      </c>
      <c r="L950" t="s">
        <v>52</v>
      </c>
      <c r="M950" s="8">
        <v>0.36</v>
      </c>
    </row>
    <row r="951" spans="1:13" x14ac:dyDescent="0.25">
      <c r="A951">
        <v>950</v>
      </c>
      <c r="B951">
        <v>7.4</v>
      </c>
      <c r="C951">
        <v>0.9</v>
      </c>
      <c r="D951">
        <v>9.8000000000000007</v>
      </c>
      <c r="E951">
        <v>4.2</v>
      </c>
      <c r="F951">
        <v>1.7</v>
      </c>
      <c r="G951">
        <v>2.94</v>
      </c>
      <c r="H951" t="s">
        <v>8</v>
      </c>
      <c r="I951">
        <v>14.2</v>
      </c>
      <c r="J951" t="s">
        <v>13</v>
      </c>
      <c r="K951">
        <v>2.93</v>
      </c>
      <c r="L951" t="s">
        <v>52</v>
      </c>
      <c r="M951" s="8">
        <v>0.52</v>
      </c>
    </row>
    <row r="952" spans="1:13" x14ac:dyDescent="0.25">
      <c r="A952">
        <v>951</v>
      </c>
      <c r="B952">
        <v>9.8000000000000007</v>
      </c>
      <c r="C952">
        <v>1.7</v>
      </c>
      <c r="D952">
        <v>7.4</v>
      </c>
      <c r="E952">
        <v>4.5999999999999996</v>
      </c>
      <c r="F952">
        <v>0.5</v>
      </c>
      <c r="G952">
        <v>3.84</v>
      </c>
      <c r="H952" t="s">
        <v>10</v>
      </c>
      <c r="I952">
        <v>16.600000000000001</v>
      </c>
      <c r="J952" t="s">
        <v>14</v>
      </c>
      <c r="K952">
        <v>4.1399999999999997</v>
      </c>
      <c r="L952" t="s">
        <v>52</v>
      </c>
      <c r="M952" s="8">
        <v>0.59</v>
      </c>
    </row>
    <row r="953" spans="1:13" x14ac:dyDescent="0.25">
      <c r="A953">
        <v>952</v>
      </c>
      <c r="B953">
        <v>6.3</v>
      </c>
      <c r="C953">
        <v>1.8</v>
      </c>
      <c r="D953">
        <v>5.6</v>
      </c>
      <c r="E953">
        <v>1.2</v>
      </c>
      <c r="F953">
        <v>9.1</v>
      </c>
      <c r="G953">
        <v>2.99</v>
      </c>
      <c r="H953" t="s">
        <v>10</v>
      </c>
      <c r="I953">
        <v>18.399999999999999</v>
      </c>
      <c r="J953" t="s">
        <v>13</v>
      </c>
      <c r="K953">
        <v>3.77</v>
      </c>
      <c r="L953" t="s">
        <v>52</v>
      </c>
      <c r="M953" s="8">
        <v>0.34</v>
      </c>
    </row>
    <row r="954" spans="1:13" x14ac:dyDescent="0.25">
      <c r="A954">
        <v>953</v>
      </c>
      <c r="B954">
        <v>5</v>
      </c>
      <c r="C954">
        <v>0.2</v>
      </c>
      <c r="D954">
        <v>9.9</v>
      </c>
      <c r="E954">
        <v>1.5</v>
      </c>
      <c r="F954">
        <v>7.4</v>
      </c>
      <c r="G954">
        <v>2.94</v>
      </c>
      <c r="H954" t="s">
        <v>9</v>
      </c>
      <c r="I954">
        <v>14.100000000000001</v>
      </c>
      <c r="J954" t="s">
        <v>13</v>
      </c>
      <c r="K954">
        <v>3.28</v>
      </c>
      <c r="L954" t="s">
        <v>52</v>
      </c>
      <c r="M954" s="8">
        <v>0.35</v>
      </c>
    </row>
    <row r="955" spans="1:13" x14ac:dyDescent="0.25">
      <c r="A955">
        <v>954</v>
      </c>
      <c r="B955">
        <v>7.8</v>
      </c>
      <c r="C955">
        <v>0.6</v>
      </c>
      <c r="D955">
        <v>8.6</v>
      </c>
      <c r="E955">
        <v>3.6</v>
      </c>
      <c r="F955">
        <v>3.4</v>
      </c>
      <c r="G955">
        <v>3.26</v>
      </c>
      <c r="H955" t="s">
        <v>8</v>
      </c>
      <c r="I955">
        <v>15.4</v>
      </c>
      <c r="J955" t="s">
        <v>15</v>
      </c>
      <c r="K955">
        <v>2.97</v>
      </c>
      <c r="L955" t="s">
        <v>52</v>
      </c>
      <c r="M955" s="8">
        <v>0.51</v>
      </c>
    </row>
    <row r="956" spans="1:13" x14ac:dyDescent="0.25">
      <c r="A956">
        <v>955</v>
      </c>
      <c r="B956">
        <v>8.6999999999999993</v>
      </c>
      <c r="C956">
        <v>3.1</v>
      </c>
      <c r="D956">
        <v>9.9</v>
      </c>
      <c r="E956">
        <v>1.3</v>
      </c>
      <c r="F956">
        <v>1</v>
      </c>
      <c r="G956">
        <v>3.55</v>
      </c>
      <c r="H956" t="s">
        <v>10</v>
      </c>
      <c r="I956">
        <v>14.1</v>
      </c>
      <c r="J956" t="s">
        <v>14</v>
      </c>
      <c r="K956">
        <v>3.57</v>
      </c>
      <c r="L956" t="s">
        <v>52</v>
      </c>
      <c r="M956" s="8">
        <v>0.62</v>
      </c>
    </row>
    <row r="957" spans="1:13" x14ac:dyDescent="0.25">
      <c r="A957">
        <v>956</v>
      </c>
      <c r="B957">
        <v>5.3</v>
      </c>
      <c r="C957">
        <v>3.6</v>
      </c>
      <c r="D957">
        <v>5.6</v>
      </c>
      <c r="E957">
        <v>2</v>
      </c>
      <c r="F957">
        <v>7.5</v>
      </c>
      <c r="G957">
        <v>2.5299999999999998</v>
      </c>
      <c r="H957" t="s">
        <v>10</v>
      </c>
      <c r="I957">
        <v>18.399999999999999</v>
      </c>
      <c r="J957" t="s">
        <v>13</v>
      </c>
      <c r="K957">
        <v>2.36</v>
      </c>
      <c r="L957" t="s">
        <v>52</v>
      </c>
      <c r="M957" s="8">
        <v>0.28999999999999998</v>
      </c>
    </row>
    <row r="958" spans="1:13" x14ac:dyDescent="0.25">
      <c r="A958">
        <v>957</v>
      </c>
      <c r="B958">
        <v>9.1</v>
      </c>
      <c r="C958">
        <v>2.4</v>
      </c>
      <c r="D958">
        <v>7</v>
      </c>
      <c r="E958">
        <v>2.6</v>
      </c>
      <c r="F958">
        <v>2.9</v>
      </c>
      <c r="G958">
        <v>3.28</v>
      </c>
      <c r="H958" t="s">
        <v>10</v>
      </c>
      <c r="I958">
        <v>17</v>
      </c>
      <c r="J958" t="s">
        <v>15</v>
      </c>
      <c r="K958">
        <v>3.24</v>
      </c>
      <c r="L958" t="s">
        <v>52</v>
      </c>
      <c r="M958" s="8">
        <v>0.54</v>
      </c>
    </row>
    <row r="959" spans="1:13" x14ac:dyDescent="0.25">
      <c r="A959">
        <v>958</v>
      </c>
      <c r="B959">
        <v>9.3000000000000007</v>
      </c>
      <c r="C959">
        <v>0.4</v>
      </c>
      <c r="D959">
        <v>8.9</v>
      </c>
      <c r="E959">
        <v>4.5999999999999996</v>
      </c>
      <c r="F959">
        <v>0.8</v>
      </c>
      <c r="G959">
        <v>3.58</v>
      </c>
      <c r="H959" t="s">
        <v>10</v>
      </c>
      <c r="I959">
        <v>15.100000000000001</v>
      </c>
      <c r="J959" t="s">
        <v>14</v>
      </c>
      <c r="K959">
        <v>4.1399999999999997</v>
      </c>
      <c r="L959" t="s">
        <v>52</v>
      </c>
      <c r="M959" s="8">
        <v>0.62</v>
      </c>
    </row>
    <row r="960" spans="1:13" x14ac:dyDescent="0.25">
      <c r="A960">
        <v>959</v>
      </c>
      <c r="B960">
        <v>5.9</v>
      </c>
      <c r="C960">
        <v>1.7</v>
      </c>
      <c r="D960">
        <v>5.8</v>
      </c>
      <c r="E960">
        <v>4.2</v>
      </c>
      <c r="F960">
        <v>6.4</v>
      </c>
      <c r="G960">
        <v>3.32</v>
      </c>
      <c r="H960" t="s">
        <v>10</v>
      </c>
      <c r="I960">
        <v>18.200000000000003</v>
      </c>
      <c r="J960" t="s">
        <v>15</v>
      </c>
      <c r="K960">
        <v>2.12</v>
      </c>
      <c r="L960" t="s">
        <v>52</v>
      </c>
      <c r="M960" s="8">
        <v>0.32</v>
      </c>
    </row>
    <row r="961" spans="1:13" x14ac:dyDescent="0.25">
      <c r="A961">
        <v>960</v>
      </c>
      <c r="B961">
        <v>6</v>
      </c>
      <c r="C961">
        <v>0.8</v>
      </c>
      <c r="D961">
        <v>5.2</v>
      </c>
      <c r="E961">
        <v>1.9</v>
      </c>
      <c r="F961">
        <v>10.1</v>
      </c>
      <c r="G961">
        <v>3.01</v>
      </c>
      <c r="H961" t="s">
        <v>10</v>
      </c>
      <c r="I961">
        <v>18.799999999999997</v>
      </c>
      <c r="J961" t="s">
        <v>15</v>
      </c>
      <c r="K961">
        <v>4.24</v>
      </c>
      <c r="L961" t="s">
        <v>52</v>
      </c>
      <c r="M961" s="8">
        <v>0.32</v>
      </c>
    </row>
    <row r="962" spans="1:13" x14ac:dyDescent="0.25">
      <c r="A962">
        <v>961</v>
      </c>
      <c r="B962">
        <v>7.8</v>
      </c>
      <c r="C962">
        <v>3.4</v>
      </c>
      <c r="D962">
        <v>8.3000000000000007</v>
      </c>
      <c r="E962">
        <v>2</v>
      </c>
      <c r="F962">
        <v>2.5</v>
      </c>
      <c r="G962">
        <v>3.18</v>
      </c>
      <c r="H962" t="s">
        <v>8</v>
      </c>
      <c r="I962">
        <v>15.7</v>
      </c>
      <c r="J962" t="s">
        <v>15</v>
      </c>
      <c r="K962">
        <v>2.65</v>
      </c>
      <c r="L962" t="s">
        <v>52</v>
      </c>
      <c r="M962" s="8">
        <v>0.5</v>
      </c>
    </row>
    <row r="963" spans="1:13" x14ac:dyDescent="0.25">
      <c r="A963">
        <v>962</v>
      </c>
      <c r="B963">
        <v>6.3</v>
      </c>
      <c r="C963">
        <v>0.2</v>
      </c>
      <c r="D963">
        <v>8.6</v>
      </c>
      <c r="E963">
        <v>0.7</v>
      </c>
      <c r="F963">
        <v>8.1999999999999993</v>
      </c>
      <c r="G963">
        <v>3.1</v>
      </c>
      <c r="H963" t="s">
        <v>8</v>
      </c>
      <c r="I963">
        <v>15.399999999999999</v>
      </c>
      <c r="J963" t="s">
        <v>15</v>
      </c>
      <c r="K963">
        <v>4.01</v>
      </c>
      <c r="L963" t="s">
        <v>52</v>
      </c>
      <c r="M963" s="8">
        <v>0.41</v>
      </c>
    </row>
    <row r="964" spans="1:13" x14ac:dyDescent="0.25">
      <c r="A964">
        <v>963</v>
      </c>
      <c r="B964">
        <v>6.5</v>
      </c>
      <c r="C964">
        <v>2.1</v>
      </c>
      <c r="D964">
        <v>7.8</v>
      </c>
      <c r="E964">
        <v>3.6</v>
      </c>
      <c r="F964">
        <v>4</v>
      </c>
      <c r="G964">
        <v>2.9</v>
      </c>
      <c r="H964" t="s">
        <v>8</v>
      </c>
      <c r="I964">
        <v>16.2</v>
      </c>
      <c r="J964" t="s">
        <v>13</v>
      </c>
      <c r="K964">
        <v>1.83</v>
      </c>
      <c r="L964" t="s">
        <v>52</v>
      </c>
      <c r="M964" s="8">
        <v>0.4</v>
      </c>
    </row>
    <row r="965" spans="1:13" x14ac:dyDescent="0.25">
      <c r="A965">
        <v>964</v>
      </c>
      <c r="B965">
        <v>8.1</v>
      </c>
      <c r="C965">
        <v>3.9</v>
      </c>
      <c r="D965">
        <v>8.6</v>
      </c>
      <c r="E965">
        <v>3.1</v>
      </c>
      <c r="F965">
        <v>0.3</v>
      </c>
      <c r="G965">
        <v>2.99</v>
      </c>
      <c r="H965" t="s">
        <v>10</v>
      </c>
      <c r="I965">
        <v>15.4</v>
      </c>
      <c r="J965" t="s">
        <v>13</v>
      </c>
      <c r="K965">
        <v>3.23</v>
      </c>
      <c r="L965" t="s">
        <v>52</v>
      </c>
      <c r="M965" s="8">
        <v>0.53</v>
      </c>
    </row>
    <row r="966" spans="1:13" x14ac:dyDescent="0.25">
      <c r="A966">
        <v>965</v>
      </c>
      <c r="B966">
        <v>8.8000000000000007</v>
      </c>
      <c r="C966">
        <v>2.4</v>
      </c>
      <c r="D966">
        <v>6</v>
      </c>
      <c r="E966">
        <v>4</v>
      </c>
      <c r="F966">
        <v>2.8</v>
      </c>
      <c r="G966">
        <v>3.59</v>
      </c>
      <c r="H966" t="s">
        <v>10</v>
      </c>
      <c r="I966">
        <v>18</v>
      </c>
      <c r="J966" t="s">
        <v>14</v>
      </c>
      <c r="K966">
        <v>2.95</v>
      </c>
      <c r="L966" t="s">
        <v>52</v>
      </c>
      <c r="M966" s="8">
        <v>0.49</v>
      </c>
    </row>
    <row r="967" spans="1:13" x14ac:dyDescent="0.25">
      <c r="A967">
        <v>966</v>
      </c>
      <c r="B967">
        <v>7.4</v>
      </c>
      <c r="C967">
        <v>2.1</v>
      </c>
      <c r="D967">
        <v>6.7</v>
      </c>
      <c r="E967">
        <v>3.1</v>
      </c>
      <c r="F967">
        <v>4.7</v>
      </c>
      <c r="G967">
        <v>3.44</v>
      </c>
      <c r="H967" t="s">
        <v>8</v>
      </c>
      <c r="I967">
        <v>17.3</v>
      </c>
      <c r="J967" t="s">
        <v>15</v>
      </c>
      <c r="K967">
        <v>2.31</v>
      </c>
      <c r="L967" t="s">
        <v>52</v>
      </c>
      <c r="M967" s="8">
        <v>0.43</v>
      </c>
    </row>
    <row r="968" spans="1:13" x14ac:dyDescent="0.25">
      <c r="A968">
        <v>967</v>
      </c>
      <c r="B968">
        <v>6</v>
      </c>
      <c r="C968">
        <v>3.2</v>
      </c>
      <c r="D968">
        <v>5.9</v>
      </c>
      <c r="E968">
        <v>0.5</v>
      </c>
      <c r="F968">
        <v>8.4</v>
      </c>
      <c r="G968">
        <v>3.28</v>
      </c>
      <c r="H968" t="s">
        <v>10</v>
      </c>
      <c r="I968">
        <v>18.100000000000001</v>
      </c>
      <c r="J968" t="s">
        <v>15</v>
      </c>
      <c r="K968">
        <v>3.42</v>
      </c>
      <c r="L968" t="s">
        <v>52</v>
      </c>
      <c r="M968" s="8">
        <v>0.33</v>
      </c>
    </row>
    <row r="969" spans="1:13" x14ac:dyDescent="0.25">
      <c r="A969">
        <v>968</v>
      </c>
      <c r="B969">
        <v>7.2</v>
      </c>
      <c r="C969">
        <v>1.1000000000000001</v>
      </c>
      <c r="D969">
        <v>7.8</v>
      </c>
      <c r="E969">
        <v>2.1</v>
      </c>
      <c r="F969">
        <v>5.8</v>
      </c>
      <c r="G969">
        <v>2.93</v>
      </c>
      <c r="H969" t="s">
        <v>8</v>
      </c>
      <c r="I969">
        <v>16.2</v>
      </c>
      <c r="J969" t="s">
        <v>13</v>
      </c>
      <c r="K969">
        <v>2.91</v>
      </c>
      <c r="L969" t="s">
        <v>52</v>
      </c>
      <c r="M969" s="8">
        <v>0.44</v>
      </c>
    </row>
    <row r="970" spans="1:13" x14ac:dyDescent="0.25">
      <c r="A970">
        <v>969</v>
      </c>
      <c r="B970">
        <v>9.6999999999999993</v>
      </c>
      <c r="C970">
        <v>3.7</v>
      </c>
      <c r="D970">
        <v>7.5</v>
      </c>
      <c r="E970">
        <v>1</v>
      </c>
      <c r="F970">
        <v>2.1</v>
      </c>
      <c r="G970">
        <v>3.04</v>
      </c>
      <c r="H970" t="s">
        <v>10</v>
      </c>
      <c r="I970">
        <v>16.5</v>
      </c>
      <c r="J970" t="s">
        <v>15</v>
      </c>
      <c r="K970">
        <v>3.88</v>
      </c>
      <c r="L970" t="s">
        <v>52</v>
      </c>
      <c r="M970" s="8">
        <v>0.59</v>
      </c>
    </row>
    <row r="971" spans="1:13" x14ac:dyDescent="0.25">
      <c r="A971">
        <v>970</v>
      </c>
      <c r="B971">
        <v>9.6</v>
      </c>
      <c r="C971">
        <v>0</v>
      </c>
      <c r="D971">
        <v>7.8</v>
      </c>
      <c r="E971">
        <v>4.4000000000000004</v>
      </c>
      <c r="F971">
        <v>2.2000000000000002</v>
      </c>
      <c r="G971">
        <v>3.38</v>
      </c>
      <c r="H971" t="s">
        <v>10</v>
      </c>
      <c r="I971">
        <v>16.2</v>
      </c>
      <c r="J971" t="s">
        <v>15</v>
      </c>
      <c r="K971">
        <v>4.1100000000000003</v>
      </c>
      <c r="L971" t="s">
        <v>52</v>
      </c>
      <c r="M971" s="8">
        <v>0.59</v>
      </c>
    </row>
    <row r="972" spans="1:13" x14ac:dyDescent="0.25">
      <c r="A972">
        <v>971</v>
      </c>
      <c r="B972">
        <v>7.4</v>
      </c>
      <c r="C972">
        <v>0.3</v>
      </c>
      <c r="D972">
        <v>9.9</v>
      </c>
      <c r="E972">
        <v>3.1</v>
      </c>
      <c r="F972">
        <v>3.3</v>
      </c>
      <c r="G972">
        <v>2.84</v>
      </c>
      <c r="H972" t="s">
        <v>8</v>
      </c>
      <c r="I972">
        <v>14.100000000000001</v>
      </c>
      <c r="J972" t="s">
        <v>13</v>
      </c>
      <c r="K972">
        <v>2.92</v>
      </c>
      <c r="L972" t="s">
        <v>52</v>
      </c>
      <c r="M972" s="8">
        <v>0.52</v>
      </c>
    </row>
    <row r="973" spans="1:13" x14ac:dyDescent="0.25">
      <c r="A973">
        <v>972</v>
      </c>
      <c r="B973">
        <v>7.4</v>
      </c>
      <c r="C973">
        <v>1.7</v>
      </c>
      <c r="D973">
        <v>5.4</v>
      </c>
      <c r="E973">
        <v>0.6</v>
      </c>
      <c r="F973">
        <v>8.9</v>
      </c>
      <c r="G973">
        <v>3.23</v>
      </c>
      <c r="H973" t="s">
        <v>10</v>
      </c>
      <c r="I973">
        <v>18.600000000000001</v>
      </c>
      <c r="J973" t="s">
        <v>15</v>
      </c>
      <c r="K973">
        <v>4.1100000000000003</v>
      </c>
      <c r="L973" t="s">
        <v>52</v>
      </c>
      <c r="M973" s="8">
        <v>0.4</v>
      </c>
    </row>
    <row r="974" spans="1:13" x14ac:dyDescent="0.25">
      <c r="A974">
        <v>973</v>
      </c>
      <c r="B974">
        <v>9.1999999999999993</v>
      </c>
      <c r="C974">
        <v>1</v>
      </c>
      <c r="D974">
        <v>6</v>
      </c>
      <c r="E974">
        <v>3</v>
      </c>
      <c r="F974">
        <v>4.8</v>
      </c>
      <c r="G974">
        <v>3.18</v>
      </c>
      <c r="H974" t="s">
        <v>10</v>
      </c>
      <c r="I974">
        <v>18</v>
      </c>
      <c r="J974" t="s">
        <v>15</v>
      </c>
      <c r="K974">
        <v>3.5</v>
      </c>
      <c r="L974" t="s">
        <v>52</v>
      </c>
      <c r="M974" s="8">
        <v>0.51</v>
      </c>
    </row>
    <row r="975" spans="1:13" x14ac:dyDescent="0.25">
      <c r="A975">
        <v>974</v>
      </c>
      <c r="B975">
        <v>5.2</v>
      </c>
      <c r="C975">
        <v>0.2</v>
      </c>
      <c r="D975">
        <v>9.1999999999999993</v>
      </c>
      <c r="E975">
        <v>0.7</v>
      </c>
      <c r="F975">
        <v>8.6999999999999993</v>
      </c>
      <c r="G975">
        <v>2.82</v>
      </c>
      <c r="H975" t="s">
        <v>9</v>
      </c>
      <c r="I975">
        <v>14.8</v>
      </c>
      <c r="J975" t="s">
        <v>13</v>
      </c>
      <c r="K975">
        <v>4.0199999999999996</v>
      </c>
      <c r="L975" t="s">
        <v>52</v>
      </c>
      <c r="M975" s="8">
        <v>0.35</v>
      </c>
    </row>
    <row r="976" spans="1:13" x14ac:dyDescent="0.25">
      <c r="A976">
        <v>975</v>
      </c>
      <c r="B976">
        <v>5.2</v>
      </c>
      <c r="C976">
        <v>1.8</v>
      </c>
      <c r="D976">
        <v>9.1999999999999993</v>
      </c>
      <c r="E976">
        <v>1.6</v>
      </c>
      <c r="F976">
        <v>6.2</v>
      </c>
      <c r="G976">
        <v>2.68</v>
      </c>
      <c r="H976" t="s">
        <v>9</v>
      </c>
      <c r="I976">
        <v>14.8</v>
      </c>
      <c r="J976" t="s">
        <v>13</v>
      </c>
      <c r="K976">
        <v>2.35</v>
      </c>
      <c r="L976" t="s">
        <v>52</v>
      </c>
      <c r="M976" s="8">
        <v>0.35</v>
      </c>
    </row>
    <row r="977" spans="1:13" x14ac:dyDescent="0.25">
      <c r="A977">
        <v>976</v>
      </c>
      <c r="B977">
        <v>7.2</v>
      </c>
      <c r="C977">
        <v>2.2999999999999998</v>
      </c>
      <c r="D977">
        <v>7.9</v>
      </c>
      <c r="E977">
        <v>2</v>
      </c>
      <c r="F977">
        <v>4.5999999999999996</v>
      </c>
      <c r="G977">
        <v>3.06</v>
      </c>
      <c r="H977" t="s">
        <v>8</v>
      </c>
      <c r="I977">
        <v>16.100000000000001</v>
      </c>
      <c r="J977" t="s">
        <v>15</v>
      </c>
      <c r="K977">
        <v>2.41</v>
      </c>
      <c r="L977" t="s">
        <v>52</v>
      </c>
      <c r="M977" s="8">
        <v>0.45</v>
      </c>
    </row>
    <row r="978" spans="1:13" x14ac:dyDescent="0.25">
      <c r="A978">
        <v>977</v>
      </c>
      <c r="B978">
        <v>6.6</v>
      </c>
      <c r="C978">
        <v>0.4</v>
      </c>
      <c r="D978">
        <v>6.8</v>
      </c>
      <c r="E978">
        <v>0.6</v>
      </c>
      <c r="F978">
        <v>9.6</v>
      </c>
      <c r="G978">
        <v>3.31</v>
      </c>
      <c r="H978" t="s">
        <v>8</v>
      </c>
      <c r="I978">
        <v>17.2</v>
      </c>
      <c r="J978" t="s">
        <v>15</v>
      </c>
      <c r="K978">
        <v>4.5599999999999996</v>
      </c>
      <c r="L978" t="s">
        <v>52</v>
      </c>
      <c r="M978" s="8">
        <v>0.38</v>
      </c>
    </row>
    <row r="979" spans="1:13" x14ac:dyDescent="0.25">
      <c r="A979">
        <v>978</v>
      </c>
      <c r="B979">
        <v>6.4</v>
      </c>
      <c r="C979">
        <v>2.5</v>
      </c>
      <c r="D979">
        <v>7.3</v>
      </c>
      <c r="E979">
        <v>2.9</v>
      </c>
      <c r="F979">
        <v>4.9000000000000004</v>
      </c>
      <c r="G979">
        <v>3.12</v>
      </c>
      <c r="H979" t="s">
        <v>8</v>
      </c>
      <c r="I979">
        <v>16.700000000000003</v>
      </c>
      <c r="J979" t="s">
        <v>15</v>
      </c>
      <c r="K979">
        <v>1.82</v>
      </c>
      <c r="L979" t="s">
        <v>52</v>
      </c>
      <c r="M979" s="8">
        <v>0.38</v>
      </c>
    </row>
    <row r="980" spans="1:13" x14ac:dyDescent="0.25">
      <c r="A980">
        <v>979</v>
      </c>
      <c r="B980">
        <v>8.8000000000000007</v>
      </c>
      <c r="C980">
        <v>1.1000000000000001</v>
      </c>
      <c r="D980">
        <v>6.6</v>
      </c>
      <c r="E980">
        <v>5.5</v>
      </c>
      <c r="F980">
        <v>2</v>
      </c>
      <c r="G980">
        <v>3.32</v>
      </c>
      <c r="H980" t="s">
        <v>10</v>
      </c>
      <c r="I980">
        <v>17.399999999999999</v>
      </c>
      <c r="J980" t="s">
        <v>15</v>
      </c>
      <c r="K980">
        <v>3.52</v>
      </c>
      <c r="L980" t="s">
        <v>52</v>
      </c>
      <c r="M980" s="8">
        <v>0.51</v>
      </c>
    </row>
    <row r="981" spans="1:13" x14ac:dyDescent="0.25">
      <c r="A981">
        <v>980</v>
      </c>
      <c r="B981">
        <v>9.6</v>
      </c>
      <c r="C981">
        <v>2.4</v>
      </c>
      <c r="D981">
        <v>7.7</v>
      </c>
      <c r="E981">
        <v>1.1000000000000001</v>
      </c>
      <c r="F981">
        <v>3.2</v>
      </c>
      <c r="G981">
        <v>3.3</v>
      </c>
      <c r="H981" t="s">
        <v>10</v>
      </c>
      <c r="I981">
        <v>16.3</v>
      </c>
      <c r="J981" t="s">
        <v>15</v>
      </c>
      <c r="K981">
        <v>3.78</v>
      </c>
      <c r="L981" t="s">
        <v>52</v>
      </c>
      <c r="M981" s="8">
        <v>0.59</v>
      </c>
    </row>
    <row r="982" spans="1:13" x14ac:dyDescent="0.25">
      <c r="A982">
        <v>981</v>
      </c>
      <c r="B982">
        <v>6.7</v>
      </c>
      <c r="C982">
        <v>3.4</v>
      </c>
      <c r="D982">
        <v>7.8</v>
      </c>
      <c r="E982">
        <v>3.1</v>
      </c>
      <c r="F982">
        <v>3</v>
      </c>
      <c r="G982">
        <v>2.98</v>
      </c>
      <c r="H982" t="s">
        <v>8</v>
      </c>
      <c r="I982">
        <v>16.2</v>
      </c>
      <c r="J982" t="s">
        <v>13</v>
      </c>
      <c r="K982">
        <v>1.77</v>
      </c>
      <c r="L982" t="s">
        <v>52</v>
      </c>
      <c r="M982" s="8">
        <v>0.41</v>
      </c>
    </row>
    <row r="983" spans="1:13" x14ac:dyDescent="0.25">
      <c r="A983">
        <v>982</v>
      </c>
      <c r="B983">
        <v>8</v>
      </c>
      <c r="C983">
        <v>0.3</v>
      </c>
      <c r="D983">
        <v>8.4</v>
      </c>
      <c r="E983">
        <v>5.6</v>
      </c>
      <c r="F983">
        <v>1.7</v>
      </c>
      <c r="G983">
        <v>3.28</v>
      </c>
      <c r="H983" t="s">
        <v>8</v>
      </c>
      <c r="I983">
        <v>15.6</v>
      </c>
      <c r="J983" t="s">
        <v>15</v>
      </c>
      <c r="K983">
        <v>3.54</v>
      </c>
      <c r="L983" t="s">
        <v>52</v>
      </c>
      <c r="M983" s="8">
        <v>0.51</v>
      </c>
    </row>
    <row r="984" spans="1:13" x14ac:dyDescent="0.25">
      <c r="A984">
        <v>983</v>
      </c>
      <c r="B984">
        <v>7.9</v>
      </c>
      <c r="C984">
        <v>0.5</v>
      </c>
      <c r="D984">
        <v>7.9</v>
      </c>
      <c r="E984">
        <v>4.5999999999999996</v>
      </c>
      <c r="F984">
        <v>3.1</v>
      </c>
      <c r="G984">
        <v>3.38</v>
      </c>
      <c r="H984" t="s">
        <v>8</v>
      </c>
      <c r="I984">
        <v>16.100000000000001</v>
      </c>
      <c r="J984" t="s">
        <v>15</v>
      </c>
      <c r="K984">
        <v>3.09</v>
      </c>
      <c r="L984" t="s">
        <v>52</v>
      </c>
      <c r="M984" s="8">
        <v>0.49</v>
      </c>
    </row>
    <row r="985" spans="1:13" x14ac:dyDescent="0.25">
      <c r="A985">
        <v>984</v>
      </c>
      <c r="B985">
        <v>8.1999999999999993</v>
      </c>
      <c r="C985">
        <v>3.6</v>
      </c>
      <c r="D985">
        <v>8.1</v>
      </c>
      <c r="E985">
        <v>0.5</v>
      </c>
      <c r="F985">
        <v>3.6</v>
      </c>
      <c r="G985">
        <v>3.18</v>
      </c>
      <c r="H985" t="s">
        <v>10</v>
      </c>
      <c r="I985">
        <v>15.899999999999999</v>
      </c>
      <c r="J985" t="s">
        <v>15</v>
      </c>
      <c r="K985">
        <v>3.17</v>
      </c>
      <c r="L985" t="s">
        <v>52</v>
      </c>
      <c r="M985" s="8">
        <v>0.52</v>
      </c>
    </row>
    <row r="986" spans="1:13" x14ac:dyDescent="0.25">
      <c r="A986">
        <v>985</v>
      </c>
      <c r="B986">
        <v>6.5</v>
      </c>
      <c r="C986">
        <v>0.8</v>
      </c>
      <c r="D986">
        <v>9.5</v>
      </c>
      <c r="E986">
        <v>4.5999999999999996</v>
      </c>
      <c r="F986">
        <v>2.6</v>
      </c>
      <c r="G986">
        <v>2.74</v>
      </c>
      <c r="H986" t="s">
        <v>8</v>
      </c>
      <c r="I986">
        <v>14.499999999999998</v>
      </c>
      <c r="J986" t="s">
        <v>13</v>
      </c>
      <c r="K986">
        <v>2.4700000000000002</v>
      </c>
      <c r="L986" t="s">
        <v>52</v>
      </c>
      <c r="M986" s="8">
        <v>0.45</v>
      </c>
    </row>
    <row r="987" spans="1:13" x14ac:dyDescent="0.25">
      <c r="A987">
        <v>986</v>
      </c>
      <c r="B987">
        <v>5.9</v>
      </c>
      <c r="C987">
        <v>3</v>
      </c>
      <c r="D987">
        <v>7.4</v>
      </c>
      <c r="E987">
        <v>1.4</v>
      </c>
      <c r="F987">
        <v>6.3</v>
      </c>
      <c r="G987">
        <v>3.1</v>
      </c>
      <c r="H987" t="s">
        <v>9</v>
      </c>
      <c r="I987">
        <v>16.600000000000001</v>
      </c>
      <c r="J987" t="s">
        <v>15</v>
      </c>
      <c r="K987">
        <v>2.35</v>
      </c>
      <c r="L987" t="s">
        <v>52</v>
      </c>
      <c r="M987" s="8">
        <v>0.36</v>
      </c>
    </row>
    <row r="988" spans="1:13" x14ac:dyDescent="0.25">
      <c r="A988">
        <v>987</v>
      </c>
      <c r="B988">
        <v>8.1</v>
      </c>
      <c r="C988">
        <v>0.2</v>
      </c>
      <c r="D988">
        <v>6.6</v>
      </c>
      <c r="E988">
        <v>2.8</v>
      </c>
      <c r="F988">
        <v>6.3</v>
      </c>
      <c r="G988">
        <v>3.14</v>
      </c>
      <c r="H988" t="s">
        <v>10</v>
      </c>
      <c r="I988">
        <v>17.399999999999999</v>
      </c>
      <c r="J988" t="s">
        <v>15</v>
      </c>
      <c r="K988">
        <v>3.54</v>
      </c>
      <c r="L988" t="s">
        <v>52</v>
      </c>
      <c r="M988" s="8">
        <v>0.47</v>
      </c>
    </row>
    <row r="989" spans="1:13" x14ac:dyDescent="0.25">
      <c r="A989">
        <v>988</v>
      </c>
      <c r="B989">
        <v>6</v>
      </c>
      <c r="C989">
        <v>3.1</v>
      </c>
      <c r="D989">
        <v>7.1</v>
      </c>
      <c r="E989">
        <v>3.4</v>
      </c>
      <c r="F989">
        <v>4.4000000000000004</v>
      </c>
      <c r="G989">
        <v>2.84</v>
      </c>
      <c r="H989" t="s">
        <v>8</v>
      </c>
      <c r="I989">
        <v>16.899999999999999</v>
      </c>
      <c r="J989" t="s">
        <v>13</v>
      </c>
      <c r="K989">
        <v>1.31</v>
      </c>
      <c r="L989" t="s">
        <v>51</v>
      </c>
      <c r="M989" s="8">
        <v>0.36</v>
      </c>
    </row>
    <row r="990" spans="1:13" x14ac:dyDescent="0.25">
      <c r="A990">
        <v>989</v>
      </c>
      <c r="B990">
        <v>5.0999999999999996</v>
      </c>
      <c r="C990">
        <v>0.1</v>
      </c>
      <c r="D990">
        <v>7.2</v>
      </c>
      <c r="E990">
        <v>4.9000000000000004</v>
      </c>
      <c r="F990">
        <v>6.7</v>
      </c>
      <c r="G990">
        <v>2.94</v>
      </c>
      <c r="H990" t="s">
        <v>9</v>
      </c>
      <c r="I990">
        <v>16.8</v>
      </c>
      <c r="J990" t="s">
        <v>13</v>
      </c>
      <c r="K990">
        <v>2.85</v>
      </c>
      <c r="L990" t="s">
        <v>52</v>
      </c>
      <c r="M990" s="8">
        <v>0.3</v>
      </c>
    </row>
    <row r="991" spans="1:13" x14ac:dyDescent="0.25">
      <c r="A991">
        <v>990</v>
      </c>
      <c r="B991">
        <v>6.9</v>
      </c>
      <c r="C991">
        <v>3.3</v>
      </c>
      <c r="D991">
        <v>5.7</v>
      </c>
      <c r="E991">
        <v>5.6</v>
      </c>
      <c r="F991">
        <v>2.5</v>
      </c>
      <c r="G991">
        <v>3.05</v>
      </c>
      <c r="H991" t="s">
        <v>10</v>
      </c>
      <c r="I991">
        <v>18.299999999999997</v>
      </c>
      <c r="J991" t="s">
        <v>15</v>
      </c>
      <c r="K991">
        <v>2.0299999999999998</v>
      </c>
      <c r="L991" t="s">
        <v>52</v>
      </c>
      <c r="M991" s="8">
        <v>0.38</v>
      </c>
    </row>
    <row r="992" spans="1:13" x14ac:dyDescent="0.25">
      <c r="A992">
        <v>991</v>
      </c>
      <c r="B992">
        <v>8.8000000000000007</v>
      </c>
      <c r="C992">
        <v>3.8</v>
      </c>
      <c r="D992">
        <v>8.4</v>
      </c>
      <c r="E992">
        <v>1.1000000000000001</v>
      </c>
      <c r="F992">
        <v>1.9</v>
      </c>
      <c r="G992">
        <v>3.3</v>
      </c>
      <c r="H992" t="s">
        <v>10</v>
      </c>
      <c r="I992">
        <v>15.600000000000001</v>
      </c>
      <c r="J992" t="s">
        <v>15</v>
      </c>
      <c r="K992">
        <v>3.46</v>
      </c>
      <c r="L992" t="s">
        <v>52</v>
      </c>
      <c r="M992" s="8">
        <v>0.56000000000000005</v>
      </c>
    </row>
    <row r="993" spans="1:13" x14ac:dyDescent="0.25">
      <c r="A993">
        <v>992</v>
      </c>
      <c r="B993">
        <v>6.7</v>
      </c>
      <c r="C993">
        <v>2.8</v>
      </c>
      <c r="D993">
        <v>8.8000000000000007</v>
      </c>
      <c r="E993">
        <v>5.3</v>
      </c>
      <c r="F993">
        <v>0.4</v>
      </c>
      <c r="G993">
        <v>3.05</v>
      </c>
      <c r="H993" t="s">
        <v>8</v>
      </c>
      <c r="I993">
        <v>15.200000000000001</v>
      </c>
      <c r="J993" t="s">
        <v>15</v>
      </c>
      <c r="K993">
        <v>2.78</v>
      </c>
      <c r="L993" t="s">
        <v>52</v>
      </c>
      <c r="M993" s="8">
        <v>0.44</v>
      </c>
    </row>
    <row r="994" spans="1:13" x14ac:dyDescent="0.25">
      <c r="A994">
        <v>993</v>
      </c>
      <c r="B994">
        <v>6</v>
      </c>
      <c r="C994">
        <v>3.2</v>
      </c>
      <c r="D994">
        <v>8.6999999999999993</v>
      </c>
      <c r="E994">
        <v>0.4</v>
      </c>
      <c r="F994">
        <v>5.7</v>
      </c>
      <c r="G994">
        <v>2.6</v>
      </c>
      <c r="H994" t="s">
        <v>8</v>
      </c>
      <c r="I994">
        <v>15.3</v>
      </c>
      <c r="J994" t="s">
        <v>13</v>
      </c>
      <c r="K994">
        <v>2.61</v>
      </c>
      <c r="L994" t="s">
        <v>52</v>
      </c>
      <c r="M994" s="8">
        <v>0.39</v>
      </c>
    </row>
    <row r="995" spans="1:13" x14ac:dyDescent="0.25">
      <c r="A995">
        <v>994</v>
      </c>
      <c r="B995">
        <v>6.5</v>
      </c>
      <c r="C995">
        <v>3.9</v>
      </c>
      <c r="D995">
        <v>8.1999999999999993</v>
      </c>
      <c r="E995">
        <v>3.9</v>
      </c>
      <c r="F995">
        <v>1.5</v>
      </c>
      <c r="G995">
        <v>2.82</v>
      </c>
      <c r="H995" t="s">
        <v>8</v>
      </c>
      <c r="I995">
        <v>15.8</v>
      </c>
      <c r="J995" t="s">
        <v>13</v>
      </c>
      <c r="K995">
        <v>2.04</v>
      </c>
      <c r="L995" t="s">
        <v>52</v>
      </c>
      <c r="M995" s="8">
        <v>0.41</v>
      </c>
    </row>
    <row r="996" spans="1:13" x14ac:dyDescent="0.25">
      <c r="A996">
        <v>995</v>
      </c>
      <c r="B996">
        <v>9.9</v>
      </c>
      <c r="C996">
        <v>1.5</v>
      </c>
      <c r="D996">
        <v>9</v>
      </c>
      <c r="E996">
        <v>1.6</v>
      </c>
      <c r="F996">
        <v>2</v>
      </c>
      <c r="G996">
        <v>3.44</v>
      </c>
      <c r="H996" t="s">
        <v>10</v>
      </c>
      <c r="I996">
        <v>15</v>
      </c>
      <c r="J996" t="s">
        <v>15</v>
      </c>
      <c r="K996">
        <v>4.1100000000000003</v>
      </c>
      <c r="L996" t="s">
        <v>52</v>
      </c>
      <c r="M996" s="8">
        <v>0.66</v>
      </c>
    </row>
    <row r="997" spans="1:13" x14ac:dyDescent="0.25">
      <c r="A997">
        <v>996</v>
      </c>
      <c r="B997">
        <v>9.6999999999999993</v>
      </c>
      <c r="C997">
        <v>0.9</v>
      </c>
      <c r="D997">
        <v>6.6</v>
      </c>
      <c r="E997">
        <v>4.5</v>
      </c>
      <c r="F997">
        <v>2.2999999999999998</v>
      </c>
      <c r="G997">
        <v>3.5</v>
      </c>
      <c r="H997" t="s">
        <v>10</v>
      </c>
      <c r="I997">
        <v>17.399999999999999</v>
      </c>
      <c r="J997" t="s">
        <v>14</v>
      </c>
      <c r="K997">
        <v>3.86</v>
      </c>
      <c r="L997" t="s">
        <v>52</v>
      </c>
      <c r="M997" s="8">
        <v>0.56000000000000005</v>
      </c>
    </row>
    <row r="998" spans="1:13" x14ac:dyDescent="0.25">
      <c r="A998">
        <v>997</v>
      </c>
      <c r="B998">
        <v>7</v>
      </c>
      <c r="C998">
        <v>2.4</v>
      </c>
      <c r="D998">
        <v>7.2</v>
      </c>
      <c r="E998">
        <v>4.5</v>
      </c>
      <c r="F998">
        <v>2.9</v>
      </c>
      <c r="G998">
        <v>3</v>
      </c>
      <c r="H998" t="s">
        <v>8</v>
      </c>
      <c r="I998">
        <v>16.8</v>
      </c>
      <c r="J998" t="s">
        <v>15</v>
      </c>
      <c r="K998">
        <v>2.0699999999999998</v>
      </c>
      <c r="L998" t="s">
        <v>52</v>
      </c>
      <c r="M998" s="8">
        <v>0.42</v>
      </c>
    </row>
    <row r="999" spans="1:13" x14ac:dyDescent="0.25">
      <c r="A999">
        <v>998</v>
      </c>
      <c r="B999">
        <v>5.8</v>
      </c>
      <c r="C999">
        <v>1.4</v>
      </c>
      <c r="D999">
        <v>7</v>
      </c>
      <c r="E999">
        <v>0.3</v>
      </c>
      <c r="F999">
        <v>9.5</v>
      </c>
      <c r="G999">
        <v>2.4900000000000002</v>
      </c>
      <c r="H999" t="s">
        <v>9</v>
      </c>
      <c r="I999">
        <v>17</v>
      </c>
      <c r="J999" t="s">
        <v>16</v>
      </c>
      <c r="K999">
        <v>4.2300000000000004</v>
      </c>
      <c r="L999" t="s">
        <v>52</v>
      </c>
      <c r="M999" s="8">
        <v>0.34</v>
      </c>
    </row>
    <row r="1000" spans="1:13" x14ac:dyDescent="0.25">
      <c r="A1000">
        <v>999</v>
      </c>
      <c r="B1000">
        <v>7.9</v>
      </c>
      <c r="C1000">
        <v>3.5</v>
      </c>
      <c r="D1000">
        <v>5.8</v>
      </c>
      <c r="E1000">
        <v>3.6</v>
      </c>
      <c r="F1000">
        <v>3.2</v>
      </c>
      <c r="G1000">
        <v>3.01</v>
      </c>
      <c r="H1000" t="s">
        <v>10</v>
      </c>
      <c r="I1000">
        <v>18.2</v>
      </c>
      <c r="J1000" t="s">
        <v>15</v>
      </c>
      <c r="K1000">
        <v>2.2400000000000002</v>
      </c>
      <c r="L1000" t="s">
        <v>52</v>
      </c>
      <c r="M1000" s="8">
        <v>0.43</v>
      </c>
    </row>
    <row r="1001" spans="1:13" x14ac:dyDescent="0.25">
      <c r="A1001">
        <v>1000</v>
      </c>
      <c r="B1001">
        <v>8.5</v>
      </c>
      <c r="C1001">
        <v>1.6</v>
      </c>
      <c r="D1001">
        <v>7.5</v>
      </c>
      <c r="E1001">
        <v>0</v>
      </c>
      <c r="F1001">
        <v>6.4</v>
      </c>
      <c r="G1001">
        <v>3.63</v>
      </c>
      <c r="H1001" t="s">
        <v>10</v>
      </c>
      <c r="I1001">
        <v>16.5</v>
      </c>
      <c r="J1001" t="s">
        <v>14</v>
      </c>
      <c r="K1001">
        <v>3.99</v>
      </c>
      <c r="L1001" t="s">
        <v>52</v>
      </c>
      <c r="M1001" s="8">
        <v>0.52</v>
      </c>
    </row>
    <row r="1002" spans="1:13" x14ac:dyDescent="0.25">
      <c r="A1002">
        <v>1001</v>
      </c>
      <c r="B1002">
        <v>8.5</v>
      </c>
      <c r="C1002">
        <v>2.6</v>
      </c>
      <c r="D1002">
        <v>5.2</v>
      </c>
      <c r="E1002">
        <v>2.2000000000000002</v>
      </c>
      <c r="F1002">
        <v>5.5</v>
      </c>
      <c r="G1002">
        <v>3.26</v>
      </c>
      <c r="H1002" t="s">
        <v>10</v>
      </c>
      <c r="I1002">
        <v>18.8</v>
      </c>
      <c r="J1002" t="s">
        <v>15</v>
      </c>
      <c r="K1002">
        <v>2.93</v>
      </c>
      <c r="L1002" t="s">
        <v>52</v>
      </c>
      <c r="M1002" s="8">
        <v>0.45</v>
      </c>
    </row>
    <row r="1003" spans="1:13" x14ac:dyDescent="0.25">
      <c r="A1003">
        <v>1002</v>
      </c>
      <c r="B1003">
        <v>7.5</v>
      </c>
      <c r="C1003">
        <v>3.6</v>
      </c>
      <c r="D1003">
        <v>8.6</v>
      </c>
      <c r="E1003">
        <v>2.5</v>
      </c>
      <c r="F1003">
        <v>1.8</v>
      </c>
      <c r="G1003">
        <v>3.19</v>
      </c>
      <c r="H1003" t="s">
        <v>8</v>
      </c>
      <c r="I1003">
        <v>15.4</v>
      </c>
      <c r="J1003" t="s">
        <v>15</v>
      </c>
      <c r="K1003">
        <v>2.54</v>
      </c>
      <c r="L1003" t="s">
        <v>52</v>
      </c>
      <c r="M1003" s="8">
        <v>0.49</v>
      </c>
    </row>
    <row r="1004" spans="1:13" x14ac:dyDescent="0.25">
      <c r="A1004">
        <v>1003</v>
      </c>
      <c r="B1004">
        <v>9</v>
      </c>
      <c r="C1004">
        <v>3.5</v>
      </c>
      <c r="D1004">
        <v>7.3</v>
      </c>
      <c r="E1004">
        <v>2</v>
      </c>
      <c r="F1004">
        <v>2.2000000000000002</v>
      </c>
      <c r="G1004">
        <v>3.43</v>
      </c>
      <c r="H1004" t="s">
        <v>10</v>
      </c>
      <c r="I1004">
        <v>16.7</v>
      </c>
      <c r="J1004" t="s">
        <v>15</v>
      </c>
      <c r="K1004">
        <v>3.28</v>
      </c>
      <c r="L1004" t="s">
        <v>52</v>
      </c>
      <c r="M1004" s="8">
        <v>0.54</v>
      </c>
    </row>
    <row r="1005" spans="1:13" x14ac:dyDescent="0.25">
      <c r="A1005">
        <v>1004</v>
      </c>
      <c r="B1005">
        <v>8.5</v>
      </c>
      <c r="C1005">
        <v>0.3</v>
      </c>
      <c r="D1005">
        <v>9.3000000000000007</v>
      </c>
      <c r="E1005">
        <v>2.8</v>
      </c>
      <c r="F1005">
        <v>3.1</v>
      </c>
      <c r="G1005">
        <v>3.26</v>
      </c>
      <c r="H1005" t="s">
        <v>10</v>
      </c>
      <c r="I1005">
        <v>14.700000000000001</v>
      </c>
      <c r="J1005" t="s">
        <v>15</v>
      </c>
      <c r="K1005">
        <v>3.45</v>
      </c>
      <c r="L1005" t="s">
        <v>52</v>
      </c>
      <c r="M1005" s="8">
        <v>0.57999999999999996</v>
      </c>
    </row>
    <row r="1006" spans="1:13" x14ac:dyDescent="0.25">
      <c r="A1006">
        <v>1005</v>
      </c>
      <c r="B1006">
        <v>5.3</v>
      </c>
      <c r="C1006">
        <v>2.2000000000000002</v>
      </c>
      <c r="D1006">
        <v>7.1</v>
      </c>
      <c r="E1006">
        <v>5.3</v>
      </c>
      <c r="F1006">
        <v>4.0999999999999996</v>
      </c>
      <c r="G1006">
        <v>2.9</v>
      </c>
      <c r="H1006" t="s">
        <v>9</v>
      </c>
      <c r="I1006">
        <v>16.899999999999999</v>
      </c>
      <c r="J1006" t="s">
        <v>13</v>
      </c>
      <c r="K1006">
        <v>1.46</v>
      </c>
      <c r="L1006" t="s">
        <v>51</v>
      </c>
      <c r="M1006" s="8">
        <v>0.31</v>
      </c>
    </row>
    <row r="1007" spans="1:13" x14ac:dyDescent="0.25">
      <c r="A1007">
        <v>1006</v>
      </c>
      <c r="B1007">
        <v>7.8</v>
      </c>
      <c r="C1007">
        <v>0.2</v>
      </c>
      <c r="D1007">
        <v>9.9</v>
      </c>
      <c r="E1007">
        <v>3.1</v>
      </c>
      <c r="F1007">
        <v>3</v>
      </c>
      <c r="G1007">
        <v>3.07</v>
      </c>
      <c r="H1007" t="s">
        <v>8</v>
      </c>
      <c r="I1007">
        <v>14.1</v>
      </c>
      <c r="J1007" t="s">
        <v>15</v>
      </c>
      <c r="K1007">
        <v>3.15</v>
      </c>
      <c r="L1007" t="s">
        <v>52</v>
      </c>
      <c r="M1007" s="8">
        <v>0.55000000000000004</v>
      </c>
    </row>
    <row r="1008" spans="1:13" x14ac:dyDescent="0.25">
      <c r="A1008">
        <v>1007</v>
      </c>
      <c r="B1008">
        <v>6.5</v>
      </c>
      <c r="C1008">
        <v>1.9</v>
      </c>
      <c r="D1008">
        <v>9.3000000000000007</v>
      </c>
      <c r="E1008">
        <v>1.8</v>
      </c>
      <c r="F1008">
        <v>4.5</v>
      </c>
      <c r="G1008">
        <v>2.92</v>
      </c>
      <c r="H1008" t="s">
        <v>8</v>
      </c>
      <c r="I1008">
        <v>14.700000000000001</v>
      </c>
      <c r="J1008" t="s">
        <v>13</v>
      </c>
      <c r="K1008">
        <v>2.2599999999999998</v>
      </c>
      <c r="L1008" t="s">
        <v>52</v>
      </c>
      <c r="M1008" s="8">
        <v>0.44</v>
      </c>
    </row>
    <row r="1009" spans="1:13" x14ac:dyDescent="0.25">
      <c r="A1009">
        <v>1008</v>
      </c>
      <c r="B1009">
        <v>6.5</v>
      </c>
      <c r="C1009">
        <v>3.1</v>
      </c>
      <c r="D1009">
        <v>7.4</v>
      </c>
      <c r="E1009">
        <v>1.4</v>
      </c>
      <c r="F1009">
        <v>5.6</v>
      </c>
      <c r="G1009">
        <v>2.93</v>
      </c>
      <c r="H1009" t="s">
        <v>8</v>
      </c>
      <c r="I1009">
        <v>16.600000000000001</v>
      </c>
      <c r="J1009" t="s">
        <v>13</v>
      </c>
      <c r="K1009">
        <v>2.33</v>
      </c>
      <c r="L1009" t="s">
        <v>52</v>
      </c>
      <c r="M1009" s="8">
        <v>0.39</v>
      </c>
    </row>
    <row r="1010" spans="1:13" x14ac:dyDescent="0.25">
      <c r="A1010">
        <v>1009</v>
      </c>
      <c r="B1010">
        <v>5.8</v>
      </c>
      <c r="C1010">
        <v>1.3</v>
      </c>
      <c r="D1010">
        <v>9.6999999999999993</v>
      </c>
      <c r="E1010">
        <v>2.1</v>
      </c>
      <c r="F1010">
        <v>5.0999999999999996</v>
      </c>
      <c r="G1010">
        <v>2.87</v>
      </c>
      <c r="H1010" t="s">
        <v>9</v>
      </c>
      <c r="I1010">
        <v>14.299999999999999</v>
      </c>
      <c r="J1010" t="s">
        <v>13</v>
      </c>
      <c r="K1010">
        <v>2.21</v>
      </c>
      <c r="L1010" t="s">
        <v>52</v>
      </c>
      <c r="M1010" s="8">
        <v>0.41</v>
      </c>
    </row>
    <row r="1011" spans="1:13" x14ac:dyDescent="0.25">
      <c r="A1011">
        <v>1010</v>
      </c>
      <c r="B1011">
        <v>5.9</v>
      </c>
      <c r="C1011">
        <v>3.6</v>
      </c>
      <c r="D1011">
        <v>7.3</v>
      </c>
      <c r="E1011">
        <v>4.3</v>
      </c>
      <c r="F1011">
        <v>2.9</v>
      </c>
      <c r="G1011">
        <v>2.95</v>
      </c>
      <c r="H1011" t="s">
        <v>9</v>
      </c>
      <c r="I1011">
        <v>16.7</v>
      </c>
      <c r="J1011" t="s">
        <v>13</v>
      </c>
      <c r="K1011">
        <v>1.28</v>
      </c>
      <c r="L1011" t="s">
        <v>51</v>
      </c>
      <c r="M1011" s="8">
        <v>0.35</v>
      </c>
    </row>
    <row r="1012" spans="1:13" x14ac:dyDescent="0.25">
      <c r="A1012">
        <v>1011</v>
      </c>
      <c r="B1012">
        <v>9.9</v>
      </c>
      <c r="C1012">
        <v>0.2</v>
      </c>
      <c r="D1012">
        <v>5.5</v>
      </c>
      <c r="E1012">
        <v>4.3</v>
      </c>
      <c r="F1012">
        <v>4.0999999999999996</v>
      </c>
      <c r="G1012">
        <v>3.32</v>
      </c>
      <c r="H1012" t="s">
        <v>10</v>
      </c>
      <c r="I1012">
        <v>18.5</v>
      </c>
      <c r="J1012" t="s">
        <v>15</v>
      </c>
      <c r="K1012">
        <v>3.99</v>
      </c>
      <c r="L1012" t="s">
        <v>52</v>
      </c>
      <c r="M1012" s="8">
        <v>0.54</v>
      </c>
    </row>
    <row r="1013" spans="1:13" x14ac:dyDescent="0.25">
      <c r="A1013">
        <v>1012</v>
      </c>
      <c r="B1013">
        <v>5.2</v>
      </c>
      <c r="C1013">
        <v>0.1</v>
      </c>
      <c r="D1013">
        <v>8.9</v>
      </c>
      <c r="E1013">
        <v>0.8</v>
      </c>
      <c r="F1013">
        <v>9</v>
      </c>
      <c r="G1013">
        <v>2.66</v>
      </c>
      <c r="H1013" t="s">
        <v>9</v>
      </c>
      <c r="I1013">
        <v>15.1</v>
      </c>
      <c r="J1013" t="s">
        <v>13</v>
      </c>
      <c r="K1013">
        <v>4.1500000000000004</v>
      </c>
      <c r="L1013" t="s">
        <v>52</v>
      </c>
      <c r="M1013" s="8">
        <v>0.34</v>
      </c>
    </row>
    <row r="1014" spans="1:13" x14ac:dyDescent="0.25">
      <c r="A1014">
        <v>1013</v>
      </c>
      <c r="B1014">
        <v>7.3</v>
      </c>
      <c r="C1014">
        <v>2.4</v>
      </c>
      <c r="D1014">
        <v>7.1</v>
      </c>
      <c r="E1014">
        <v>0.2</v>
      </c>
      <c r="F1014">
        <v>7</v>
      </c>
      <c r="G1014">
        <v>3.17</v>
      </c>
      <c r="H1014" t="s">
        <v>8</v>
      </c>
      <c r="I1014">
        <v>16.899999999999999</v>
      </c>
      <c r="J1014" t="s">
        <v>15</v>
      </c>
      <c r="K1014">
        <v>3.5</v>
      </c>
      <c r="L1014" t="s">
        <v>52</v>
      </c>
      <c r="M1014" s="8">
        <v>0.43</v>
      </c>
    </row>
    <row r="1015" spans="1:13" x14ac:dyDescent="0.25">
      <c r="A1015">
        <v>1014</v>
      </c>
      <c r="B1015">
        <v>7.2</v>
      </c>
      <c r="C1015">
        <v>2.1</v>
      </c>
      <c r="D1015">
        <v>7.4</v>
      </c>
      <c r="E1015">
        <v>2.2999999999999998</v>
      </c>
      <c r="F1015">
        <v>5</v>
      </c>
      <c r="G1015">
        <v>3.13</v>
      </c>
      <c r="H1015" t="s">
        <v>8</v>
      </c>
      <c r="I1015">
        <v>16.600000000000001</v>
      </c>
      <c r="J1015" t="s">
        <v>15</v>
      </c>
      <c r="K1015">
        <v>2.4300000000000002</v>
      </c>
      <c r="L1015" t="s">
        <v>52</v>
      </c>
      <c r="M1015" s="8">
        <v>0.43</v>
      </c>
    </row>
    <row r="1016" spans="1:13" x14ac:dyDescent="0.25">
      <c r="A1016">
        <v>1015</v>
      </c>
      <c r="B1016">
        <v>9.4</v>
      </c>
      <c r="C1016">
        <v>3.6</v>
      </c>
      <c r="D1016">
        <v>6.7</v>
      </c>
      <c r="E1016">
        <v>2.6</v>
      </c>
      <c r="F1016">
        <v>1.7</v>
      </c>
      <c r="G1016">
        <v>2.81</v>
      </c>
      <c r="H1016" t="s">
        <v>10</v>
      </c>
      <c r="I1016">
        <v>17.3</v>
      </c>
      <c r="J1016" t="s">
        <v>13</v>
      </c>
      <c r="K1016">
        <v>3.47</v>
      </c>
      <c r="L1016" t="s">
        <v>52</v>
      </c>
      <c r="M1016" s="8">
        <v>0.54</v>
      </c>
    </row>
    <row r="1017" spans="1:13" x14ac:dyDescent="0.25">
      <c r="A1017">
        <v>1016</v>
      </c>
      <c r="B1017">
        <v>6.4</v>
      </c>
      <c r="C1017">
        <v>3.8</v>
      </c>
      <c r="D1017">
        <v>5.7</v>
      </c>
      <c r="E1017">
        <v>3.5</v>
      </c>
      <c r="F1017">
        <v>4.5999999999999996</v>
      </c>
      <c r="G1017">
        <v>3.07</v>
      </c>
      <c r="H1017" t="s">
        <v>10</v>
      </c>
      <c r="I1017">
        <v>18.299999999999997</v>
      </c>
      <c r="J1017" t="s">
        <v>15</v>
      </c>
      <c r="K1017">
        <v>1.3</v>
      </c>
      <c r="L1017" t="s">
        <v>51</v>
      </c>
      <c r="M1017" s="8">
        <v>0.35</v>
      </c>
    </row>
    <row r="1018" spans="1:13" x14ac:dyDescent="0.25">
      <c r="A1018">
        <v>1017</v>
      </c>
      <c r="B1018">
        <v>6.4</v>
      </c>
      <c r="C1018">
        <v>1.1000000000000001</v>
      </c>
      <c r="D1018">
        <v>7</v>
      </c>
      <c r="E1018">
        <v>6</v>
      </c>
      <c r="F1018">
        <v>3.5</v>
      </c>
      <c r="G1018">
        <v>2.98</v>
      </c>
      <c r="H1018" t="s">
        <v>8</v>
      </c>
      <c r="I1018">
        <v>17</v>
      </c>
      <c r="J1018" t="s">
        <v>13</v>
      </c>
      <c r="K1018">
        <v>2.46</v>
      </c>
      <c r="L1018" t="s">
        <v>52</v>
      </c>
      <c r="M1018" s="8">
        <v>0.38</v>
      </c>
    </row>
    <row r="1019" spans="1:13" x14ac:dyDescent="0.25">
      <c r="A1019">
        <v>1018</v>
      </c>
      <c r="B1019">
        <v>5.4</v>
      </c>
      <c r="C1019">
        <v>0.6</v>
      </c>
      <c r="D1019">
        <v>7.2</v>
      </c>
      <c r="E1019">
        <v>3.1</v>
      </c>
      <c r="F1019">
        <v>7.7</v>
      </c>
      <c r="G1019">
        <v>2.68</v>
      </c>
      <c r="H1019" t="s">
        <v>9</v>
      </c>
      <c r="I1019">
        <v>16.8</v>
      </c>
      <c r="J1019" t="s">
        <v>13</v>
      </c>
      <c r="K1019">
        <v>3.05</v>
      </c>
      <c r="L1019" t="s">
        <v>52</v>
      </c>
      <c r="M1019" s="8">
        <v>0.32</v>
      </c>
    </row>
    <row r="1020" spans="1:13" x14ac:dyDescent="0.25">
      <c r="A1020">
        <v>1019</v>
      </c>
      <c r="B1020">
        <v>6.3</v>
      </c>
      <c r="C1020">
        <v>1.3</v>
      </c>
      <c r="D1020">
        <v>5.4</v>
      </c>
      <c r="E1020">
        <v>1.8</v>
      </c>
      <c r="F1020">
        <v>9.1999999999999993</v>
      </c>
      <c r="G1020">
        <v>3.1</v>
      </c>
      <c r="H1020" t="s">
        <v>10</v>
      </c>
      <c r="I1020">
        <v>18.600000000000001</v>
      </c>
      <c r="J1020" t="s">
        <v>15</v>
      </c>
      <c r="K1020">
        <v>3.78</v>
      </c>
      <c r="L1020" t="s">
        <v>52</v>
      </c>
      <c r="M1020" s="8">
        <v>0.34</v>
      </c>
    </row>
    <row r="1021" spans="1:13" x14ac:dyDescent="0.25">
      <c r="A1021">
        <v>1020</v>
      </c>
      <c r="B1021">
        <v>9.5</v>
      </c>
      <c r="C1021">
        <v>0</v>
      </c>
      <c r="D1021">
        <v>9.1</v>
      </c>
      <c r="E1021">
        <v>5.0999999999999996</v>
      </c>
      <c r="F1021">
        <v>0.3</v>
      </c>
      <c r="G1021">
        <v>3.05</v>
      </c>
      <c r="H1021" t="s">
        <v>10</v>
      </c>
      <c r="I1021">
        <v>14.9</v>
      </c>
      <c r="J1021" t="s">
        <v>15</v>
      </c>
      <c r="K1021">
        <v>4.5</v>
      </c>
      <c r="L1021" t="s">
        <v>52</v>
      </c>
      <c r="M1021" s="8">
        <v>0.64</v>
      </c>
    </row>
    <row r="1022" spans="1:13" x14ac:dyDescent="0.25">
      <c r="A1022">
        <v>1021</v>
      </c>
      <c r="B1022">
        <v>5.5</v>
      </c>
      <c r="C1022">
        <v>0.6</v>
      </c>
      <c r="D1022">
        <v>9.8000000000000007</v>
      </c>
      <c r="E1022">
        <v>3.2</v>
      </c>
      <c r="F1022">
        <v>4.9000000000000004</v>
      </c>
      <c r="G1022">
        <v>3.2</v>
      </c>
      <c r="H1022" t="s">
        <v>9</v>
      </c>
      <c r="I1022">
        <v>14.200000000000001</v>
      </c>
      <c r="J1022" t="s">
        <v>15</v>
      </c>
      <c r="K1022">
        <v>2.19</v>
      </c>
      <c r="L1022" t="s">
        <v>52</v>
      </c>
      <c r="M1022" s="8">
        <v>0.39</v>
      </c>
    </row>
    <row r="1023" spans="1:13" x14ac:dyDescent="0.25">
      <c r="A1023">
        <v>1022</v>
      </c>
      <c r="B1023">
        <v>8.6999999999999993</v>
      </c>
      <c r="C1023">
        <v>4</v>
      </c>
      <c r="D1023">
        <v>6.4</v>
      </c>
      <c r="E1023">
        <v>2.6</v>
      </c>
      <c r="F1023">
        <v>2.2999999999999998</v>
      </c>
      <c r="G1023">
        <v>3.21</v>
      </c>
      <c r="H1023" t="s">
        <v>10</v>
      </c>
      <c r="I1023">
        <v>17.599999999999998</v>
      </c>
      <c r="J1023" t="s">
        <v>15</v>
      </c>
      <c r="K1023">
        <v>2.96</v>
      </c>
      <c r="L1023" t="s">
        <v>52</v>
      </c>
      <c r="M1023" s="8">
        <v>0.49</v>
      </c>
    </row>
    <row r="1024" spans="1:13" x14ac:dyDescent="0.25">
      <c r="A1024">
        <v>1023</v>
      </c>
      <c r="B1024">
        <v>7.7</v>
      </c>
      <c r="C1024">
        <v>1.6</v>
      </c>
      <c r="D1024">
        <v>5.8</v>
      </c>
      <c r="E1024">
        <v>5.9</v>
      </c>
      <c r="F1024">
        <v>3</v>
      </c>
      <c r="G1024">
        <v>3.15</v>
      </c>
      <c r="H1024" t="s">
        <v>10</v>
      </c>
      <c r="I1024">
        <v>18.200000000000003</v>
      </c>
      <c r="J1024" t="s">
        <v>15</v>
      </c>
      <c r="K1024">
        <v>2.76</v>
      </c>
      <c r="L1024" t="s">
        <v>52</v>
      </c>
      <c r="M1024" s="8">
        <v>0.42</v>
      </c>
    </row>
    <row r="1025" spans="1:13" x14ac:dyDescent="0.25">
      <c r="A1025">
        <v>1024</v>
      </c>
      <c r="B1025">
        <v>8</v>
      </c>
      <c r="C1025">
        <v>0.9</v>
      </c>
      <c r="D1025">
        <v>7.7</v>
      </c>
      <c r="E1025">
        <v>4.2</v>
      </c>
      <c r="F1025">
        <v>3.2</v>
      </c>
      <c r="G1025">
        <v>3.44</v>
      </c>
      <c r="H1025" t="s">
        <v>8</v>
      </c>
      <c r="I1025">
        <v>16.3</v>
      </c>
      <c r="J1025" t="s">
        <v>15</v>
      </c>
      <c r="K1025">
        <v>2.96</v>
      </c>
      <c r="L1025" t="s">
        <v>52</v>
      </c>
      <c r="M1025" s="8">
        <v>0.49</v>
      </c>
    </row>
    <row r="1026" spans="1:13" x14ac:dyDescent="0.25">
      <c r="A1026">
        <v>1025</v>
      </c>
      <c r="B1026">
        <v>7.6</v>
      </c>
      <c r="C1026">
        <v>4</v>
      </c>
      <c r="D1026">
        <v>8.1</v>
      </c>
      <c r="E1026">
        <v>1.6</v>
      </c>
      <c r="F1026">
        <v>2.7</v>
      </c>
      <c r="G1026">
        <v>3.02</v>
      </c>
      <c r="H1026" t="s">
        <v>8</v>
      </c>
      <c r="I1026">
        <v>15.899999999999999</v>
      </c>
      <c r="J1026" t="s">
        <v>15</v>
      </c>
      <c r="K1026">
        <v>2.61</v>
      </c>
      <c r="L1026" t="s">
        <v>52</v>
      </c>
      <c r="M1026" s="8">
        <v>0.48</v>
      </c>
    </row>
    <row r="1027" spans="1:13" x14ac:dyDescent="0.25">
      <c r="A1027">
        <v>1026</v>
      </c>
      <c r="B1027">
        <v>6.9</v>
      </c>
      <c r="C1027">
        <v>1.4</v>
      </c>
      <c r="D1027">
        <v>7.2</v>
      </c>
      <c r="E1027">
        <v>4.7</v>
      </c>
      <c r="F1027">
        <v>3.8</v>
      </c>
      <c r="G1027">
        <v>3.14</v>
      </c>
      <c r="H1027" t="s">
        <v>8</v>
      </c>
      <c r="I1027">
        <v>16.8</v>
      </c>
      <c r="J1027" t="s">
        <v>15</v>
      </c>
      <c r="K1027">
        <v>2.2799999999999998</v>
      </c>
      <c r="L1027" t="s">
        <v>52</v>
      </c>
      <c r="M1027" s="8">
        <v>0.41</v>
      </c>
    </row>
    <row r="1028" spans="1:13" x14ac:dyDescent="0.25">
      <c r="A1028">
        <v>1027</v>
      </c>
      <c r="B1028">
        <v>7.4</v>
      </c>
      <c r="C1028">
        <v>3.2</v>
      </c>
      <c r="D1028">
        <v>7.9</v>
      </c>
      <c r="E1028">
        <v>1.9</v>
      </c>
      <c r="F1028">
        <v>3.6</v>
      </c>
      <c r="G1028">
        <v>2.99</v>
      </c>
      <c r="H1028" t="s">
        <v>8</v>
      </c>
      <c r="I1028">
        <v>16.100000000000001</v>
      </c>
      <c r="J1028" t="s">
        <v>13</v>
      </c>
      <c r="K1028">
        <v>2.36</v>
      </c>
      <c r="L1028" t="s">
        <v>52</v>
      </c>
      <c r="M1028" s="8">
        <v>0.46</v>
      </c>
    </row>
    <row r="1029" spans="1:13" x14ac:dyDescent="0.25">
      <c r="A1029">
        <v>1028</v>
      </c>
      <c r="B1029">
        <v>6.1</v>
      </c>
      <c r="C1029">
        <v>2</v>
      </c>
      <c r="D1029">
        <v>6.3</v>
      </c>
      <c r="E1029">
        <v>0.1</v>
      </c>
      <c r="F1029">
        <v>9.5</v>
      </c>
      <c r="G1029">
        <v>3.05</v>
      </c>
      <c r="H1029" t="s">
        <v>8</v>
      </c>
      <c r="I1029">
        <v>17.7</v>
      </c>
      <c r="J1029" t="s">
        <v>15</v>
      </c>
      <c r="K1029">
        <v>4.21</v>
      </c>
      <c r="L1029" t="s">
        <v>52</v>
      </c>
      <c r="M1029" s="8">
        <v>0.34</v>
      </c>
    </row>
    <row r="1030" spans="1:13" x14ac:dyDescent="0.25">
      <c r="A1030">
        <v>1029</v>
      </c>
      <c r="B1030">
        <v>8.1999999999999993</v>
      </c>
      <c r="C1030">
        <v>2</v>
      </c>
      <c r="D1030">
        <v>7.2</v>
      </c>
      <c r="E1030">
        <v>5.8</v>
      </c>
      <c r="F1030">
        <v>0.8</v>
      </c>
      <c r="G1030">
        <v>3.45</v>
      </c>
      <c r="H1030" t="s">
        <v>10</v>
      </c>
      <c r="I1030">
        <v>16.8</v>
      </c>
      <c r="J1030" t="s">
        <v>15</v>
      </c>
      <c r="K1030">
        <v>3.41</v>
      </c>
      <c r="L1030" t="s">
        <v>52</v>
      </c>
      <c r="M1030" s="8">
        <v>0.49</v>
      </c>
    </row>
    <row r="1031" spans="1:13" x14ac:dyDescent="0.25">
      <c r="A1031">
        <v>1030</v>
      </c>
      <c r="B1031">
        <v>5.7</v>
      </c>
      <c r="C1031">
        <v>2.2999999999999998</v>
      </c>
      <c r="D1031">
        <v>9.3000000000000007</v>
      </c>
      <c r="E1031">
        <v>3.5</v>
      </c>
      <c r="F1031">
        <v>3.2</v>
      </c>
      <c r="G1031">
        <v>2.9</v>
      </c>
      <c r="H1031" t="s">
        <v>9</v>
      </c>
      <c r="I1031">
        <v>14.7</v>
      </c>
      <c r="J1031" t="s">
        <v>13</v>
      </c>
      <c r="K1031">
        <v>1.44</v>
      </c>
      <c r="L1031" t="s">
        <v>51</v>
      </c>
      <c r="M1031" s="8">
        <v>0.39</v>
      </c>
    </row>
    <row r="1032" spans="1:13" x14ac:dyDescent="0.25">
      <c r="A1032">
        <v>1031</v>
      </c>
      <c r="B1032">
        <v>8.6</v>
      </c>
      <c r="C1032">
        <v>1.5</v>
      </c>
      <c r="D1032">
        <v>5.5</v>
      </c>
      <c r="E1032">
        <v>2.7</v>
      </c>
      <c r="F1032">
        <v>5.7</v>
      </c>
      <c r="G1032">
        <v>3.49</v>
      </c>
      <c r="H1032" t="s">
        <v>10</v>
      </c>
      <c r="I1032">
        <v>18.5</v>
      </c>
      <c r="J1032" t="s">
        <v>15</v>
      </c>
      <c r="K1032">
        <v>3.18</v>
      </c>
      <c r="L1032" t="s">
        <v>52</v>
      </c>
      <c r="M1032" s="8">
        <v>0.46</v>
      </c>
    </row>
    <row r="1033" spans="1:13" x14ac:dyDescent="0.25">
      <c r="A1033">
        <v>1032</v>
      </c>
      <c r="B1033">
        <v>6.2</v>
      </c>
      <c r="C1033">
        <v>3.9</v>
      </c>
      <c r="D1033">
        <v>9.8000000000000007</v>
      </c>
      <c r="E1033">
        <v>1</v>
      </c>
      <c r="F1033">
        <v>3.1</v>
      </c>
      <c r="G1033">
        <v>2.87</v>
      </c>
      <c r="H1033" t="s">
        <v>8</v>
      </c>
      <c r="I1033">
        <v>14.2</v>
      </c>
      <c r="J1033" t="s">
        <v>13</v>
      </c>
      <c r="K1033">
        <v>2.15</v>
      </c>
      <c r="L1033" t="s">
        <v>52</v>
      </c>
      <c r="M1033" s="8">
        <v>0.44</v>
      </c>
    </row>
    <row r="1034" spans="1:13" x14ac:dyDescent="0.25">
      <c r="A1034">
        <v>1033</v>
      </c>
      <c r="B1034">
        <v>6.7</v>
      </c>
      <c r="C1034">
        <v>3.6</v>
      </c>
      <c r="D1034">
        <v>9.8000000000000007</v>
      </c>
      <c r="E1034">
        <v>1.7</v>
      </c>
      <c r="F1034">
        <v>2.2000000000000002</v>
      </c>
      <c r="G1034">
        <v>3.06</v>
      </c>
      <c r="H1034" t="s">
        <v>8</v>
      </c>
      <c r="I1034">
        <v>14.2</v>
      </c>
      <c r="J1034" t="s">
        <v>15</v>
      </c>
      <c r="K1034">
        <v>2.25</v>
      </c>
      <c r="L1034" t="s">
        <v>52</v>
      </c>
      <c r="M1034" s="8">
        <v>0.47</v>
      </c>
    </row>
    <row r="1035" spans="1:13" x14ac:dyDescent="0.25">
      <c r="A1035">
        <v>1034</v>
      </c>
      <c r="B1035">
        <v>8.4</v>
      </c>
      <c r="C1035">
        <v>1.1000000000000001</v>
      </c>
      <c r="D1035">
        <v>8.6999999999999993</v>
      </c>
      <c r="E1035">
        <v>0.3</v>
      </c>
      <c r="F1035">
        <v>5.5</v>
      </c>
      <c r="G1035">
        <v>2.86</v>
      </c>
      <c r="H1035" t="s">
        <v>10</v>
      </c>
      <c r="I1035">
        <v>15.3</v>
      </c>
      <c r="J1035" t="s">
        <v>13</v>
      </c>
      <c r="K1035">
        <v>3.81</v>
      </c>
      <c r="L1035" t="s">
        <v>52</v>
      </c>
      <c r="M1035" s="8">
        <v>0.55000000000000004</v>
      </c>
    </row>
    <row r="1036" spans="1:13" x14ac:dyDescent="0.25">
      <c r="A1036">
        <v>1035</v>
      </c>
      <c r="B1036">
        <v>5.2</v>
      </c>
      <c r="C1036">
        <v>1.5</v>
      </c>
      <c r="D1036">
        <v>6.8</v>
      </c>
      <c r="E1036">
        <v>1.9</v>
      </c>
      <c r="F1036">
        <v>8.6</v>
      </c>
      <c r="G1036">
        <v>2.38</v>
      </c>
      <c r="H1036" t="s">
        <v>9</v>
      </c>
      <c r="I1036">
        <v>17.2</v>
      </c>
      <c r="J1036" t="s">
        <v>16</v>
      </c>
      <c r="K1036">
        <v>3.31</v>
      </c>
      <c r="L1036" t="s">
        <v>52</v>
      </c>
      <c r="M1036" s="8">
        <v>0.3</v>
      </c>
    </row>
    <row r="1037" spans="1:13" x14ac:dyDescent="0.25">
      <c r="A1037">
        <v>1036</v>
      </c>
      <c r="B1037">
        <v>6</v>
      </c>
      <c r="C1037">
        <v>1.2</v>
      </c>
      <c r="D1037">
        <v>9.9</v>
      </c>
      <c r="E1037">
        <v>2.5</v>
      </c>
      <c r="F1037">
        <v>4.4000000000000004</v>
      </c>
      <c r="G1037">
        <v>2.88</v>
      </c>
      <c r="H1037" t="s">
        <v>8</v>
      </c>
      <c r="I1037">
        <v>14.1</v>
      </c>
      <c r="J1037" t="s">
        <v>13</v>
      </c>
      <c r="K1037">
        <v>2.11</v>
      </c>
      <c r="L1037" t="s">
        <v>52</v>
      </c>
      <c r="M1037" s="8">
        <v>0.43</v>
      </c>
    </row>
    <row r="1038" spans="1:13" x14ac:dyDescent="0.25">
      <c r="A1038">
        <v>1037</v>
      </c>
      <c r="B1038">
        <v>7.2</v>
      </c>
      <c r="C1038">
        <v>2.2999999999999998</v>
      </c>
      <c r="D1038">
        <v>9.9</v>
      </c>
      <c r="E1038">
        <v>1.1000000000000001</v>
      </c>
      <c r="F1038">
        <v>3.5</v>
      </c>
      <c r="G1038">
        <v>3.31</v>
      </c>
      <c r="H1038" t="s">
        <v>8</v>
      </c>
      <c r="I1038">
        <v>14.1</v>
      </c>
      <c r="J1038" t="s">
        <v>15</v>
      </c>
      <c r="K1038">
        <v>2.64</v>
      </c>
      <c r="L1038" t="s">
        <v>52</v>
      </c>
      <c r="M1038" s="8">
        <v>0.51</v>
      </c>
    </row>
    <row r="1039" spans="1:13" x14ac:dyDescent="0.25">
      <c r="A1039">
        <v>1038</v>
      </c>
      <c r="B1039">
        <v>8</v>
      </c>
      <c r="C1039">
        <v>0.4</v>
      </c>
      <c r="D1039">
        <v>8.4</v>
      </c>
      <c r="E1039">
        <v>0.4</v>
      </c>
      <c r="F1039">
        <v>6.8</v>
      </c>
      <c r="G1039">
        <v>3.39</v>
      </c>
      <c r="H1039" t="s">
        <v>8</v>
      </c>
      <c r="I1039">
        <v>15.600000000000001</v>
      </c>
      <c r="J1039" t="s">
        <v>15</v>
      </c>
      <c r="K1039">
        <v>4.07</v>
      </c>
      <c r="L1039" t="s">
        <v>52</v>
      </c>
      <c r="M1039" s="8">
        <v>0.51</v>
      </c>
    </row>
    <row r="1040" spans="1:13" x14ac:dyDescent="0.25">
      <c r="A1040">
        <v>1039</v>
      </c>
      <c r="B1040">
        <v>8</v>
      </c>
      <c r="C1040">
        <v>3</v>
      </c>
      <c r="D1040">
        <v>6.1</v>
      </c>
      <c r="E1040">
        <v>5</v>
      </c>
      <c r="F1040">
        <v>1.9</v>
      </c>
      <c r="G1040">
        <v>2.9</v>
      </c>
      <c r="H1040" t="s">
        <v>8</v>
      </c>
      <c r="I1040">
        <v>17.899999999999999</v>
      </c>
      <c r="J1040" t="s">
        <v>13</v>
      </c>
      <c r="K1040">
        <v>2.68</v>
      </c>
      <c r="L1040" t="s">
        <v>52</v>
      </c>
      <c r="M1040" s="8">
        <v>0.45</v>
      </c>
    </row>
    <row r="1041" spans="1:13" x14ac:dyDescent="0.25">
      <c r="A1041">
        <v>1040</v>
      </c>
      <c r="B1041">
        <v>5.7</v>
      </c>
      <c r="C1041">
        <v>3.8</v>
      </c>
      <c r="D1041">
        <v>5.4</v>
      </c>
      <c r="E1041">
        <v>1.2</v>
      </c>
      <c r="F1041">
        <v>7.9</v>
      </c>
      <c r="G1041">
        <v>2.81</v>
      </c>
      <c r="H1041" t="s">
        <v>10</v>
      </c>
      <c r="I1041">
        <v>18.600000000000001</v>
      </c>
      <c r="J1041" t="s">
        <v>13</v>
      </c>
      <c r="K1041">
        <v>2.85</v>
      </c>
      <c r="L1041" t="s">
        <v>52</v>
      </c>
      <c r="M1041" s="8">
        <v>0.31</v>
      </c>
    </row>
    <row r="1042" spans="1:13" x14ac:dyDescent="0.25">
      <c r="A1042">
        <v>1041</v>
      </c>
      <c r="B1042">
        <v>6.7</v>
      </c>
      <c r="C1042">
        <v>2.5</v>
      </c>
      <c r="D1042">
        <v>7.7</v>
      </c>
      <c r="E1042">
        <v>0.8</v>
      </c>
      <c r="F1042">
        <v>6.3</v>
      </c>
      <c r="G1042">
        <v>2.81</v>
      </c>
      <c r="H1042" t="s">
        <v>8</v>
      </c>
      <c r="I1042">
        <v>16.3</v>
      </c>
      <c r="J1042" t="s">
        <v>13</v>
      </c>
      <c r="K1042">
        <v>2.89</v>
      </c>
      <c r="L1042" t="s">
        <v>52</v>
      </c>
      <c r="M1042" s="8">
        <v>0.41</v>
      </c>
    </row>
    <row r="1043" spans="1:13" x14ac:dyDescent="0.25">
      <c r="A1043">
        <v>1042</v>
      </c>
      <c r="B1043">
        <v>6.1</v>
      </c>
      <c r="C1043">
        <v>1.6</v>
      </c>
      <c r="D1043">
        <v>8.5</v>
      </c>
      <c r="E1043">
        <v>1.3</v>
      </c>
      <c r="F1043">
        <v>6.5</v>
      </c>
      <c r="G1043">
        <v>2.76</v>
      </c>
      <c r="H1043" t="s">
        <v>8</v>
      </c>
      <c r="I1043">
        <v>15.5</v>
      </c>
      <c r="J1043" t="s">
        <v>13</v>
      </c>
      <c r="K1043">
        <v>2.81</v>
      </c>
      <c r="L1043" t="s">
        <v>52</v>
      </c>
      <c r="M1043" s="8">
        <v>0.39</v>
      </c>
    </row>
    <row r="1044" spans="1:13" x14ac:dyDescent="0.25">
      <c r="A1044">
        <v>1043</v>
      </c>
      <c r="B1044">
        <v>6.8</v>
      </c>
      <c r="C1044">
        <v>1.6</v>
      </c>
      <c r="D1044">
        <v>9.9</v>
      </c>
      <c r="E1044">
        <v>5.4</v>
      </c>
      <c r="F1044">
        <v>0.3</v>
      </c>
      <c r="G1044">
        <v>2.89</v>
      </c>
      <c r="H1044" t="s">
        <v>8</v>
      </c>
      <c r="I1044">
        <v>14.100000000000001</v>
      </c>
      <c r="J1044" t="s">
        <v>13</v>
      </c>
      <c r="K1044">
        <v>3.07</v>
      </c>
      <c r="L1044" t="s">
        <v>52</v>
      </c>
      <c r="M1044" s="8">
        <v>0.48</v>
      </c>
    </row>
    <row r="1045" spans="1:13" x14ac:dyDescent="0.25">
      <c r="A1045">
        <v>1044</v>
      </c>
      <c r="B1045">
        <v>5.3</v>
      </c>
      <c r="C1045">
        <v>1.3</v>
      </c>
      <c r="D1045">
        <v>6.3</v>
      </c>
      <c r="E1045">
        <v>3</v>
      </c>
      <c r="F1045">
        <v>8.1</v>
      </c>
      <c r="G1045">
        <v>2.94</v>
      </c>
      <c r="H1045" t="s">
        <v>9</v>
      </c>
      <c r="I1045">
        <v>17.7</v>
      </c>
      <c r="J1045" t="s">
        <v>13</v>
      </c>
      <c r="K1045">
        <v>2.95</v>
      </c>
      <c r="L1045" t="s">
        <v>52</v>
      </c>
      <c r="M1045" s="8">
        <v>0.3</v>
      </c>
    </row>
    <row r="1046" spans="1:13" x14ac:dyDescent="0.25">
      <c r="A1046">
        <v>1045</v>
      </c>
      <c r="B1046">
        <v>8.9</v>
      </c>
      <c r="C1046">
        <v>3.4</v>
      </c>
      <c r="D1046">
        <v>9.1999999999999993</v>
      </c>
      <c r="E1046">
        <v>0.9</v>
      </c>
      <c r="F1046">
        <v>1.6</v>
      </c>
      <c r="G1046">
        <v>3.11</v>
      </c>
      <c r="H1046" t="s">
        <v>10</v>
      </c>
      <c r="I1046">
        <v>14.8</v>
      </c>
      <c r="J1046" t="s">
        <v>15</v>
      </c>
      <c r="K1046">
        <v>3.62</v>
      </c>
      <c r="L1046" t="s">
        <v>52</v>
      </c>
      <c r="M1046" s="8">
        <v>0.6</v>
      </c>
    </row>
    <row r="1047" spans="1:13" x14ac:dyDescent="0.25">
      <c r="A1047">
        <v>1046</v>
      </c>
      <c r="B1047">
        <v>5.3</v>
      </c>
      <c r="C1047">
        <v>2.8</v>
      </c>
      <c r="D1047">
        <v>5</v>
      </c>
      <c r="E1047">
        <v>2.5</v>
      </c>
      <c r="F1047">
        <v>8.4</v>
      </c>
      <c r="G1047">
        <v>3.02</v>
      </c>
      <c r="H1047" t="s">
        <v>10</v>
      </c>
      <c r="I1047">
        <v>19</v>
      </c>
      <c r="J1047" t="s">
        <v>15</v>
      </c>
      <c r="K1047">
        <v>2.74</v>
      </c>
      <c r="L1047" t="s">
        <v>52</v>
      </c>
      <c r="M1047" s="8">
        <v>0.28000000000000003</v>
      </c>
    </row>
    <row r="1048" spans="1:13" x14ac:dyDescent="0.25">
      <c r="A1048">
        <v>1047</v>
      </c>
      <c r="B1048">
        <v>6.6</v>
      </c>
      <c r="C1048">
        <v>2.8</v>
      </c>
      <c r="D1048">
        <v>8.8000000000000007</v>
      </c>
      <c r="E1048">
        <v>1.8</v>
      </c>
      <c r="F1048">
        <v>4</v>
      </c>
      <c r="G1048">
        <v>2.87</v>
      </c>
      <c r="H1048" t="s">
        <v>8</v>
      </c>
      <c r="I1048">
        <v>15.2</v>
      </c>
      <c r="J1048" t="s">
        <v>13</v>
      </c>
      <c r="K1048">
        <v>2.0699999999999998</v>
      </c>
      <c r="L1048" t="s">
        <v>52</v>
      </c>
      <c r="M1048" s="8">
        <v>0.43</v>
      </c>
    </row>
    <row r="1049" spans="1:13" x14ac:dyDescent="0.25">
      <c r="A1049">
        <v>1048</v>
      </c>
      <c r="B1049">
        <v>7.2</v>
      </c>
      <c r="C1049">
        <v>2.9</v>
      </c>
      <c r="D1049">
        <v>8.5</v>
      </c>
      <c r="E1049">
        <v>5.3</v>
      </c>
      <c r="F1049">
        <v>0.1</v>
      </c>
      <c r="G1049">
        <v>3.26</v>
      </c>
      <c r="H1049" t="s">
        <v>8</v>
      </c>
      <c r="I1049">
        <v>15.499999999999998</v>
      </c>
      <c r="J1049" t="s">
        <v>15</v>
      </c>
      <c r="K1049">
        <v>3.07</v>
      </c>
      <c r="L1049" t="s">
        <v>52</v>
      </c>
      <c r="M1049" s="8">
        <v>0.46</v>
      </c>
    </row>
    <row r="1050" spans="1:13" x14ac:dyDescent="0.25">
      <c r="A1050">
        <v>1049</v>
      </c>
      <c r="B1050">
        <v>6.1</v>
      </c>
      <c r="C1050">
        <v>2.6</v>
      </c>
      <c r="D1050">
        <v>8</v>
      </c>
      <c r="E1050">
        <v>5.5</v>
      </c>
      <c r="F1050">
        <v>1.8</v>
      </c>
      <c r="G1050">
        <v>3.01</v>
      </c>
      <c r="H1050" t="s">
        <v>8</v>
      </c>
      <c r="I1050">
        <v>16</v>
      </c>
      <c r="J1050" t="s">
        <v>15</v>
      </c>
      <c r="K1050">
        <v>2.12</v>
      </c>
      <c r="L1050" t="s">
        <v>52</v>
      </c>
      <c r="M1050" s="8">
        <v>0.38</v>
      </c>
    </row>
    <row r="1051" spans="1:13" x14ac:dyDescent="0.25">
      <c r="A1051">
        <v>1050</v>
      </c>
      <c r="B1051">
        <v>7.8</v>
      </c>
      <c r="C1051">
        <v>1.1000000000000001</v>
      </c>
      <c r="D1051">
        <v>7.4</v>
      </c>
      <c r="E1051">
        <v>2</v>
      </c>
      <c r="F1051">
        <v>5.7</v>
      </c>
      <c r="G1051">
        <v>3.04</v>
      </c>
      <c r="H1051" t="s">
        <v>8</v>
      </c>
      <c r="I1051">
        <v>16.600000000000001</v>
      </c>
      <c r="J1051" t="s">
        <v>15</v>
      </c>
      <c r="K1051">
        <v>3.14</v>
      </c>
      <c r="L1051" t="s">
        <v>52</v>
      </c>
      <c r="M1051" s="8">
        <v>0.47</v>
      </c>
    </row>
    <row r="1052" spans="1:13" x14ac:dyDescent="0.25">
      <c r="A1052">
        <v>1051</v>
      </c>
      <c r="B1052">
        <v>7.9</v>
      </c>
      <c r="C1052">
        <v>3.6</v>
      </c>
      <c r="D1052">
        <v>7.8</v>
      </c>
      <c r="E1052">
        <v>3</v>
      </c>
      <c r="F1052">
        <v>1.7</v>
      </c>
      <c r="G1052">
        <v>3.05</v>
      </c>
      <c r="H1052" t="s">
        <v>8</v>
      </c>
      <c r="I1052">
        <v>16.2</v>
      </c>
      <c r="J1052" t="s">
        <v>15</v>
      </c>
      <c r="K1052">
        <v>2.69</v>
      </c>
      <c r="L1052" t="s">
        <v>52</v>
      </c>
      <c r="M1052" s="8">
        <v>0.49</v>
      </c>
    </row>
    <row r="1053" spans="1:13" x14ac:dyDescent="0.25">
      <c r="A1053">
        <v>1052</v>
      </c>
      <c r="B1053">
        <v>6.2</v>
      </c>
      <c r="C1053">
        <v>2</v>
      </c>
      <c r="D1053">
        <v>6.6</v>
      </c>
      <c r="E1053">
        <v>1.1000000000000001</v>
      </c>
      <c r="F1053">
        <v>8.1</v>
      </c>
      <c r="G1053">
        <v>2.94</v>
      </c>
      <c r="H1053" t="s">
        <v>8</v>
      </c>
      <c r="I1053">
        <v>17.399999999999999</v>
      </c>
      <c r="J1053" t="s">
        <v>13</v>
      </c>
      <c r="K1053">
        <v>3.35</v>
      </c>
      <c r="L1053" t="s">
        <v>52</v>
      </c>
      <c r="M1053" s="8">
        <v>0.36</v>
      </c>
    </row>
    <row r="1054" spans="1:13" x14ac:dyDescent="0.25">
      <c r="A1054">
        <v>1053</v>
      </c>
      <c r="B1054">
        <v>7.5</v>
      </c>
      <c r="C1054">
        <v>1.3</v>
      </c>
      <c r="D1054">
        <v>6.3</v>
      </c>
      <c r="E1054">
        <v>2.8</v>
      </c>
      <c r="F1054">
        <v>6.1</v>
      </c>
      <c r="G1054">
        <v>3.21</v>
      </c>
      <c r="H1054" t="s">
        <v>8</v>
      </c>
      <c r="I1054">
        <v>17.700000000000003</v>
      </c>
      <c r="J1054" t="s">
        <v>15</v>
      </c>
      <c r="K1054">
        <v>2.87</v>
      </c>
      <c r="L1054" t="s">
        <v>52</v>
      </c>
      <c r="M1054" s="8">
        <v>0.42</v>
      </c>
    </row>
    <row r="1055" spans="1:13" x14ac:dyDescent="0.25">
      <c r="A1055">
        <v>1054</v>
      </c>
      <c r="B1055">
        <v>5.5</v>
      </c>
      <c r="C1055">
        <v>3.1</v>
      </c>
      <c r="D1055">
        <v>9</v>
      </c>
      <c r="E1055">
        <v>4.5999999999999996</v>
      </c>
      <c r="F1055">
        <v>1.8</v>
      </c>
      <c r="G1055">
        <v>2.97</v>
      </c>
      <c r="H1055" t="s">
        <v>9</v>
      </c>
      <c r="I1055">
        <v>15</v>
      </c>
      <c r="J1055" t="s">
        <v>13</v>
      </c>
      <c r="K1055">
        <v>1.63</v>
      </c>
      <c r="L1055" t="s">
        <v>52</v>
      </c>
      <c r="M1055" s="8">
        <v>0.37</v>
      </c>
    </row>
    <row r="1056" spans="1:13" x14ac:dyDescent="0.25">
      <c r="A1056">
        <v>1055</v>
      </c>
      <c r="B1056">
        <v>5.6</v>
      </c>
      <c r="C1056">
        <v>2.6</v>
      </c>
      <c r="D1056">
        <v>9.1999999999999993</v>
      </c>
      <c r="E1056">
        <v>3.5</v>
      </c>
      <c r="F1056">
        <v>3.1</v>
      </c>
      <c r="G1056">
        <v>2.72</v>
      </c>
      <c r="H1056" t="s">
        <v>9</v>
      </c>
      <c r="I1056">
        <v>14.799999999999999</v>
      </c>
      <c r="J1056" t="s">
        <v>13</v>
      </c>
      <c r="K1056">
        <v>1.32</v>
      </c>
      <c r="L1056" t="s">
        <v>51</v>
      </c>
      <c r="M1056" s="8">
        <v>0.38</v>
      </c>
    </row>
    <row r="1057" spans="1:13" x14ac:dyDescent="0.25">
      <c r="A1057">
        <v>1056</v>
      </c>
      <c r="B1057">
        <v>7.6</v>
      </c>
      <c r="C1057">
        <v>0.1</v>
      </c>
      <c r="D1057">
        <v>8.1999999999999993</v>
      </c>
      <c r="E1057">
        <v>0.5</v>
      </c>
      <c r="F1057">
        <v>7.6</v>
      </c>
      <c r="G1057">
        <v>3.56</v>
      </c>
      <c r="H1057" t="s">
        <v>8</v>
      </c>
      <c r="I1057">
        <v>15.799999999999999</v>
      </c>
      <c r="J1057" t="s">
        <v>14</v>
      </c>
      <c r="K1057">
        <v>4.22</v>
      </c>
      <c r="L1057" t="s">
        <v>52</v>
      </c>
      <c r="M1057" s="8">
        <v>0.48</v>
      </c>
    </row>
    <row r="1058" spans="1:13" x14ac:dyDescent="0.25">
      <c r="A1058">
        <v>1057</v>
      </c>
      <c r="B1058">
        <v>7.2</v>
      </c>
      <c r="C1058">
        <v>1.2</v>
      </c>
      <c r="D1058">
        <v>7.7</v>
      </c>
      <c r="E1058">
        <v>0.8</v>
      </c>
      <c r="F1058">
        <v>7.1</v>
      </c>
      <c r="G1058">
        <v>3.28</v>
      </c>
      <c r="H1058" t="s">
        <v>8</v>
      </c>
      <c r="I1058">
        <v>16.3</v>
      </c>
      <c r="J1058" t="s">
        <v>15</v>
      </c>
      <c r="K1058">
        <v>3.55</v>
      </c>
      <c r="L1058" t="s">
        <v>52</v>
      </c>
      <c r="M1058" s="8">
        <v>0.44</v>
      </c>
    </row>
    <row r="1059" spans="1:13" x14ac:dyDescent="0.25">
      <c r="A1059">
        <v>1058</v>
      </c>
      <c r="B1059">
        <v>5.8</v>
      </c>
      <c r="C1059">
        <v>0.4</v>
      </c>
      <c r="D1059">
        <v>5.7</v>
      </c>
      <c r="E1059">
        <v>5.3</v>
      </c>
      <c r="F1059">
        <v>6.8</v>
      </c>
      <c r="G1059">
        <v>3</v>
      </c>
      <c r="H1059" t="s">
        <v>10</v>
      </c>
      <c r="I1059">
        <v>18.3</v>
      </c>
      <c r="J1059" t="s">
        <v>15</v>
      </c>
      <c r="K1059">
        <v>2.85</v>
      </c>
      <c r="L1059" t="s">
        <v>52</v>
      </c>
      <c r="M1059" s="8">
        <v>0.32</v>
      </c>
    </row>
    <row r="1060" spans="1:13" x14ac:dyDescent="0.25">
      <c r="A1060">
        <v>1059</v>
      </c>
      <c r="B1060">
        <v>7.6</v>
      </c>
      <c r="C1060">
        <v>1.9</v>
      </c>
      <c r="D1060">
        <v>5.5</v>
      </c>
      <c r="E1060">
        <v>3.9</v>
      </c>
      <c r="F1060">
        <v>5.0999999999999996</v>
      </c>
      <c r="G1060">
        <v>3.17</v>
      </c>
      <c r="H1060" t="s">
        <v>10</v>
      </c>
      <c r="I1060">
        <v>18.5</v>
      </c>
      <c r="J1060" t="s">
        <v>15</v>
      </c>
      <c r="K1060">
        <v>2.38</v>
      </c>
      <c r="L1060" t="s">
        <v>52</v>
      </c>
      <c r="M1060" s="8">
        <v>0.41</v>
      </c>
    </row>
    <row r="1061" spans="1:13" x14ac:dyDescent="0.25">
      <c r="A1061">
        <v>1060</v>
      </c>
      <c r="B1061">
        <v>8.1</v>
      </c>
      <c r="C1061">
        <v>0.3</v>
      </c>
      <c r="D1061">
        <v>5.6</v>
      </c>
      <c r="E1061">
        <v>0.3</v>
      </c>
      <c r="F1061">
        <v>9.6999999999999993</v>
      </c>
      <c r="G1061">
        <v>3.25</v>
      </c>
      <c r="H1061" t="s">
        <v>10</v>
      </c>
      <c r="I1061">
        <v>18.399999999999999</v>
      </c>
      <c r="J1061" t="s">
        <v>15</v>
      </c>
      <c r="K1061">
        <v>5.01</v>
      </c>
      <c r="L1061" t="s">
        <v>52</v>
      </c>
      <c r="M1061" s="8">
        <v>0.44</v>
      </c>
    </row>
    <row r="1062" spans="1:13" x14ac:dyDescent="0.25">
      <c r="A1062">
        <v>1061</v>
      </c>
      <c r="B1062">
        <v>6.3</v>
      </c>
      <c r="C1062">
        <v>0.5</v>
      </c>
      <c r="D1062">
        <v>6.3</v>
      </c>
      <c r="E1062">
        <v>2.2999999999999998</v>
      </c>
      <c r="F1062">
        <v>8.6</v>
      </c>
      <c r="G1062">
        <v>2.97</v>
      </c>
      <c r="H1062" t="s">
        <v>8</v>
      </c>
      <c r="I1062">
        <v>17.7</v>
      </c>
      <c r="J1062" t="s">
        <v>13</v>
      </c>
      <c r="K1062">
        <v>3.69</v>
      </c>
      <c r="L1062" t="s">
        <v>52</v>
      </c>
      <c r="M1062" s="8">
        <v>0.36</v>
      </c>
    </row>
    <row r="1063" spans="1:13" x14ac:dyDescent="0.25">
      <c r="A1063">
        <v>1062</v>
      </c>
      <c r="B1063">
        <v>9.1999999999999993</v>
      </c>
      <c r="C1063">
        <v>2.8</v>
      </c>
      <c r="D1063">
        <v>5.6</v>
      </c>
      <c r="E1063">
        <v>4.4000000000000004</v>
      </c>
      <c r="F1063">
        <v>2</v>
      </c>
      <c r="G1063">
        <v>3.5</v>
      </c>
      <c r="H1063" t="s">
        <v>10</v>
      </c>
      <c r="I1063">
        <v>18.399999999999999</v>
      </c>
      <c r="J1063" t="s">
        <v>14</v>
      </c>
      <c r="K1063">
        <v>3.22</v>
      </c>
      <c r="L1063" t="s">
        <v>52</v>
      </c>
      <c r="M1063" s="8">
        <v>0.5</v>
      </c>
    </row>
    <row r="1064" spans="1:13" x14ac:dyDescent="0.25">
      <c r="A1064">
        <v>1063</v>
      </c>
      <c r="B1064">
        <v>6.4</v>
      </c>
      <c r="C1064">
        <v>2.6</v>
      </c>
      <c r="D1064">
        <v>6.7</v>
      </c>
      <c r="E1064">
        <v>6</v>
      </c>
      <c r="F1064">
        <v>2.2999999999999998</v>
      </c>
      <c r="G1064">
        <v>2.78</v>
      </c>
      <c r="H1064" t="s">
        <v>8</v>
      </c>
      <c r="I1064">
        <v>17.3</v>
      </c>
      <c r="J1064" t="s">
        <v>13</v>
      </c>
      <c r="K1064">
        <v>2.17</v>
      </c>
      <c r="L1064" t="s">
        <v>52</v>
      </c>
      <c r="M1064" s="8">
        <v>0.37</v>
      </c>
    </row>
    <row r="1065" spans="1:13" x14ac:dyDescent="0.25">
      <c r="A1065">
        <v>1064</v>
      </c>
      <c r="B1065">
        <v>9.6999999999999993</v>
      </c>
      <c r="C1065">
        <v>0.1</v>
      </c>
      <c r="D1065">
        <v>8.5</v>
      </c>
      <c r="E1065">
        <v>4.0999999999999996</v>
      </c>
      <c r="F1065">
        <v>1.6</v>
      </c>
      <c r="G1065">
        <v>3.26</v>
      </c>
      <c r="H1065" t="s">
        <v>10</v>
      </c>
      <c r="I1065">
        <v>15.499999999999998</v>
      </c>
      <c r="J1065" t="s">
        <v>15</v>
      </c>
      <c r="K1065">
        <v>4.22</v>
      </c>
      <c r="L1065" t="s">
        <v>52</v>
      </c>
      <c r="M1065" s="8">
        <v>0.63</v>
      </c>
    </row>
    <row r="1066" spans="1:13" x14ac:dyDescent="0.25">
      <c r="A1066">
        <v>1065</v>
      </c>
      <c r="B1066">
        <v>9.1999999999999993</v>
      </c>
      <c r="C1066">
        <v>3.9</v>
      </c>
      <c r="D1066">
        <v>9.9</v>
      </c>
      <c r="E1066">
        <v>0.1</v>
      </c>
      <c r="F1066">
        <v>0.9</v>
      </c>
      <c r="G1066">
        <v>3.48</v>
      </c>
      <c r="H1066" t="s">
        <v>10</v>
      </c>
      <c r="I1066">
        <v>14.1</v>
      </c>
      <c r="J1066" t="s">
        <v>15</v>
      </c>
      <c r="K1066">
        <v>4.12</v>
      </c>
      <c r="L1066" t="s">
        <v>52</v>
      </c>
      <c r="M1066" s="8">
        <v>0.65</v>
      </c>
    </row>
    <row r="1067" spans="1:13" x14ac:dyDescent="0.25">
      <c r="A1067">
        <v>1066</v>
      </c>
      <c r="B1067">
        <v>8.1999999999999993</v>
      </c>
      <c r="C1067">
        <v>0.5</v>
      </c>
      <c r="D1067">
        <v>8.3000000000000007</v>
      </c>
      <c r="E1067">
        <v>5.9</v>
      </c>
      <c r="F1067">
        <v>1.1000000000000001</v>
      </c>
      <c r="G1067">
        <v>3.44</v>
      </c>
      <c r="H1067" t="s">
        <v>10</v>
      </c>
      <c r="I1067">
        <v>15.7</v>
      </c>
      <c r="J1067" t="s">
        <v>15</v>
      </c>
      <c r="K1067">
        <v>3.74</v>
      </c>
      <c r="L1067" t="s">
        <v>52</v>
      </c>
      <c r="M1067" s="8">
        <v>0.52</v>
      </c>
    </row>
    <row r="1068" spans="1:13" x14ac:dyDescent="0.25">
      <c r="A1068">
        <v>1067</v>
      </c>
      <c r="B1068">
        <v>9.6</v>
      </c>
      <c r="C1068">
        <v>1.8</v>
      </c>
      <c r="D1068">
        <v>5.2</v>
      </c>
      <c r="E1068">
        <v>2.2000000000000002</v>
      </c>
      <c r="F1068">
        <v>5.2</v>
      </c>
      <c r="G1068">
        <v>3.55</v>
      </c>
      <c r="H1068" t="s">
        <v>10</v>
      </c>
      <c r="I1068">
        <v>18.8</v>
      </c>
      <c r="J1068" t="s">
        <v>14</v>
      </c>
      <c r="K1068">
        <v>3.6</v>
      </c>
      <c r="L1068" t="s">
        <v>52</v>
      </c>
      <c r="M1068" s="8">
        <v>0.51</v>
      </c>
    </row>
    <row r="1069" spans="1:13" x14ac:dyDescent="0.25">
      <c r="A1069">
        <v>1068</v>
      </c>
      <c r="B1069">
        <v>7.3</v>
      </c>
      <c r="C1069">
        <v>0.2</v>
      </c>
      <c r="D1069">
        <v>7.1</v>
      </c>
      <c r="E1069">
        <v>2.8</v>
      </c>
      <c r="F1069">
        <v>6.6</v>
      </c>
      <c r="G1069">
        <v>3.27</v>
      </c>
      <c r="H1069" t="s">
        <v>8</v>
      </c>
      <c r="I1069">
        <v>16.899999999999999</v>
      </c>
      <c r="J1069" t="s">
        <v>15</v>
      </c>
      <c r="K1069">
        <v>3.33</v>
      </c>
      <c r="L1069" t="s">
        <v>52</v>
      </c>
      <c r="M1069" s="8">
        <v>0.43</v>
      </c>
    </row>
    <row r="1070" spans="1:13" x14ac:dyDescent="0.25">
      <c r="A1070">
        <v>1069</v>
      </c>
      <c r="B1070">
        <v>9.6</v>
      </c>
      <c r="C1070">
        <v>2.6</v>
      </c>
      <c r="D1070">
        <v>6.6</v>
      </c>
      <c r="E1070">
        <v>2.7</v>
      </c>
      <c r="F1070">
        <v>2.5</v>
      </c>
      <c r="G1070">
        <v>3.37</v>
      </c>
      <c r="H1070" t="s">
        <v>10</v>
      </c>
      <c r="I1070">
        <v>17.399999999999999</v>
      </c>
      <c r="J1070" t="s">
        <v>15</v>
      </c>
      <c r="K1070">
        <v>3.5</v>
      </c>
      <c r="L1070" t="s">
        <v>52</v>
      </c>
      <c r="M1070" s="8">
        <v>0.55000000000000004</v>
      </c>
    </row>
    <row r="1071" spans="1:13" x14ac:dyDescent="0.25">
      <c r="A1071">
        <v>1070</v>
      </c>
      <c r="B1071">
        <v>6.8</v>
      </c>
      <c r="C1071">
        <v>2.7</v>
      </c>
      <c r="D1071">
        <v>8.3000000000000007</v>
      </c>
      <c r="E1071">
        <v>4.3</v>
      </c>
      <c r="F1071">
        <v>1.9</v>
      </c>
      <c r="G1071">
        <v>2.58</v>
      </c>
      <c r="H1071" t="s">
        <v>8</v>
      </c>
      <c r="I1071">
        <v>15.700000000000001</v>
      </c>
      <c r="J1071" t="s">
        <v>13</v>
      </c>
      <c r="K1071">
        <v>2.16</v>
      </c>
      <c r="L1071" t="s">
        <v>52</v>
      </c>
      <c r="M1071" s="8">
        <v>0.43</v>
      </c>
    </row>
    <row r="1072" spans="1:13" x14ac:dyDescent="0.25">
      <c r="A1072">
        <v>1071</v>
      </c>
      <c r="B1072">
        <v>6.3</v>
      </c>
      <c r="C1072">
        <v>1.3</v>
      </c>
      <c r="D1072">
        <v>5.6</v>
      </c>
      <c r="E1072">
        <v>3.9</v>
      </c>
      <c r="F1072">
        <v>6.9</v>
      </c>
      <c r="G1072">
        <v>2.97</v>
      </c>
      <c r="H1072" t="s">
        <v>10</v>
      </c>
      <c r="I1072">
        <v>18.399999999999999</v>
      </c>
      <c r="J1072" t="s">
        <v>13</v>
      </c>
      <c r="K1072">
        <v>2.5499999999999998</v>
      </c>
      <c r="L1072" t="s">
        <v>52</v>
      </c>
      <c r="M1072" s="8">
        <v>0.34</v>
      </c>
    </row>
    <row r="1073" spans="1:13" x14ac:dyDescent="0.25">
      <c r="A1073">
        <v>1072</v>
      </c>
      <c r="B1073">
        <v>9.3000000000000007</v>
      </c>
      <c r="C1073">
        <v>3.6</v>
      </c>
      <c r="D1073">
        <v>7.2</v>
      </c>
      <c r="E1073">
        <v>1.8</v>
      </c>
      <c r="F1073">
        <v>2.1</v>
      </c>
      <c r="G1073">
        <v>3.3</v>
      </c>
      <c r="H1073" t="s">
        <v>10</v>
      </c>
      <c r="I1073">
        <v>16.8</v>
      </c>
      <c r="J1073" t="s">
        <v>15</v>
      </c>
      <c r="K1073">
        <v>3.49</v>
      </c>
      <c r="L1073" t="s">
        <v>52</v>
      </c>
      <c r="M1073" s="8">
        <v>0.55000000000000004</v>
      </c>
    </row>
    <row r="1074" spans="1:13" x14ac:dyDescent="0.25">
      <c r="A1074">
        <v>1073</v>
      </c>
      <c r="B1074">
        <v>5.4</v>
      </c>
      <c r="C1074">
        <v>2.7</v>
      </c>
      <c r="D1074">
        <v>9.1</v>
      </c>
      <c r="E1074">
        <v>1.5</v>
      </c>
      <c r="F1074">
        <v>5.3</v>
      </c>
      <c r="G1074">
        <v>3.04</v>
      </c>
      <c r="H1074" t="s">
        <v>9</v>
      </c>
      <c r="I1074">
        <v>14.900000000000002</v>
      </c>
      <c r="J1074" t="s">
        <v>15</v>
      </c>
      <c r="K1074">
        <v>1.94</v>
      </c>
      <c r="L1074" t="s">
        <v>52</v>
      </c>
      <c r="M1074" s="8">
        <v>0.36</v>
      </c>
    </row>
    <row r="1075" spans="1:13" x14ac:dyDescent="0.25">
      <c r="A1075">
        <v>1074</v>
      </c>
      <c r="B1075">
        <v>9.4</v>
      </c>
      <c r="C1075">
        <v>1</v>
      </c>
      <c r="D1075">
        <v>7.8</v>
      </c>
      <c r="E1075">
        <v>1.1000000000000001</v>
      </c>
      <c r="F1075">
        <v>4.7</v>
      </c>
      <c r="G1075">
        <v>3.36</v>
      </c>
      <c r="H1075" t="s">
        <v>10</v>
      </c>
      <c r="I1075">
        <v>16.2</v>
      </c>
      <c r="J1075" t="s">
        <v>15</v>
      </c>
      <c r="K1075">
        <v>3.96</v>
      </c>
      <c r="L1075" t="s">
        <v>52</v>
      </c>
      <c r="M1075" s="8">
        <v>0.57999999999999996</v>
      </c>
    </row>
    <row r="1076" spans="1:13" x14ac:dyDescent="0.25">
      <c r="A1076">
        <v>1075</v>
      </c>
      <c r="B1076">
        <v>5.5</v>
      </c>
      <c r="C1076">
        <v>3.6</v>
      </c>
      <c r="D1076">
        <v>9.1</v>
      </c>
      <c r="E1076">
        <v>4.4000000000000004</v>
      </c>
      <c r="F1076">
        <v>1.4</v>
      </c>
      <c r="G1076">
        <v>2.44</v>
      </c>
      <c r="H1076" t="s">
        <v>9</v>
      </c>
      <c r="I1076">
        <v>14.9</v>
      </c>
      <c r="J1076" t="s">
        <v>16</v>
      </c>
      <c r="K1076">
        <v>1.73</v>
      </c>
      <c r="L1076" t="s">
        <v>52</v>
      </c>
      <c r="M1076" s="8">
        <v>0.37</v>
      </c>
    </row>
    <row r="1077" spans="1:13" x14ac:dyDescent="0.25">
      <c r="A1077">
        <v>1076</v>
      </c>
      <c r="B1077">
        <v>7.7</v>
      </c>
      <c r="C1077">
        <v>0.4</v>
      </c>
      <c r="D1077">
        <v>8.8000000000000007</v>
      </c>
      <c r="E1077">
        <v>3.5</v>
      </c>
      <c r="F1077">
        <v>3.6</v>
      </c>
      <c r="G1077">
        <v>3</v>
      </c>
      <c r="H1077" t="s">
        <v>8</v>
      </c>
      <c r="I1077">
        <v>15.2</v>
      </c>
      <c r="J1077" t="s">
        <v>15</v>
      </c>
      <c r="K1077">
        <v>2.99</v>
      </c>
      <c r="L1077" t="s">
        <v>52</v>
      </c>
      <c r="M1077" s="8">
        <v>0.51</v>
      </c>
    </row>
    <row r="1078" spans="1:13" x14ac:dyDescent="0.25">
      <c r="A1078">
        <v>1077</v>
      </c>
      <c r="B1078">
        <v>5.9</v>
      </c>
      <c r="C1078">
        <v>0.8</v>
      </c>
      <c r="D1078">
        <v>5.9</v>
      </c>
      <c r="E1078">
        <v>0.3</v>
      </c>
      <c r="F1078">
        <v>11.1</v>
      </c>
      <c r="G1078">
        <v>3.11</v>
      </c>
      <c r="H1078" t="s">
        <v>10</v>
      </c>
      <c r="I1078">
        <v>18.100000000000001</v>
      </c>
      <c r="J1078" t="s">
        <v>15</v>
      </c>
      <c r="K1078">
        <v>5.0599999999999996</v>
      </c>
      <c r="L1078" t="s">
        <v>52</v>
      </c>
      <c r="M1078" s="8">
        <v>0.33</v>
      </c>
    </row>
    <row r="1079" spans="1:13" x14ac:dyDescent="0.25">
      <c r="A1079">
        <v>1078</v>
      </c>
      <c r="B1079">
        <v>5.0999999999999996</v>
      </c>
      <c r="C1079">
        <v>0.2</v>
      </c>
      <c r="D1079">
        <v>7.9</v>
      </c>
      <c r="E1079">
        <v>4.9000000000000004</v>
      </c>
      <c r="F1079">
        <v>5.9</v>
      </c>
      <c r="G1079">
        <v>2.82</v>
      </c>
      <c r="H1079" t="s">
        <v>9</v>
      </c>
      <c r="I1079">
        <v>16.100000000000001</v>
      </c>
      <c r="J1079" t="s">
        <v>13</v>
      </c>
      <c r="K1079">
        <v>2.59</v>
      </c>
      <c r="L1079" t="s">
        <v>52</v>
      </c>
      <c r="M1079" s="8">
        <v>0.32</v>
      </c>
    </row>
    <row r="1080" spans="1:13" x14ac:dyDescent="0.25">
      <c r="A1080">
        <v>1079</v>
      </c>
      <c r="B1080">
        <v>6.6</v>
      </c>
      <c r="C1080">
        <v>1.4</v>
      </c>
      <c r="D1080">
        <v>8</v>
      </c>
      <c r="E1080">
        <v>1.6</v>
      </c>
      <c r="F1080">
        <v>6.4</v>
      </c>
      <c r="G1080">
        <v>3.23</v>
      </c>
      <c r="H1080" t="s">
        <v>8</v>
      </c>
      <c r="I1080">
        <v>16</v>
      </c>
      <c r="J1080" t="s">
        <v>15</v>
      </c>
      <c r="K1080">
        <v>2.89</v>
      </c>
      <c r="L1080" t="s">
        <v>52</v>
      </c>
      <c r="M1080" s="8">
        <v>0.41</v>
      </c>
    </row>
    <row r="1081" spans="1:13" x14ac:dyDescent="0.25">
      <c r="A1081">
        <v>1080</v>
      </c>
      <c r="B1081">
        <v>8.6999999999999993</v>
      </c>
      <c r="C1081">
        <v>2.7</v>
      </c>
      <c r="D1081">
        <v>6</v>
      </c>
      <c r="E1081">
        <v>2.1</v>
      </c>
      <c r="F1081">
        <v>4.5</v>
      </c>
      <c r="G1081">
        <v>3.67</v>
      </c>
      <c r="H1081" t="s">
        <v>10</v>
      </c>
      <c r="I1081">
        <v>18</v>
      </c>
      <c r="J1081" t="s">
        <v>14</v>
      </c>
      <c r="K1081">
        <v>2.98</v>
      </c>
      <c r="L1081" t="s">
        <v>52</v>
      </c>
      <c r="M1081" s="8">
        <v>0.48</v>
      </c>
    </row>
    <row r="1082" spans="1:13" x14ac:dyDescent="0.25">
      <c r="A1082">
        <v>1081</v>
      </c>
      <c r="B1082">
        <v>5.6</v>
      </c>
      <c r="C1082">
        <v>0.5</v>
      </c>
      <c r="D1082">
        <v>8.4</v>
      </c>
      <c r="E1082">
        <v>5.2</v>
      </c>
      <c r="F1082">
        <v>4.3</v>
      </c>
      <c r="G1082">
        <v>2.86</v>
      </c>
      <c r="H1082" t="s">
        <v>9</v>
      </c>
      <c r="I1082">
        <v>15.600000000000001</v>
      </c>
      <c r="J1082" t="s">
        <v>13</v>
      </c>
      <c r="K1082">
        <v>2.33</v>
      </c>
      <c r="L1082" t="s">
        <v>52</v>
      </c>
      <c r="M1082" s="8">
        <v>0.36</v>
      </c>
    </row>
    <row r="1083" spans="1:13" x14ac:dyDescent="0.25">
      <c r="A1083">
        <v>1082</v>
      </c>
      <c r="B1083">
        <v>5.9</v>
      </c>
      <c r="C1083">
        <v>0.4</v>
      </c>
      <c r="D1083">
        <v>9.1</v>
      </c>
      <c r="E1083">
        <v>3.5</v>
      </c>
      <c r="F1083">
        <v>5.0999999999999996</v>
      </c>
      <c r="G1083">
        <v>2.96</v>
      </c>
      <c r="H1083" t="s">
        <v>9</v>
      </c>
      <c r="I1083">
        <v>14.9</v>
      </c>
      <c r="J1083" t="s">
        <v>13</v>
      </c>
      <c r="K1083">
        <v>2.4300000000000002</v>
      </c>
      <c r="L1083" t="s">
        <v>52</v>
      </c>
      <c r="M1083" s="8">
        <v>0.4</v>
      </c>
    </row>
    <row r="1084" spans="1:13" x14ac:dyDescent="0.25">
      <c r="A1084">
        <v>1083</v>
      </c>
      <c r="B1084">
        <v>8.1</v>
      </c>
      <c r="C1084">
        <v>3.1</v>
      </c>
      <c r="D1084">
        <v>8.5</v>
      </c>
      <c r="E1084">
        <v>3.6</v>
      </c>
      <c r="F1084">
        <v>0.7</v>
      </c>
      <c r="G1084">
        <v>3.12</v>
      </c>
      <c r="H1084" t="s">
        <v>10</v>
      </c>
      <c r="I1084">
        <v>15.499999999999998</v>
      </c>
      <c r="J1084" t="s">
        <v>15</v>
      </c>
      <c r="K1084">
        <v>3.09</v>
      </c>
      <c r="L1084" t="s">
        <v>52</v>
      </c>
      <c r="M1084" s="8">
        <v>0.52</v>
      </c>
    </row>
    <row r="1085" spans="1:13" x14ac:dyDescent="0.25">
      <c r="A1085">
        <v>1084</v>
      </c>
      <c r="B1085">
        <v>8.1999999999999993</v>
      </c>
      <c r="C1085">
        <v>1.3</v>
      </c>
      <c r="D1085">
        <v>9.8000000000000007</v>
      </c>
      <c r="E1085">
        <v>0.2</v>
      </c>
      <c r="F1085">
        <v>4.5</v>
      </c>
      <c r="G1085">
        <v>3.38</v>
      </c>
      <c r="H1085" t="s">
        <v>10</v>
      </c>
      <c r="I1085">
        <v>14.2</v>
      </c>
      <c r="J1085" t="s">
        <v>15</v>
      </c>
      <c r="K1085">
        <v>3.6</v>
      </c>
      <c r="L1085" t="s">
        <v>52</v>
      </c>
      <c r="M1085" s="8">
        <v>0.57999999999999996</v>
      </c>
    </row>
    <row r="1086" spans="1:13" x14ac:dyDescent="0.25">
      <c r="A1086">
        <v>1085</v>
      </c>
      <c r="B1086">
        <v>7.9</v>
      </c>
      <c r="C1086">
        <v>0.7</v>
      </c>
      <c r="D1086">
        <v>8.6</v>
      </c>
      <c r="E1086">
        <v>1.1000000000000001</v>
      </c>
      <c r="F1086">
        <v>5.7</v>
      </c>
      <c r="G1086">
        <v>3.18</v>
      </c>
      <c r="H1086" t="s">
        <v>8</v>
      </c>
      <c r="I1086">
        <v>15.399999999999999</v>
      </c>
      <c r="J1086" t="s">
        <v>15</v>
      </c>
      <c r="K1086">
        <v>3.53</v>
      </c>
      <c r="L1086" t="s">
        <v>52</v>
      </c>
      <c r="M1086" s="8">
        <v>0.51</v>
      </c>
    </row>
    <row r="1087" spans="1:13" x14ac:dyDescent="0.25">
      <c r="A1087">
        <v>1086</v>
      </c>
      <c r="B1087">
        <v>9.6</v>
      </c>
      <c r="C1087">
        <v>0.8</v>
      </c>
      <c r="D1087">
        <v>5.7</v>
      </c>
      <c r="E1087">
        <v>4.5999999999999996</v>
      </c>
      <c r="F1087">
        <v>3.3</v>
      </c>
      <c r="G1087">
        <v>3.12</v>
      </c>
      <c r="H1087" t="s">
        <v>10</v>
      </c>
      <c r="I1087">
        <v>18.3</v>
      </c>
      <c r="J1087" t="s">
        <v>15</v>
      </c>
      <c r="K1087">
        <v>3.7</v>
      </c>
      <c r="L1087" t="s">
        <v>52</v>
      </c>
      <c r="M1087" s="8">
        <v>0.52</v>
      </c>
    </row>
    <row r="1088" spans="1:13" x14ac:dyDescent="0.25">
      <c r="A1088">
        <v>1087</v>
      </c>
      <c r="B1088">
        <v>7.5</v>
      </c>
      <c r="C1088">
        <v>3.6</v>
      </c>
      <c r="D1088">
        <v>5.7</v>
      </c>
      <c r="E1088">
        <v>3.9</v>
      </c>
      <c r="F1088">
        <v>3.3</v>
      </c>
      <c r="G1088">
        <v>3.01</v>
      </c>
      <c r="H1088" t="s">
        <v>10</v>
      </c>
      <c r="I1088">
        <v>18.3</v>
      </c>
      <c r="J1088" t="s">
        <v>15</v>
      </c>
      <c r="K1088">
        <v>1.97</v>
      </c>
      <c r="L1088" t="s">
        <v>52</v>
      </c>
      <c r="M1088" s="8">
        <v>0.41</v>
      </c>
    </row>
    <row r="1089" spans="1:13" x14ac:dyDescent="0.25">
      <c r="A1089">
        <v>1088</v>
      </c>
      <c r="B1089">
        <v>8.4</v>
      </c>
      <c r="C1089">
        <v>2.4</v>
      </c>
      <c r="D1089">
        <v>8.8000000000000007</v>
      </c>
      <c r="E1089">
        <v>1.4</v>
      </c>
      <c r="F1089">
        <v>3</v>
      </c>
      <c r="G1089">
        <v>3.17</v>
      </c>
      <c r="H1089" t="s">
        <v>10</v>
      </c>
      <c r="I1089">
        <v>15.200000000000001</v>
      </c>
      <c r="J1089" t="s">
        <v>15</v>
      </c>
      <c r="K1089">
        <v>3.14</v>
      </c>
      <c r="L1089" t="s">
        <v>52</v>
      </c>
      <c r="M1089" s="8">
        <v>0.55000000000000004</v>
      </c>
    </row>
    <row r="1090" spans="1:13" x14ac:dyDescent="0.25">
      <c r="A1090">
        <v>1089</v>
      </c>
      <c r="B1090">
        <v>7.2</v>
      </c>
      <c r="C1090">
        <v>1.6</v>
      </c>
      <c r="D1090">
        <v>9.9</v>
      </c>
      <c r="E1090">
        <v>1.5</v>
      </c>
      <c r="F1090">
        <v>3.8</v>
      </c>
      <c r="G1090">
        <v>2.89</v>
      </c>
      <c r="H1090" t="s">
        <v>8</v>
      </c>
      <c r="I1090">
        <v>14.100000000000001</v>
      </c>
      <c r="J1090" t="s">
        <v>13</v>
      </c>
      <c r="K1090">
        <v>2.67</v>
      </c>
      <c r="L1090" t="s">
        <v>52</v>
      </c>
      <c r="M1090" s="8">
        <v>0.51</v>
      </c>
    </row>
    <row r="1091" spans="1:13" x14ac:dyDescent="0.25">
      <c r="A1091">
        <v>1090</v>
      </c>
      <c r="B1091">
        <v>7.8</v>
      </c>
      <c r="C1091">
        <v>1</v>
      </c>
      <c r="D1091">
        <v>9.6</v>
      </c>
      <c r="E1091">
        <v>1.5</v>
      </c>
      <c r="F1091">
        <v>4.0999999999999996</v>
      </c>
      <c r="G1091">
        <v>2.9</v>
      </c>
      <c r="H1091" t="s">
        <v>8</v>
      </c>
      <c r="I1091">
        <v>14.4</v>
      </c>
      <c r="J1091" t="s">
        <v>13</v>
      </c>
      <c r="K1091">
        <v>3.11</v>
      </c>
      <c r="L1091" t="s">
        <v>52</v>
      </c>
      <c r="M1091" s="8">
        <v>0.54</v>
      </c>
    </row>
    <row r="1092" spans="1:13" x14ac:dyDescent="0.25">
      <c r="A1092">
        <v>1091</v>
      </c>
      <c r="B1092">
        <v>9.5</v>
      </c>
      <c r="C1092">
        <v>0.4</v>
      </c>
      <c r="D1092">
        <v>8.3000000000000007</v>
      </c>
      <c r="E1092">
        <v>5.3</v>
      </c>
      <c r="F1092">
        <v>0.5</v>
      </c>
      <c r="G1092">
        <v>3.56</v>
      </c>
      <c r="H1092" t="s">
        <v>10</v>
      </c>
      <c r="I1092">
        <v>15.7</v>
      </c>
      <c r="J1092" t="s">
        <v>14</v>
      </c>
      <c r="K1092">
        <v>4.3600000000000003</v>
      </c>
      <c r="L1092" t="s">
        <v>52</v>
      </c>
      <c r="M1092" s="8">
        <v>0.61</v>
      </c>
    </row>
    <row r="1093" spans="1:13" x14ac:dyDescent="0.25">
      <c r="A1093">
        <v>1092</v>
      </c>
      <c r="B1093">
        <v>8.4</v>
      </c>
      <c r="C1093">
        <v>1.2</v>
      </c>
      <c r="D1093">
        <v>5.9</v>
      </c>
      <c r="E1093">
        <v>1.8</v>
      </c>
      <c r="F1093">
        <v>6.7</v>
      </c>
      <c r="G1093">
        <v>3.25</v>
      </c>
      <c r="H1093" t="s">
        <v>10</v>
      </c>
      <c r="I1093">
        <v>18.100000000000001</v>
      </c>
      <c r="J1093" t="s">
        <v>15</v>
      </c>
      <c r="K1093">
        <v>3.57</v>
      </c>
      <c r="L1093" t="s">
        <v>52</v>
      </c>
      <c r="M1093" s="8">
        <v>0.46</v>
      </c>
    </row>
    <row r="1094" spans="1:13" x14ac:dyDescent="0.25">
      <c r="A1094">
        <v>1093</v>
      </c>
      <c r="B1094">
        <v>5.5</v>
      </c>
      <c r="C1094">
        <v>0.6</v>
      </c>
      <c r="D1094">
        <v>5.5</v>
      </c>
      <c r="E1094">
        <v>2.5</v>
      </c>
      <c r="F1094">
        <v>9.9</v>
      </c>
      <c r="G1094">
        <v>2.74</v>
      </c>
      <c r="H1094" t="s">
        <v>10</v>
      </c>
      <c r="I1094">
        <v>18.5</v>
      </c>
      <c r="J1094" t="s">
        <v>13</v>
      </c>
      <c r="K1094">
        <v>4.05</v>
      </c>
      <c r="L1094" t="s">
        <v>52</v>
      </c>
      <c r="M1094" s="8">
        <v>0.3</v>
      </c>
    </row>
    <row r="1095" spans="1:13" x14ac:dyDescent="0.25">
      <c r="A1095">
        <v>1094</v>
      </c>
      <c r="B1095">
        <v>5.7</v>
      </c>
      <c r="C1095">
        <v>2.6</v>
      </c>
      <c r="D1095">
        <v>6</v>
      </c>
      <c r="E1095">
        <v>0.6</v>
      </c>
      <c r="F1095">
        <v>9.1</v>
      </c>
      <c r="G1095">
        <v>2.92</v>
      </c>
      <c r="H1095" t="s">
        <v>9</v>
      </c>
      <c r="I1095">
        <v>18</v>
      </c>
      <c r="J1095" t="s">
        <v>13</v>
      </c>
      <c r="K1095">
        <v>3.72</v>
      </c>
      <c r="L1095" t="s">
        <v>52</v>
      </c>
      <c r="M1095" s="8">
        <v>0.32</v>
      </c>
    </row>
    <row r="1096" spans="1:13" x14ac:dyDescent="0.25">
      <c r="A1096">
        <v>1095</v>
      </c>
      <c r="B1096">
        <v>5.8</v>
      </c>
      <c r="C1096">
        <v>3.7</v>
      </c>
      <c r="D1096">
        <v>9.1</v>
      </c>
      <c r="E1096">
        <v>1.9</v>
      </c>
      <c r="F1096">
        <v>3.5</v>
      </c>
      <c r="G1096">
        <v>2.97</v>
      </c>
      <c r="H1096" t="s">
        <v>9</v>
      </c>
      <c r="I1096">
        <v>14.9</v>
      </c>
      <c r="J1096" t="s">
        <v>13</v>
      </c>
      <c r="K1096">
        <v>1.6</v>
      </c>
      <c r="L1096" t="s">
        <v>52</v>
      </c>
      <c r="M1096" s="8">
        <v>0.39</v>
      </c>
    </row>
    <row r="1097" spans="1:13" x14ac:dyDescent="0.25">
      <c r="A1097">
        <v>1096</v>
      </c>
      <c r="B1097">
        <v>8.4</v>
      </c>
      <c r="C1097">
        <v>2.7</v>
      </c>
      <c r="D1097">
        <v>8.1</v>
      </c>
      <c r="E1097">
        <v>1.3</v>
      </c>
      <c r="F1097">
        <v>3.5</v>
      </c>
      <c r="G1097">
        <v>3.68</v>
      </c>
      <c r="H1097" t="s">
        <v>10</v>
      </c>
      <c r="I1097">
        <v>15.900000000000002</v>
      </c>
      <c r="J1097" t="s">
        <v>14</v>
      </c>
      <c r="K1097">
        <v>3.09</v>
      </c>
      <c r="L1097" t="s">
        <v>52</v>
      </c>
      <c r="M1097" s="8">
        <v>0.53</v>
      </c>
    </row>
    <row r="1098" spans="1:13" x14ac:dyDescent="0.25">
      <c r="A1098">
        <v>1097</v>
      </c>
      <c r="B1098">
        <v>5.2</v>
      </c>
      <c r="C1098">
        <v>1.8</v>
      </c>
      <c r="D1098">
        <v>9.5</v>
      </c>
      <c r="E1098">
        <v>3.4</v>
      </c>
      <c r="F1098">
        <v>4.0999999999999996</v>
      </c>
      <c r="G1098">
        <v>2.88</v>
      </c>
      <c r="H1098" t="s">
        <v>9</v>
      </c>
      <c r="I1098">
        <v>14.5</v>
      </c>
      <c r="J1098" t="s">
        <v>13</v>
      </c>
      <c r="K1098">
        <v>1.42</v>
      </c>
      <c r="L1098" t="s">
        <v>51</v>
      </c>
      <c r="M1098" s="8">
        <v>0.36</v>
      </c>
    </row>
    <row r="1099" spans="1:13" x14ac:dyDescent="0.25">
      <c r="A1099">
        <v>1098</v>
      </c>
      <c r="B1099">
        <v>8.4</v>
      </c>
      <c r="C1099">
        <v>3.9</v>
      </c>
      <c r="D1099">
        <v>9.9</v>
      </c>
      <c r="E1099">
        <v>1.2</v>
      </c>
      <c r="F1099">
        <v>0.6</v>
      </c>
      <c r="G1099">
        <v>3.08</v>
      </c>
      <c r="H1099" t="s">
        <v>10</v>
      </c>
      <c r="I1099">
        <v>14.1</v>
      </c>
      <c r="J1099" t="s">
        <v>15</v>
      </c>
      <c r="K1099">
        <v>3.55</v>
      </c>
      <c r="L1099" t="s">
        <v>52</v>
      </c>
      <c r="M1099" s="8">
        <v>0.6</v>
      </c>
    </row>
    <row r="1100" spans="1:13" x14ac:dyDescent="0.25">
      <c r="A1100">
        <v>1099</v>
      </c>
      <c r="B1100">
        <v>6.2</v>
      </c>
      <c r="C1100">
        <v>3.2</v>
      </c>
      <c r="D1100">
        <v>5.5</v>
      </c>
      <c r="E1100">
        <v>4.7</v>
      </c>
      <c r="F1100">
        <v>4.4000000000000004</v>
      </c>
      <c r="G1100">
        <v>2.89</v>
      </c>
      <c r="H1100" t="s">
        <v>10</v>
      </c>
      <c r="I1100">
        <v>18.5</v>
      </c>
      <c r="J1100" t="s">
        <v>13</v>
      </c>
      <c r="K1100">
        <v>1.23</v>
      </c>
      <c r="L1100" t="s">
        <v>51</v>
      </c>
      <c r="M1100" s="8">
        <v>0.34</v>
      </c>
    </row>
    <row r="1101" spans="1:13" x14ac:dyDescent="0.25">
      <c r="A1101">
        <v>1100</v>
      </c>
      <c r="B1101">
        <v>8.1999999999999993</v>
      </c>
      <c r="C1101">
        <v>1.7</v>
      </c>
      <c r="D1101">
        <v>7.2</v>
      </c>
      <c r="E1101">
        <v>1.9</v>
      </c>
      <c r="F1101">
        <v>5</v>
      </c>
      <c r="G1101">
        <v>3.38</v>
      </c>
      <c r="H1101" t="s">
        <v>10</v>
      </c>
      <c r="I1101">
        <v>16.799999999999997</v>
      </c>
      <c r="J1101" t="s">
        <v>15</v>
      </c>
      <c r="K1101">
        <v>3.06</v>
      </c>
      <c r="L1101" t="s">
        <v>52</v>
      </c>
      <c r="M1101" s="8">
        <v>0.49</v>
      </c>
    </row>
    <row r="1102" spans="1:13" x14ac:dyDescent="0.25">
      <c r="A1102">
        <v>1101</v>
      </c>
      <c r="B1102">
        <v>8.8000000000000007</v>
      </c>
      <c r="C1102">
        <v>3.7</v>
      </c>
      <c r="D1102">
        <v>9.6999999999999993</v>
      </c>
      <c r="E1102">
        <v>0.3</v>
      </c>
      <c r="F1102">
        <v>1.5</v>
      </c>
      <c r="G1102">
        <v>3.39</v>
      </c>
      <c r="H1102" t="s">
        <v>10</v>
      </c>
      <c r="I1102">
        <v>14.3</v>
      </c>
      <c r="J1102" t="s">
        <v>15</v>
      </c>
      <c r="K1102">
        <v>3.76</v>
      </c>
      <c r="L1102" t="s">
        <v>52</v>
      </c>
      <c r="M1102" s="8">
        <v>0.62</v>
      </c>
    </row>
    <row r="1103" spans="1:13" x14ac:dyDescent="0.25">
      <c r="A1103">
        <v>1102</v>
      </c>
      <c r="B1103">
        <v>6.3</v>
      </c>
      <c r="C1103">
        <v>0.3</v>
      </c>
      <c r="D1103">
        <v>6.3</v>
      </c>
      <c r="E1103">
        <v>5.5</v>
      </c>
      <c r="F1103">
        <v>5.6</v>
      </c>
      <c r="G1103">
        <v>3.06</v>
      </c>
      <c r="H1103" t="s">
        <v>8</v>
      </c>
      <c r="I1103">
        <v>17.7</v>
      </c>
      <c r="J1103" t="s">
        <v>15</v>
      </c>
      <c r="K1103">
        <v>2.77</v>
      </c>
      <c r="L1103" t="s">
        <v>52</v>
      </c>
      <c r="M1103" s="8">
        <v>0.36</v>
      </c>
    </row>
    <row r="1104" spans="1:13" x14ac:dyDescent="0.25">
      <c r="A1104">
        <v>1103</v>
      </c>
      <c r="B1104">
        <v>8.1999999999999993</v>
      </c>
      <c r="C1104">
        <v>2.9</v>
      </c>
      <c r="D1104">
        <v>6.3</v>
      </c>
      <c r="E1104">
        <v>4.3</v>
      </c>
      <c r="F1104">
        <v>2.2999999999999998</v>
      </c>
      <c r="G1104">
        <v>3.21</v>
      </c>
      <c r="H1104" t="s">
        <v>10</v>
      </c>
      <c r="I1104">
        <v>17.7</v>
      </c>
      <c r="J1104" t="s">
        <v>15</v>
      </c>
      <c r="K1104">
        <v>2.65</v>
      </c>
      <c r="L1104" t="s">
        <v>52</v>
      </c>
      <c r="M1104" s="8">
        <v>0.46</v>
      </c>
    </row>
    <row r="1105" spans="1:13" x14ac:dyDescent="0.25">
      <c r="A1105">
        <v>1104</v>
      </c>
      <c r="B1105">
        <v>8.1</v>
      </c>
      <c r="C1105">
        <v>0.6</v>
      </c>
      <c r="D1105">
        <v>9.1</v>
      </c>
      <c r="E1105">
        <v>1.4</v>
      </c>
      <c r="F1105">
        <v>4.8</v>
      </c>
      <c r="G1105">
        <v>3.15</v>
      </c>
      <c r="H1105" t="s">
        <v>10</v>
      </c>
      <c r="I1105">
        <v>14.899999999999999</v>
      </c>
      <c r="J1105" t="s">
        <v>15</v>
      </c>
      <c r="K1105">
        <v>3.44</v>
      </c>
      <c r="L1105" t="s">
        <v>52</v>
      </c>
      <c r="M1105" s="8">
        <v>0.54</v>
      </c>
    </row>
    <row r="1106" spans="1:13" x14ac:dyDescent="0.25">
      <c r="A1106">
        <v>1105</v>
      </c>
      <c r="B1106">
        <v>8.3000000000000007</v>
      </c>
      <c r="C1106">
        <v>1.6</v>
      </c>
      <c r="D1106">
        <v>8</v>
      </c>
      <c r="E1106">
        <v>0.6</v>
      </c>
      <c r="F1106">
        <v>5.5</v>
      </c>
      <c r="G1106">
        <v>3.4</v>
      </c>
      <c r="H1106" t="s">
        <v>10</v>
      </c>
      <c r="I1106">
        <v>16</v>
      </c>
      <c r="J1106" t="s">
        <v>15</v>
      </c>
      <c r="K1106">
        <v>3.56</v>
      </c>
      <c r="L1106" t="s">
        <v>52</v>
      </c>
      <c r="M1106" s="8">
        <v>0.52</v>
      </c>
    </row>
    <row r="1107" spans="1:13" x14ac:dyDescent="0.25">
      <c r="A1107">
        <v>1106</v>
      </c>
      <c r="B1107">
        <v>10</v>
      </c>
      <c r="C1107">
        <v>0.8</v>
      </c>
      <c r="D1107">
        <v>6.3</v>
      </c>
      <c r="E1107">
        <v>4</v>
      </c>
      <c r="F1107">
        <v>2.9</v>
      </c>
      <c r="G1107">
        <v>3.39</v>
      </c>
      <c r="H1107" t="s">
        <v>10</v>
      </c>
      <c r="I1107">
        <v>17.7</v>
      </c>
      <c r="J1107" t="s">
        <v>15</v>
      </c>
      <c r="K1107">
        <v>3.95</v>
      </c>
      <c r="L1107" t="s">
        <v>52</v>
      </c>
      <c r="M1107" s="8">
        <v>0.56000000000000005</v>
      </c>
    </row>
    <row r="1108" spans="1:13" x14ac:dyDescent="0.25">
      <c r="A1108">
        <v>1107</v>
      </c>
      <c r="B1108">
        <v>9.8000000000000007</v>
      </c>
      <c r="C1108">
        <v>3.7</v>
      </c>
      <c r="D1108">
        <v>7.5</v>
      </c>
      <c r="E1108">
        <v>2.4</v>
      </c>
      <c r="F1108">
        <v>0.6</v>
      </c>
      <c r="G1108">
        <v>3.35</v>
      </c>
      <c r="H1108" t="s">
        <v>10</v>
      </c>
      <c r="I1108">
        <v>16.5</v>
      </c>
      <c r="J1108" t="s">
        <v>15</v>
      </c>
      <c r="K1108">
        <v>3.99</v>
      </c>
      <c r="L1108" t="s">
        <v>52</v>
      </c>
      <c r="M1108" s="8">
        <v>0.59</v>
      </c>
    </row>
    <row r="1109" spans="1:13" x14ac:dyDescent="0.25">
      <c r="A1109">
        <v>1108</v>
      </c>
      <c r="B1109">
        <v>6.4</v>
      </c>
      <c r="C1109">
        <v>3.3</v>
      </c>
      <c r="D1109">
        <v>6.9</v>
      </c>
      <c r="E1109">
        <v>0.5</v>
      </c>
      <c r="F1109">
        <v>6.9</v>
      </c>
      <c r="G1109">
        <v>2.9</v>
      </c>
      <c r="H1109" t="s">
        <v>8</v>
      </c>
      <c r="I1109">
        <v>17.100000000000001</v>
      </c>
      <c r="J1109" t="s">
        <v>13</v>
      </c>
      <c r="K1109">
        <v>2.98</v>
      </c>
      <c r="L1109" t="s">
        <v>52</v>
      </c>
      <c r="M1109" s="8">
        <v>0.37</v>
      </c>
    </row>
    <row r="1110" spans="1:13" x14ac:dyDescent="0.25">
      <c r="A1110">
        <v>1109</v>
      </c>
      <c r="B1110">
        <v>6.7</v>
      </c>
      <c r="C1110">
        <v>3.9</v>
      </c>
      <c r="D1110">
        <v>8.1</v>
      </c>
      <c r="E1110">
        <v>2.2000000000000002</v>
      </c>
      <c r="F1110">
        <v>3.1</v>
      </c>
      <c r="G1110">
        <v>2.89</v>
      </c>
      <c r="H1110" t="s">
        <v>8</v>
      </c>
      <c r="I1110">
        <v>15.9</v>
      </c>
      <c r="J1110" t="s">
        <v>13</v>
      </c>
      <c r="K1110">
        <v>1.94</v>
      </c>
      <c r="L1110" t="s">
        <v>52</v>
      </c>
      <c r="M1110" s="8">
        <v>0.42</v>
      </c>
    </row>
    <row r="1111" spans="1:13" x14ac:dyDescent="0.25">
      <c r="A1111">
        <v>1110</v>
      </c>
      <c r="B1111">
        <v>5.4</v>
      </c>
      <c r="C1111">
        <v>0.2</v>
      </c>
      <c r="D1111">
        <v>5.6</v>
      </c>
      <c r="E1111">
        <v>3.5</v>
      </c>
      <c r="F1111">
        <v>9.3000000000000007</v>
      </c>
      <c r="G1111">
        <v>2.98</v>
      </c>
      <c r="H1111" t="s">
        <v>10</v>
      </c>
      <c r="I1111">
        <v>18.400000000000002</v>
      </c>
      <c r="J1111" t="s">
        <v>13</v>
      </c>
      <c r="K1111">
        <v>3.8</v>
      </c>
      <c r="L1111" t="s">
        <v>52</v>
      </c>
      <c r="M1111" s="8">
        <v>0.28999999999999998</v>
      </c>
    </row>
    <row r="1112" spans="1:13" x14ac:dyDescent="0.25">
      <c r="A1112">
        <v>1111</v>
      </c>
      <c r="B1112">
        <v>9.6</v>
      </c>
      <c r="C1112">
        <v>2</v>
      </c>
      <c r="D1112">
        <v>9.1999999999999993</v>
      </c>
      <c r="E1112">
        <v>1.4</v>
      </c>
      <c r="F1112">
        <v>1.8</v>
      </c>
      <c r="G1112">
        <v>3.64</v>
      </c>
      <c r="H1112" t="s">
        <v>10</v>
      </c>
      <c r="I1112">
        <v>14.8</v>
      </c>
      <c r="J1112" t="s">
        <v>14</v>
      </c>
      <c r="K1112">
        <v>3.94</v>
      </c>
      <c r="L1112" t="s">
        <v>52</v>
      </c>
      <c r="M1112" s="8">
        <v>0.65</v>
      </c>
    </row>
    <row r="1113" spans="1:13" x14ac:dyDescent="0.25">
      <c r="A1113">
        <v>1112</v>
      </c>
      <c r="B1113">
        <v>5.9</v>
      </c>
      <c r="C1113">
        <v>1.4</v>
      </c>
      <c r="D1113">
        <v>8.1999999999999993</v>
      </c>
      <c r="E1113">
        <v>0.4</v>
      </c>
      <c r="F1113">
        <v>8.1</v>
      </c>
      <c r="G1113">
        <v>3.07</v>
      </c>
      <c r="H1113" t="s">
        <v>9</v>
      </c>
      <c r="I1113">
        <v>15.8</v>
      </c>
      <c r="J1113" t="s">
        <v>15</v>
      </c>
      <c r="K1113">
        <v>3.66</v>
      </c>
      <c r="L1113" t="s">
        <v>52</v>
      </c>
      <c r="M1113" s="8">
        <v>0.37</v>
      </c>
    </row>
    <row r="1114" spans="1:13" x14ac:dyDescent="0.25">
      <c r="A1114">
        <v>1113</v>
      </c>
      <c r="B1114">
        <v>6.8</v>
      </c>
      <c r="C1114">
        <v>2.1</v>
      </c>
      <c r="D1114">
        <v>10</v>
      </c>
      <c r="E1114">
        <v>2.4</v>
      </c>
      <c r="F1114">
        <v>2.7</v>
      </c>
      <c r="G1114">
        <v>2.96</v>
      </c>
      <c r="H1114" t="s">
        <v>8</v>
      </c>
      <c r="I1114">
        <v>14</v>
      </c>
      <c r="J1114" t="s">
        <v>13</v>
      </c>
      <c r="K1114">
        <v>2.21</v>
      </c>
      <c r="L1114" t="s">
        <v>52</v>
      </c>
      <c r="M1114" s="8">
        <v>0.49</v>
      </c>
    </row>
    <row r="1115" spans="1:13" x14ac:dyDescent="0.25">
      <c r="A1115">
        <v>1114</v>
      </c>
      <c r="B1115">
        <v>9</v>
      </c>
      <c r="C1115">
        <v>2.4</v>
      </c>
      <c r="D1115">
        <v>9.4</v>
      </c>
      <c r="E1115">
        <v>1.3</v>
      </c>
      <c r="F1115">
        <v>1.9</v>
      </c>
      <c r="G1115">
        <v>3.61</v>
      </c>
      <c r="H1115" t="s">
        <v>10</v>
      </c>
      <c r="I1115">
        <v>14.600000000000001</v>
      </c>
      <c r="J1115" t="s">
        <v>14</v>
      </c>
      <c r="K1115">
        <v>3.59</v>
      </c>
      <c r="L1115" t="s">
        <v>52</v>
      </c>
      <c r="M1115" s="8">
        <v>0.62</v>
      </c>
    </row>
    <row r="1116" spans="1:13" x14ac:dyDescent="0.25">
      <c r="A1116">
        <v>1115</v>
      </c>
      <c r="B1116">
        <v>8</v>
      </c>
      <c r="C1116">
        <v>2.5</v>
      </c>
      <c r="D1116">
        <v>7.1</v>
      </c>
      <c r="E1116">
        <v>0.9</v>
      </c>
      <c r="F1116">
        <v>5.5</v>
      </c>
      <c r="G1116">
        <v>3.13</v>
      </c>
      <c r="H1116" t="s">
        <v>8</v>
      </c>
      <c r="I1116">
        <v>16.899999999999999</v>
      </c>
      <c r="J1116" t="s">
        <v>15</v>
      </c>
      <c r="K1116">
        <v>3.16</v>
      </c>
      <c r="L1116" t="s">
        <v>52</v>
      </c>
      <c r="M1116" s="8">
        <v>0.47</v>
      </c>
    </row>
    <row r="1117" spans="1:13" x14ac:dyDescent="0.25">
      <c r="A1117">
        <v>1116</v>
      </c>
      <c r="B1117">
        <v>6.1</v>
      </c>
      <c r="C1117">
        <v>2.9</v>
      </c>
      <c r="D1117">
        <v>6.6</v>
      </c>
      <c r="E1117">
        <v>3</v>
      </c>
      <c r="F1117">
        <v>5.4</v>
      </c>
      <c r="G1117">
        <v>3.01</v>
      </c>
      <c r="H1117" t="s">
        <v>8</v>
      </c>
      <c r="I1117">
        <v>17.399999999999999</v>
      </c>
      <c r="J1117" t="s">
        <v>15</v>
      </c>
      <c r="K1117">
        <v>1.64</v>
      </c>
      <c r="L1117" t="s">
        <v>52</v>
      </c>
      <c r="M1117" s="8">
        <v>0.35</v>
      </c>
    </row>
    <row r="1118" spans="1:13" x14ac:dyDescent="0.25">
      <c r="A1118">
        <v>1117</v>
      </c>
      <c r="B1118">
        <v>5.8</v>
      </c>
      <c r="C1118">
        <v>3.8</v>
      </c>
      <c r="D1118">
        <v>9.3000000000000007</v>
      </c>
      <c r="E1118">
        <v>4.4000000000000004</v>
      </c>
      <c r="F1118">
        <v>0.7</v>
      </c>
      <c r="G1118">
        <v>3.16</v>
      </c>
      <c r="H1118" t="s">
        <v>9</v>
      </c>
      <c r="I1118">
        <v>14.7</v>
      </c>
      <c r="J1118" t="s">
        <v>15</v>
      </c>
      <c r="K1118">
        <v>2.15</v>
      </c>
      <c r="L1118" t="s">
        <v>52</v>
      </c>
      <c r="M1118" s="8">
        <v>0.39</v>
      </c>
    </row>
    <row r="1119" spans="1:13" x14ac:dyDescent="0.25">
      <c r="A1119">
        <v>1118</v>
      </c>
      <c r="B1119">
        <v>5.7</v>
      </c>
      <c r="C1119">
        <v>0</v>
      </c>
      <c r="D1119">
        <v>5.0999999999999996</v>
      </c>
      <c r="E1119">
        <v>3.5</v>
      </c>
      <c r="F1119">
        <v>9.6999999999999993</v>
      </c>
      <c r="G1119">
        <v>2.75</v>
      </c>
      <c r="H1119" t="s">
        <v>10</v>
      </c>
      <c r="I1119">
        <v>18.899999999999999</v>
      </c>
      <c r="J1119" t="s">
        <v>13</v>
      </c>
      <c r="K1119">
        <v>4.0599999999999996</v>
      </c>
      <c r="L1119" t="s">
        <v>52</v>
      </c>
      <c r="M1119" s="8">
        <v>0.3</v>
      </c>
    </row>
    <row r="1120" spans="1:13" x14ac:dyDescent="0.25">
      <c r="A1120">
        <v>1119</v>
      </c>
      <c r="B1120">
        <v>7.3</v>
      </c>
      <c r="C1120">
        <v>2.1</v>
      </c>
      <c r="D1120">
        <v>5</v>
      </c>
      <c r="E1120">
        <v>2.5</v>
      </c>
      <c r="F1120">
        <v>7.1</v>
      </c>
      <c r="G1120">
        <v>3</v>
      </c>
      <c r="H1120" t="s">
        <v>10</v>
      </c>
      <c r="I1120">
        <v>19</v>
      </c>
      <c r="J1120" t="s">
        <v>15</v>
      </c>
      <c r="K1120">
        <v>2.83</v>
      </c>
      <c r="L1120" t="s">
        <v>52</v>
      </c>
      <c r="M1120" s="8">
        <v>0.38</v>
      </c>
    </row>
    <row r="1121" spans="1:13" x14ac:dyDescent="0.25">
      <c r="A1121">
        <v>1120</v>
      </c>
      <c r="B1121">
        <v>8.6999999999999993</v>
      </c>
      <c r="C1121">
        <v>0.9</v>
      </c>
      <c r="D1121">
        <v>9.1</v>
      </c>
      <c r="E1121">
        <v>3.1</v>
      </c>
      <c r="F1121">
        <v>2.2000000000000002</v>
      </c>
      <c r="G1121">
        <v>3.65</v>
      </c>
      <c r="H1121" t="s">
        <v>10</v>
      </c>
      <c r="I1121">
        <v>14.899999999999999</v>
      </c>
      <c r="J1121" t="s">
        <v>14</v>
      </c>
      <c r="K1121">
        <v>3.44</v>
      </c>
      <c r="L1121" t="s">
        <v>52</v>
      </c>
      <c r="M1121" s="8">
        <v>0.57999999999999996</v>
      </c>
    </row>
    <row r="1122" spans="1:13" x14ac:dyDescent="0.25">
      <c r="A1122">
        <v>1121</v>
      </c>
      <c r="B1122">
        <v>6.1</v>
      </c>
      <c r="C1122">
        <v>0.9</v>
      </c>
      <c r="D1122">
        <v>8.1</v>
      </c>
      <c r="E1122">
        <v>5</v>
      </c>
      <c r="F1122">
        <v>3.9</v>
      </c>
      <c r="G1122">
        <v>2.61</v>
      </c>
      <c r="H1122" t="s">
        <v>8</v>
      </c>
      <c r="I1122">
        <v>15.9</v>
      </c>
      <c r="J1122" t="s">
        <v>13</v>
      </c>
      <c r="K1122">
        <v>2.2400000000000002</v>
      </c>
      <c r="L1122" t="s">
        <v>52</v>
      </c>
      <c r="M1122" s="8">
        <v>0.38</v>
      </c>
    </row>
    <row r="1123" spans="1:13" x14ac:dyDescent="0.25">
      <c r="A1123">
        <v>1122</v>
      </c>
      <c r="B1123">
        <v>9.3000000000000007</v>
      </c>
      <c r="C1123">
        <v>2.7</v>
      </c>
      <c r="D1123">
        <v>7.2</v>
      </c>
      <c r="E1123">
        <v>2.2999999999999998</v>
      </c>
      <c r="F1123">
        <v>2.5</v>
      </c>
      <c r="G1123">
        <v>3.29</v>
      </c>
      <c r="H1123" t="s">
        <v>10</v>
      </c>
      <c r="I1123">
        <v>16.8</v>
      </c>
      <c r="J1123" t="s">
        <v>15</v>
      </c>
      <c r="K1123">
        <v>3.4</v>
      </c>
      <c r="L1123" t="s">
        <v>52</v>
      </c>
      <c r="M1123" s="8">
        <v>0.55000000000000004</v>
      </c>
    </row>
    <row r="1124" spans="1:13" x14ac:dyDescent="0.25">
      <c r="A1124">
        <v>1123</v>
      </c>
      <c r="B1124">
        <v>6</v>
      </c>
      <c r="C1124">
        <v>2.5</v>
      </c>
      <c r="D1124">
        <v>6.8</v>
      </c>
      <c r="E1124">
        <v>6</v>
      </c>
      <c r="F1124">
        <v>2.7</v>
      </c>
      <c r="G1124">
        <v>2.5</v>
      </c>
      <c r="H1124" t="s">
        <v>8</v>
      </c>
      <c r="I1124">
        <v>17.2</v>
      </c>
      <c r="J1124" t="s">
        <v>13</v>
      </c>
      <c r="K1124">
        <v>1.96</v>
      </c>
      <c r="L1124" t="s">
        <v>52</v>
      </c>
      <c r="M1124" s="8">
        <v>0.35</v>
      </c>
    </row>
    <row r="1125" spans="1:13" x14ac:dyDescent="0.25">
      <c r="A1125">
        <v>1124</v>
      </c>
      <c r="B1125">
        <v>7.8</v>
      </c>
      <c r="C1125">
        <v>3.7</v>
      </c>
      <c r="D1125">
        <v>9</v>
      </c>
      <c r="E1125">
        <v>1.6</v>
      </c>
      <c r="F1125">
        <v>1.9</v>
      </c>
      <c r="G1125">
        <v>2.6</v>
      </c>
      <c r="H1125" t="s">
        <v>8</v>
      </c>
      <c r="I1125">
        <v>15</v>
      </c>
      <c r="J1125" t="s">
        <v>13</v>
      </c>
      <c r="K1125">
        <v>2.85</v>
      </c>
      <c r="L1125" t="s">
        <v>52</v>
      </c>
      <c r="M1125" s="8">
        <v>0.52</v>
      </c>
    </row>
    <row r="1126" spans="1:13" x14ac:dyDescent="0.25">
      <c r="A1126">
        <v>1125</v>
      </c>
      <c r="B1126">
        <v>8.6</v>
      </c>
      <c r="C1126">
        <v>2.2999999999999998</v>
      </c>
      <c r="D1126">
        <v>7.5</v>
      </c>
      <c r="E1126">
        <v>1.1000000000000001</v>
      </c>
      <c r="F1126">
        <v>4.5</v>
      </c>
      <c r="G1126">
        <v>2.97</v>
      </c>
      <c r="H1126" t="s">
        <v>10</v>
      </c>
      <c r="I1126">
        <v>16.5</v>
      </c>
      <c r="J1126" t="s">
        <v>13</v>
      </c>
      <c r="K1126">
        <v>3.3</v>
      </c>
      <c r="L1126" t="s">
        <v>52</v>
      </c>
      <c r="M1126" s="8">
        <v>0.52</v>
      </c>
    </row>
    <row r="1127" spans="1:13" x14ac:dyDescent="0.25">
      <c r="A1127">
        <v>1126</v>
      </c>
      <c r="B1127">
        <v>9.6</v>
      </c>
      <c r="C1127">
        <v>1.3</v>
      </c>
      <c r="D1127">
        <v>9.8000000000000007</v>
      </c>
      <c r="E1127">
        <v>1.8</v>
      </c>
      <c r="F1127">
        <v>1.5</v>
      </c>
      <c r="G1127">
        <v>3.39</v>
      </c>
      <c r="H1127" t="s">
        <v>10</v>
      </c>
      <c r="I1127">
        <v>14.200000000000001</v>
      </c>
      <c r="J1127" t="s">
        <v>15</v>
      </c>
      <c r="K1127">
        <v>4.04</v>
      </c>
      <c r="L1127" t="s">
        <v>52</v>
      </c>
      <c r="M1127" s="8">
        <v>0.68</v>
      </c>
    </row>
    <row r="1128" spans="1:13" x14ac:dyDescent="0.25">
      <c r="A1128">
        <v>1127</v>
      </c>
      <c r="B1128">
        <v>8.1999999999999993</v>
      </c>
      <c r="C1128">
        <v>2.2000000000000002</v>
      </c>
      <c r="D1128">
        <v>5.6</v>
      </c>
      <c r="E1128">
        <v>2.2999999999999998</v>
      </c>
      <c r="F1128">
        <v>5.7</v>
      </c>
      <c r="G1128">
        <v>3.28</v>
      </c>
      <c r="H1128" t="s">
        <v>10</v>
      </c>
      <c r="I1128">
        <v>18.399999999999999</v>
      </c>
      <c r="J1128" t="s">
        <v>15</v>
      </c>
      <c r="K1128">
        <v>2.9</v>
      </c>
      <c r="L1128" t="s">
        <v>52</v>
      </c>
      <c r="M1128" s="8">
        <v>0.45</v>
      </c>
    </row>
    <row r="1129" spans="1:13" x14ac:dyDescent="0.25">
      <c r="A1129">
        <v>1128</v>
      </c>
      <c r="B1129">
        <v>7.2</v>
      </c>
      <c r="C1129">
        <v>3.1</v>
      </c>
      <c r="D1129">
        <v>6.1</v>
      </c>
      <c r="E1129">
        <v>1</v>
      </c>
      <c r="F1129">
        <v>6.6</v>
      </c>
      <c r="G1129">
        <v>2.92</v>
      </c>
      <c r="H1129" t="s">
        <v>8</v>
      </c>
      <c r="I1129">
        <v>17.899999999999999</v>
      </c>
      <c r="J1129" t="s">
        <v>13</v>
      </c>
      <c r="K1129">
        <v>2.94</v>
      </c>
      <c r="L1129" t="s">
        <v>52</v>
      </c>
      <c r="M1129" s="8">
        <v>0.4</v>
      </c>
    </row>
    <row r="1130" spans="1:13" x14ac:dyDescent="0.25">
      <c r="A1130">
        <v>1129</v>
      </c>
      <c r="B1130">
        <v>7</v>
      </c>
      <c r="C1130">
        <v>3.7</v>
      </c>
      <c r="D1130">
        <v>8.6</v>
      </c>
      <c r="E1130">
        <v>2</v>
      </c>
      <c r="F1130">
        <v>2.7</v>
      </c>
      <c r="G1130">
        <v>2.88</v>
      </c>
      <c r="H1130" t="s">
        <v>8</v>
      </c>
      <c r="I1130">
        <v>15.399999999999999</v>
      </c>
      <c r="J1130" t="s">
        <v>13</v>
      </c>
      <c r="K1130">
        <v>2.21</v>
      </c>
      <c r="L1130" t="s">
        <v>52</v>
      </c>
      <c r="M1130" s="8">
        <v>0.45</v>
      </c>
    </row>
    <row r="1131" spans="1:13" x14ac:dyDescent="0.25">
      <c r="A1131">
        <v>1130</v>
      </c>
      <c r="B1131">
        <v>9.9</v>
      </c>
      <c r="C1131">
        <v>2.7</v>
      </c>
      <c r="D1131">
        <v>6.4</v>
      </c>
      <c r="E1131">
        <v>2.9</v>
      </c>
      <c r="F1131">
        <v>2.1</v>
      </c>
      <c r="G1131">
        <v>3.49</v>
      </c>
      <c r="H1131" t="s">
        <v>10</v>
      </c>
      <c r="I1131">
        <v>17.600000000000001</v>
      </c>
      <c r="J1131" t="s">
        <v>15</v>
      </c>
      <c r="K1131">
        <v>3.68</v>
      </c>
      <c r="L1131" t="s">
        <v>52</v>
      </c>
      <c r="M1131" s="8">
        <v>0.56000000000000005</v>
      </c>
    </row>
    <row r="1132" spans="1:13" x14ac:dyDescent="0.25">
      <c r="A1132">
        <v>1131</v>
      </c>
      <c r="B1132">
        <v>5.5</v>
      </c>
      <c r="C1132">
        <v>3.9</v>
      </c>
      <c r="D1132">
        <v>5.9</v>
      </c>
      <c r="E1132">
        <v>3.9</v>
      </c>
      <c r="F1132">
        <v>4.8</v>
      </c>
      <c r="G1132">
        <v>2.99</v>
      </c>
      <c r="H1132" t="s">
        <v>10</v>
      </c>
      <c r="I1132">
        <v>18.100000000000001</v>
      </c>
      <c r="J1132" t="s">
        <v>13</v>
      </c>
      <c r="K1132">
        <v>0.78</v>
      </c>
      <c r="L1132" t="s">
        <v>51</v>
      </c>
      <c r="M1132" s="8">
        <v>0.3</v>
      </c>
    </row>
    <row r="1133" spans="1:13" x14ac:dyDescent="0.25">
      <c r="A1133">
        <v>1132</v>
      </c>
      <c r="B1133">
        <v>8.9</v>
      </c>
      <c r="C1133">
        <v>2.7</v>
      </c>
      <c r="D1133">
        <v>8.1</v>
      </c>
      <c r="E1133">
        <v>3.8</v>
      </c>
      <c r="F1133">
        <v>0.5</v>
      </c>
      <c r="G1133">
        <v>3.14</v>
      </c>
      <c r="H1133" t="s">
        <v>10</v>
      </c>
      <c r="I1133">
        <v>15.900000000000002</v>
      </c>
      <c r="J1133" t="s">
        <v>15</v>
      </c>
      <c r="K1133">
        <v>3.56</v>
      </c>
      <c r="L1133" t="s">
        <v>52</v>
      </c>
      <c r="M1133" s="8">
        <v>0.56000000000000005</v>
      </c>
    </row>
    <row r="1134" spans="1:13" x14ac:dyDescent="0.25">
      <c r="A1134">
        <v>1133</v>
      </c>
      <c r="B1134">
        <v>5.4</v>
      </c>
      <c r="C1134">
        <v>1.3</v>
      </c>
      <c r="D1134">
        <v>6.2</v>
      </c>
      <c r="E1134">
        <v>5.9</v>
      </c>
      <c r="F1134">
        <v>5.2</v>
      </c>
      <c r="G1134">
        <v>3.1</v>
      </c>
      <c r="H1134" t="s">
        <v>9</v>
      </c>
      <c r="I1134">
        <v>17.8</v>
      </c>
      <c r="J1134" t="s">
        <v>15</v>
      </c>
      <c r="K1134">
        <v>2.12</v>
      </c>
      <c r="L1134" t="s">
        <v>52</v>
      </c>
      <c r="M1134" s="8">
        <v>0.3</v>
      </c>
    </row>
    <row r="1135" spans="1:13" x14ac:dyDescent="0.25">
      <c r="A1135">
        <v>1134</v>
      </c>
      <c r="B1135">
        <v>8.4</v>
      </c>
      <c r="C1135">
        <v>0.8</v>
      </c>
      <c r="D1135">
        <v>6.2</v>
      </c>
      <c r="E1135">
        <v>1.7</v>
      </c>
      <c r="F1135">
        <v>6.9</v>
      </c>
      <c r="G1135">
        <v>3.12</v>
      </c>
      <c r="H1135" t="s">
        <v>10</v>
      </c>
      <c r="I1135">
        <v>17.8</v>
      </c>
      <c r="J1135" t="s">
        <v>15</v>
      </c>
      <c r="K1135">
        <v>3.76</v>
      </c>
      <c r="L1135" t="s">
        <v>52</v>
      </c>
      <c r="M1135" s="8">
        <v>0.47</v>
      </c>
    </row>
    <row r="1136" spans="1:13" x14ac:dyDescent="0.25">
      <c r="A1136">
        <v>1135</v>
      </c>
      <c r="B1136">
        <v>7.1</v>
      </c>
      <c r="C1136">
        <v>0.9</v>
      </c>
      <c r="D1136">
        <v>5.0999999999999996</v>
      </c>
      <c r="E1136">
        <v>5.3</v>
      </c>
      <c r="F1136">
        <v>5.6</v>
      </c>
      <c r="G1136">
        <v>3.05</v>
      </c>
      <c r="H1136" t="s">
        <v>10</v>
      </c>
      <c r="I1136">
        <v>18.899999999999999</v>
      </c>
      <c r="J1136" t="s">
        <v>15</v>
      </c>
      <c r="K1136">
        <v>2.67</v>
      </c>
      <c r="L1136" t="s">
        <v>52</v>
      </c>
      <c r="M1136" s="8">
        <v>0.38</v>
      </c>
    </row>
    <row r="1137" spans="1:13" x14ac:dyDescent="0.25">
      <c r="A1137">
        <v>1136</v>
      </c>
      <c r="B1137">
        <v>6.7</v>
      </c>
      <c r="C1137">
        <v>0</v>
      </c>
      <c r="D1137">
        <v>8.4</v>
      </c>
      <c r="E1137">
        <v>5</v>
      </c>
      <c r="F1137">
        <v>3.9</v>
      </c>
      <c r="G1137">
        <v>3.05</v>
      </c>
      <c r="H1137" t="s">
        <v>8</v>
      </c>
      <c r="I1137">
        <v>15.6</v>
      </c>
      <c r="J1137" t="s">
        <v>15</v>
      </c>
      <c r="K1137">
        <v>2.84</v>
      </c>
      <c r="L1137" t="s">
        <v>52</v>
      </c>
      <c r="M1137" s="8">
        <v>0.43</v>
      </c>
    </row>
    <row r="1138" spans="1:13" x14ac:dyDescent="0.25">
      <c r="A1138">
        <v>1137</v>
      </c>
      <c r="B1138">
        <v>5.7</v>
      </c>
      <c r="C1138">
        <v>0.6</v>
      </c>
      <c r="D1138">
        <v>9</v>
      </c>
      <c r="E1138">
        <v>3.7</v>
      </c>
      <c r="F1138">
        <v>5</v>
      </c>
      <c r="G1138">
        <v>2.88</v>
      </c>
      <c r="H1138" t="s">
        <v>9</v>
      </c>
      <c r="I1138">
        <v>15</v>
      </c>
      <c r="J1138" t="s">
        <v>13</v>
      </c>
      <c r="K1138">
        <v>2.2599999999999998</v>
      </c>
      <c r="L1138" t="s">
        <v>52</v>
      </c>
      <c r="M1138" s="8">
        <v>0.38</v>
      </c>
    </row>
    <row r="1139" spans="1:13" x14ac:dyDescent="0.25">
      <c r="A1139">
        <v>1138</v>
      </c>
      <c r="B1139">
        <v>6.5</v>
      </c>
      <c r="C1139">
        <v>1.5</v>
      </c>
      <c r="D1139">
        <v>8.8000000000000007</v>
      </c>
      <c r="E1139">
        <v>4.9000000000000004</v>
      </c>
      <c r="F1139">
        <v>2.2999999999999998</v>
      </c>
      <c r="G1139">
        <v>2.88</v>
      </c>
      <c r="H1139" t="s">
        <v>8</v>
      </c>
      <c r="I1139">
        <v>15.2</v>
      </c>
      <c r="J1139" t="s">
        <v>13</v>
      </c>
      <c r="K1139">
        <v>2.31</v>
      </c>
      <c r="L1139" t="s">
        <v>52</v>
      </c>
      <c r="M1139" s="8">
        <v>0.43</v>
      </c>
    </row>
    <row r="1140" spans="1:13" x14ac:dyDescent="0.25">
      <c r="A1140">
        <v>1139</v>
      </c>
      <c r="B1140">
        <v>7</v>
      </c>
      <c r="C1140">
        <v>3.8</v>
      </c>
      <c r="D1140">
        <v>7</v>
      </c>
      <c r="E1140">
        <v>4.5999999999999996</v>
      </c>
      <c r="F1140">
        <v>1.6</v>
      </c>
      <c r="G1140">
        <v>3.24</v>
      </c>
      <c r="H1140" t="s">
        <v>8</v>
      </c>
      <c r="I1140">
        <v>17</v>
      </c>
      <c r="J1140" t="s">
        <v>15</v>
      </c>
      <c r="K1140">
        <v>2.23</v>
      </c>
      <c r="L1140" t="s">
        <v>52</v>
      </c>
      <c r="M1140" s="8">
        <v>0.41</v>
      </c>
    </row>
    <row r="1141" spans="1:13" x14ac:dyDescent="0.25">
      <c r="A1141">
        <v>1140</v>
      </c>
      <c r="B1141">
        <v>9.5</v>
      </c>
      <c r="C1141">
        <v>0.3</v>
      </c>
      <c r="D1141">
        <v>9.6999999999999993</v>
      </c>
      <c r="E1141">
        <v>3.7</v>
      </c>
      <c r="F1141">
        <v>0.8</v>
      </c>
      <c r="G1141">
        <v>3.42</v>
      </c>
      <c r="H1141" t="s">
        <v>10</v>
      </c>
      <c r="I1141">
        <v>14.3</v>
      </c>
      <c r="J1141" t="s">
        <v>15</v>
      </c>
      <c r="K1141">
        <v>4.22</v>
      </c>
      <c r="L1141" t="s">
        <v>52</v>
      </c>
      <c r="M1141" s="8">
        <v>0.66</v>
      </c>
    </row>
    <row r="1142" spans="1:13" x14ac:dyDescent="0.25">
      <c r="A1142">
        <v>1141</v>
      </c>
      <c r="B1142">
        <v>9</v>
      </c>
      <c r="C1142">
        <v>0.8</v>
      </c>
      <c r="D1142">
        <v>9</v>
      </c>
      <c r="E1142">
        <v>4.4000000000000004</v>
      </c>
      <c r="F1142">
        <v>0.8</v>
      </c>
      <c r="G1142">
        <v>3.37</v>
      </c>
      <c r="H1142" t="s">
        <v>10</v>
      </c>
      <c r="I1142">
        <v>15.000000000000002</v>
      </c>
      <c r="J1142" t="s">
        <v>15</v>
      </c>
      <c r="K1142">
        <v>3.89</v>
      </c>
      <c r="L1142" t="s">
        <v>52</v>
      </c>
      <c r="M1142" s="8">
        <v>0.6</v>
      </c>
    </row>
    <row r="1143" spans="1:13" x14ac:dyDescent="0.25">
      <c r="A1143">
        <v>1142</v>
      </c>
      <c r="B1143">
        <v>5.2</v>
      </c>
      <c r="C1143">
        <v>0.6</v>
      </c>
      <c r="D1143">
        <v>7.7</v>
      </c>
      <c r="E1143">
        <v>3.5</v>
      </c>
      <c r="F1143">
        <v>7</v>
      </c>
      <c r="G1143">
        <v>2.77</v>
      </c>
      <c r="H1143" t="s">
        <v>9</v>
      </c>
      <c r="I1143">
        <v>16.3</v>
      </c>
      <c r="J1143" t="s">
        <v>13</v>
      </c>
      <c r="K1143">
        <v>2.72</v>
      </c>
      <c r="L1143" t="s">
        <v>52</v>
      </c>
      <c r="M1143" s="8">
        <v>0.32</v>
      </c>
    </row>
    <row r="1144" spans="1:13" x14ac:dyDescent="0.25">
      <c r="A1144">
        <v>1143</v>
      </c>
      <c r="B1144">
        <v>8.1999999999999993</v>
      </c>
      <c r="C1144">
        <v>0.1</v>
      </c>
      <c r="D1144">
        <v>9.8000000000000007</v>
      </c>
      <c r="E1144">
        <v>0.3</v>
      </c>
      <c r="F1144">
        <v>5.6</v>
      </c>
      <c r="G1144">
        <v>3.37</v>
      </c>
      <c r="H1144" t="s">
        <v>10</v>
      </c>
      <c r="I1144">
        <v>14.2</v>
      </c>
      <c r="J1144" t="s">
        <v>15</v>
      </c>
      <c r="K1144">
        <v>4.01</v>
      </c>
      <c r="L1144" t="s">
        <v>52</v>
      </c>
      <c r="M1144" s="8">
        <v>0.57999999999999996</v>
      </c>
    </row>
    <row r="1145" spans="1:13" x14ac:dyDescent="0.25">
      <c r="A1145">
        <v>1144</v>
      </c>
      <c r="B1145">
        <v>8.3000000000000007</v>
      </c>
      <c r="C1145">
        <v>3.3</v>
      </c>
      <c r="D1145">
        <v>5.0999999999999996</v>
      </c>
      <c r="E1145">
        <v>3.3</v>
      </c>
      <c r="F1145">
        <v>4</v>
      </c>
      <c r="G1145">
        <v>3.27</v>
      </c>
      <c r="H1145" t="s">
        <v>10</v>
      </c>
      <c r="I1145">
        <v>18.900000000000002</v>
      </c>
      <c r="J1145" t="s">
        <v>15</v>
      </c>
      <c r="K1145">
        <v>2.41</v>
      </c>
      <c r="L1145" t="s">
        <v>52</v>
      </c>
      <c r="M1145" s="8">
        <v>0.44</v>
      </c>
    </row>
    <row r="1146" spans="1:13" x14ac:dyDescent="0.25">
      <c r="A1146">
        <v>1145</v>
      </c>
      <c r="B1146">
        <v>7.3</v>
      </c>
      <c r="C1146">
        <v>2</v>
      </c>
      <c r="D1146">
        <v>5.4</v>
      </c>
      <c r="E1146">
        <v>4.0999999999999996</v>
      </c>
      <c r="F1146">
        <v>5.2</v>
      </c>
      <c r="G1146">
        <v>3.41</v>
      </c>
      <c r="H1146" t="s">
        <v>10</v>
      </c>
      <c r="I1146">
        <v>18.600000000000001</v>
      </c>
      <c r="J1146" t="s">
        <v>15</v>
      </c>
      <c r="K1146">
        <v>2.21</v>
      </c>
      <c r="L1146" t="s">
        <v>52</v>
      </c>
      <c r="M1146" s="8">
        <v>0.39</v>
      </c>
    </row>
    <row r="1147" spans="1:13" x14ac:dyDescent="0.25">
      <c r="A1147">
        <v>1146</v>
      </c>
      <c r="B1147">
        <v>7.4</v>
      </c>
      <c r="C1147">
        <v>0.6</v>
      </c>
      <c r="D1147">
        <v>8.1999999999999993</v>
      </c>
      <c r="E1147">
        <v>1</v>
      </c>
      <c r="F1147">
        <v>6.8</v>
      </c>
      <c r="G1147">
        <v>3.11</v>
      </c>
      <c r="H1147" t="s">
        <v>8</v>
      </c>
      <c r="I1147">
        <v>15.8</v>
      </c>
      <c r="J1147" t="s">
        <v>15</v>
      </c>
      <c r="K1147">
        <v>3.65</v>
      </c>
      <c r="L1147" t="s">
        <v>52</v>
      </c>
      <c r="M1147" s="8">
        <v>0.47</v>
      </c>
    </row>
    <row r="1148" spans="1:13" x14ac:dyDescent="0.25">
      <c r="A1148">
        <v>1147</v>
      </c>
      <c r="B1148">
        <v>9.4</v>
      </c>
      <c r="C1148">
        <v>2.5</v>
      </c>
      <c r="D1148">
        <v>5.8</v>
      </c>
      <c r="E1148">
        <v>5.8</v>
      </c>
      <c r="F1148">
        <v>0.5</v>
      </c>
      <c r="G1148">
        <v>3.25</v>
      </c>
      <c r="H1148" t="s">
        <v>10</v>
      </c>
      <c r="I1148">
        <v>18.2</v>
      </c>
      <c r="J1148" t="s">
        <v>15</v>
      </c>
      <c r="K1148">
        <v>3.9</v>
      </c>
      <c r="L1148" t="s">
        <v>52</v>
      </c>
      <c r="M1148" s="8">
        <v>0.52</v>
      </c>
    </row>
    <row r="1149" spans="1:13" x14ac:dyDescent="0.25">
      <c r="A1149">
        <v>1148</v>
      </c>
      <c r="B1149">
        <v>8.1</v>
      </c>
      <c r="C1149">
        <v>1</v>
      </c>
      <c r="D1149">
        <v>9</v>
      </c>
      <c r="E1149">
        <v>4.8</v>
      </c>
      <c r="F1149">
        <v>1.1000000000000001</v>
      </c>
      <c r="G1149">
        <v>3.22</v>
      </c>
      <c r="H1149" t="s">
        <v>10</v>
      </c>
      <c r="I1149">
        <v>14.999999999999998</v>
      </c>
      <c r="J1149" t="s">
        <v>15</v>
      </c>
      <c r="K1149">
        <v>3.4</v>
      </c>
      <c r="L1149" t="s">
        <v>52</v>
      </c>
      <c r="M1149" s="8">
        <v>0.54</v>
      </c>
    </row>
    <row r="1150" spans="1:13" x14ac:dyDescent="0.25">
      <c r="A1150">
        <v>1149</v>
      </c>
      <c r="B1150">
        <v>9.9</v>
      </c>
      <c r="C1150">
        <v>2</v>
      </c>
      <c r="D1150">
        <v>7.3</v>
      </c>
      <c r="E1150">
        <v>3.6</v>
      </c>
      <c r="F1150">
        <v>1.2</v>
      </c>
      <c r="G1150">
        <v>3.51</v>
      </c>
      <c r="H1150" t="s">
        <v>10</v>
      </c>
      <c r="I1150">
        <v>16.7</v>
      </c>
      <c r="J1150" t="s">
        <v>14</v>
      </c>
      <c r="K1150">
        <v>3.94</v>
      </c>
      <c r="L1150" t="s">
        <v>52</v>
      </c>
      <c r="M1150" s="8">
        <v>0.59</v>
      </c>
    </row>
    <row r="1151" spans="1:13" x14ac:dyDescent="0.25">
      <c r="A1151">
        <v>1150</v>
      </c>
      <c r="B1151">
        <v>7.7</v>
      </c>
      <c r="C1151">
        <v>0.4</v>
      </c>
      <c r="D1151">
        <v>7.1</v>
      </c>
      <c r="E1151">
        <v>5.0999999999999996</v>
      </c>
      <c r="F1151">
        <v>3.7</v>
      </c>
      <c r="G1151">
        <v>2.94</v>
      </c>
      <c r="H1151" t="s">
        <v>8</v>
      </c>
      <c r="I1151">
        <v>16.899999999999999</v>
      </c>
      <c r="J1151" t="s">
        <v>13</v>
      </c>
      <c r="K1151">
        <v>3.04</v>
      </c>
      <c r="L1151" t="s">
        <v>52</v>
      </c>
      <c r="M1151" s="8">
        <v>0.46</v>
      </c>
    </row>
    <row r="1152" spans="1:13" x14ac:dyDescent="0.25">
      <c r="A1152">
        <v>1151</v>
      </c>
      <c r="B1152">
        <v>9.3000000000000007</v>
      </c>
      <c r="C1152">
        <v>0.4</v>
      </c>
      <c r="D1152">
        <v>5.5</v>
      </c>
      <c r="E1152">
        <v>1.6</v>
      </c>
      <c r="F1152">
        <v>7.2</v>
      </c>
      <c r="G1152">
        <v>3.29</v>
      </c>
      <c r="H1152" t="s">
        <v>10</v>
      </c>
      <c r="I1152">
        <v>18.5</v>
      </c>
      <c r="J1152" t="s">
        <v>15</v>
      </c>
      <c r="K1152">
        <v>4.3</v>
      </c>
      <c r="L1152" t="s">
        <v>52</v>
      </c>
      <c r="M1152" s="8">
        <v>0.5</v>
      </c>
    </row>
    <row r="1153" spans="1:13" x14ac:dyDescent="0.25">
      <c r="A1153">
        <v>1152</v>
      </c>
      <c r="B1153">
        <v>8.1</v>
      </c>
      <c r="C1153">
        <v>1.4</v>
      </c>
      <c r="D1153">
        <v>8.9</v>
      </c>
      <c r="E1153">
        <v>1.3</v>
      </c>
      <c r="F1153">
        <v>4.3</v>
      </c>
      <c r="G1153">
        <v>3.27</v>
      </c>
      <c r="H1153" t="s">
        <v>10</v>
      </c>
      <c r="I1153">
        <v>15.100000000000001</v>
      </c>
      <c r="J1153" t="s">
        <v>15</v>
      </c>
      <c r="K1153">
        <v>3.2</v>
      </c>
      <c r="L1153" t="s">
        <v>52</v>
      </c>
      <c r="M1153" s="8">
        <v>0.54</v>
      </c>
    </row>
    <row r="1154" spans="1:13" x14ac:dyDescent="0.25">
      <c r="A1154">
        <v>1153</v>
      </c>
      <c r="B1154">
        <v>8.1999999999999993</v>
      </c>
      <c r="C1154">
        <v>0.9</v>
      </c>
      <c r="D1154">
        <v>8.6</v>
      </c>
      <c r="E1154">
        <v>5.2</v>
      </c>
      <c r="F1154">
        <v>1.1000000000000001</v>
      </c>
      <c r="G1154">
        <v>3.03</v>
      </c>
      <c r="H1154" t="s">
        <v>10</v>
      </c>
      <c r="I1154">
        <v>15.4</v>
      </c>
      <c r="J1154" t="s">
        <v>15</v>
      </c>
      <c r="K1154">
        <v>3.51</v>
      </c>
      <c r="L1154" t="s">
        <v>52</v>
      </c>
      <c r="M1154" s="8">
        <v>0.53</v>
      </c>
    </row>
    <row r="1155" spans="1:13" x14ac:dyDescent="0.25">
      <c r="A1155">
        <v>1154</v>
      </c>
      <c r="B1155">
        <v>7.1</v>
      </c>
      <c r="C1155">
        <v>0.6</v>
      </c>
      <c r="D1155">
        <v>8.5</v>
      </c>
      <c r="E1155">
        <v>4.5999999999999996</v>
      </c>
      <c r="F1155">
        <v>3.2</v>
      </c>
      <c r="G1155">
        <v>3.11</v>
      </c>
      <c r="H1155" t="s">
        <v>8</v>
      </c>
      <c r="I1155">
        <v>15.5</v>
      </c>
      <c r="J1155" t="s">
        <v>15</v>
      </c>
      <c r="K1155">
        <v>2.71</v>
      </c>
      <c r="L1155" t="s">
        <v>52</v>
      </c>
      <c r="M1155" s="8">
        <v>0.46</v>
      </c>
    </row>
    <row r="1156" spans="1:13" x14ac:dyDescent="0.25">
      <c r="A1156">
        <v>1155</v>
      </c>
      <c r="B1156">
        <v>5.5</v>
      </c>
      <c r="C1156">
        <v>2</v>
      </c>
      <c r="D1156">
        <v>9.1</v>
      </c>
      <c r="E1156">
        <v>5.6</v>
      </c>
      <c r="F1156">
        <v>1.8</v>
      </c>
      <c r="G1156">
        <v>2.95</v>
      </c>
      <c r="H1156" t="s">
        <v>9</v>
      </c>
      <c r="I1156">
        <v>14.9</v>
      </c>
      <c r="J1156" t="s">
        <v>13</v>
      </c>
      <c r="K1156">
        <v>2.11</v>
      </c>
      <c r="L1156" t="s">
        <v>52</v>
      </c>
      <c r="M1156" s="8">
        <v>0.37</v>
      </c>
    </row>
    <row r="1157" spans="1:13" x14ac:dyDescent="0.25">
      <c r="A1157">
        <v>1156</v>
      </c>
      <c r="B1157">
        <v>7.7</v>
      </c>
      <c r="C1157">
        <v>1.6</v>
      </c>
      <c r="D1157">
        <v>9.1999999999999993</v>
      </c>
      <c r="E1157">
        <v>2.7</v>
      </c>
      <c r="F1157">
        <v>2.8</v>
      </c>
      <c r="G1157">
        <v>3.16</v>
      </c>
      <c r="H1157" t="s">
        <v>8</v>
      </c>
      <c r="I1157">
        <v>14.8</v>
      </c>
      <c r="J1157" t="s">
        <v>15</v>
      </c>
      <c r="K1157">
        <v>2.72</v>
      </c>
      <c r="L1157" t="s">
        <v>52</v>
      </c>
      <c r="M1157" s="8">
        <v>0.52</v>
      </c>
    </row>
    <row r="1158" spans="1:13" x14ac:dyDescent="0.25">
      <c r="A1158">
        <v>1157</v>
      </c>
      <c r="B1158">
        <v>7.4</v>
      </c>
      <c r="C1158">
        <v>2</v>
      </c>
      <c r="D1158">
        <v>9.1999999999999993</v>
      </c>
      <c r="E1158">
        <v>4.5</v>
      </c>
      <c r="F1158">
        <v>0.9</v>
      </c>
      <c r="G1158">
        <v>2.77</v>
      </c>
      <c r="H1158" t="s">
        <v>8</v>
      </c>
      <c r="I1158">
        <v>14.8</v>
      </c>
      <c r="J1158" t="s">
        <v>13</v>
      </c>
      <c r="K1158">
        <v>2.89</v>
      </c>
      <c r="L1158" t="s">
        <v>52</v>
      </c>
      <c r="M1158" s="8">
        <v>0.5</v>
      </c>
    </row>
    <row r="1159" spans="1:13" x14ac:dyDescent="0.25">
      <c r="A1159">
        <v>1158</v>
      </c>
      <c r="B1159">
        <v>7.5</v>
      </c>
      <c r="C1159">
        <v>2.2999999999999998</v>
      </c>
      <c r="D1159">
        <v>6.2</v>
      </c>
      <c r="E1159">
        <v>4.8</v>
      </c>
      <c r="F1159">
        <v>3.2</v>
      </c>
      <c r="G1159">
        <v>2.93</v>
      </c>
      <c r="H1159" t="s">
        <v>8</v>
      </c>
      <c r="I1159">
        <v>17.8</v>
      </c>
      <c r="J1159" t="s">
        <v>13</v>
      </c>
      <c r="K1159">
        <v>2.2799999999999998</v>
      </c>
      <c r="L1159" t="s">
        <v>52</v>
      </c>
      <c r="M1159" s="8">
        <v>0.42</v>
      </c>
    </row>
    <row r="1160" spans="1:13" x14ac:dyDescent="0.25">
      <c r="A1160">
        <v>1159</v>
      </c>
      <c r="B1160">
        <v>7.4</v>
      </c>
      <c r="C1160">
        <v>1.3</v>
      </c>
      <c r="D1160">
        <v>5.5</v>
      </c>
      <c r="E1160">
        <v>1.4</v>
      </c>
      <c r="F1160">
        <v>8.4</v>
      </c>
      <c r="G1160">
        <v>3.09</v>
      </c>
      <c r="H1160" t="s">
        <v>10</v>
      </c>
      <c r="I1160">
        <v>18.5</v>
      </c>
      <c r="J1160" t="s">
        <v>15</v>
      </c>
      <c r="K1160">
        <v>3.8</v>
      </c>
      <c r="L1160" t="s">
        <v>52</v>
      </c>
      <c r="M1160" s="8">
        <v>0.4</v>
      </c>
    </row>
    <row r="1161" spans="1:13" x14ac:dyDescent="0.25">
      <c r="A1161">
        <v>1160</v>
      </c>
      <c r="B1161">
        <v>5.8</v>
      </c>
      <c r="C1161">
        <v>1.8</v>
      </c>
      <c r="D1161">
        <v>6.5</v>
      </c>
      <c r="E1161">
        <v>0.2</v>
      </c>
      <c r="F1161">
        <v>9.6999999999999993</v>
      </c>
      <c r="G1161">
        <v>2.92</v>
      </c>
      <c r="H1161" t="s">
        <v>9</v>
      </c>
      <c r="I1161">
        <v>17.5</v>
      </c>
      <c r="J1161" t="s">
        <v>13</v>
      </c>
      <c r="K1161">
        <v>4.26</v>
      </c>
      <c r="L1161" t="s">
        <v>52</v>
      </c>
      <c r="M1161" s="8">
        <v>0.33</v>
      </c>
    </row>
    <row r="1162" spans="1:13" x14ac:dyDescent="0.25">
      <c r="A1162">
        <v>1161</v>
      </c>
      <c r="B1162">
        <v>6.6</v>
      </c>
      <c r="C1162">
        <v>2.2000000000000002</v>
      </c>
      <c r="D1162">
        <v>7.8</v>
      </c>
      <c r="E1162">
        <v>2.1</v>
      </c>
      <c r="F1162">
        <v>5.3</v>
      </c>
      <c r="G1162">
        <v>3.09</v>
      </c>
      <c r="H1162" t="s">
        <v>8</v>
      </c>
      <c r="I1162">
        <v>16.2</v>
      </c>
      <c r="J1162" t="s">
        <v>15</v>
      </c>
      <c r="K1162">
        <v>2.2599999999999998</v>
      </c>
      <c r="L1162" t="s">
        <v>52</v>
      </c>
      <c r="M1162" s="8">
        <v>0.41</v>
      </c>
    </row>
    <row r="1163" spans="1:13" x14ac:dyDescent="0.25">
      <c r="A1163">
        <v>1162</v>
      </c>
      <c r="B1163">
        <v>6.9</v>
      </c>
      <c r="C1163">
        <v>1</v>
      </c>
      <c r="D1163">
        <v>6.2</v>
      </c>
      <c r="E1163">
        <v>2.7</v>
      </c>
      <c r="F1163">
        <v>7.2</v>
      </c>
      <c r="G1163">
        <v>3.02</v>
      </c>
      <c r="H1163" t="s">
        <v>8</v>
      </c>
      <c r="I1163">
        <v>17.8</v>
      </c>
      <c r="J1163" t="s">
        <v>15</v>
      </c>
      <c r="K1163">
        <v>3.08</v>
      </c>
      <c r="L1163" t="s">
        <v>52</v>
      </c>
      <c r="M1163" s="8">
        <v>0.39</v>
      </c>
    </row>
    <row r="1164" spans="1:13" x14ac:dyDescent="0.25">
      <c r="A1164">
        <v>1163</v>
      </c>
      <c r="B1164">
        <v>8.8000000000000007</v>
      </c>
      <c r="C1164">
        <v>0.8</v>
      </c>
      <c r="D1164">
        <v>8.5</v>
      </c>
      <c r="E1164">
        <v>0.1</v>
      </c>
      <c r="F1164">
        <v>5.8</v>
      </c>
      <c r="G1164">
        <v>3.61</v>
      </c>
      <c r="H1164" t="s">
        <v>10</v>
      </c>
      <c r="I1164">
        <v>15.5</v>
      </c>
      <c r="J1164" t="s">
        <v>14</v>
      </c>
      <c r="K1164">
        <v>4.1500000000000004</v>
      </c>
      <c r="L1164" t="s">
        <v>52</v>
      </c>
      <c r="M1164" s="8">
        <v>0.56999999999999995</v>
      </c>
    </row>
    <row r="1165" spans="1:13" x14ac:dyDescent="0.25">
      <c r="A1165">
        <v>1164</v>
      </c>
      <c r="B1165">
        <v>6.7</v>
      </c>
      <c r="C1165">
        <v>2.2999999999999998</v>
      </c>
      <c r="D1165">
        <v>6</v>
      </c>
      <c r="E1165">
        <v>4.5</v>
      </c>
      <c r="F1165">
        <v>4.5</v>
      </c>
      <c r="G1165">
        <v>2.92</v>
      </c>
      <c r="H1165" t="s">
        <v>8</v>
      </c>
      <c r="I1165">
        <v>18</v>
      </c>
      <c r="J1165" t="s">
        <v>13</v>
      </c>
      <c r="K1165">
        <v>1.8</v>
      </c>
      <c r="L1165" t="s">
        <v>52</v>
      </c>
      <c r="M1165" s="8">
        <v>0.37</v>
      </c>
    </row>
    <row r="1166" spans="1:13" x14ac:dyDescent="0.25">
      <c r="A1166">
        <v>1165</v>
      </c>
      <c r="B1166">
        <v>5.3</v>
      </c>
      <c r="C1166">
        <v>3.4</v>
      </c>
      <c r="D1166">
        <v>6</v>
      </c>
      <c r="E1166">
        <v>5.2</v>
      </c>
      <c r="F1166">
        <v>4.0999999999999996</v>
      </c>
      <c r="G1166">
        <v>3.06</v>
      </c>
      <c r="H1166" t="s">
        <v>9</v>
      </c>
      <c r="I1166">
        <v>18</v>
      </c>
      <c r="J1166" t="s">
        <v>15</v>
      </c>
      <c r="K1166">
        <v>0.91</v>
      </c>
      <c r="L1166" t="s">
        <v>51</v>
      </c>
      <c r="M1166" s="8">
        <v>0.28999999999999998</v>
      </c>
    </row>
    <row r="1167" spans="1:13" x14ac:dyDescent="0.25">
      <c r="A1167">
        <v>1166</v>
      </c>
      <c r="B1167">
        <v>6.6</v>
      </c>
      <c r="C1167">
        <v>3.6</v>
      </c>
      <c r="D1167">
        <v>5.6</v>
      </c>
      <c r="E1167">
        <v>1.1000000000000001</v>
      </c>
      <c r="F1167">
        <v>7.1</v>
      </c>
      <c r="G1167">
        <v>2.82</v>
      </c>
      <c r="H1167" t="s">
        <v>10</v>
      </c>
      <c r="I1167">
        <v>18.399999999999999</v>
      </c>
      <c r="J1167" t="s">
        <v>13</v>
      </c>
      <c r="K1167">
        <v>2.8</v>
      </c>
      <c r="L1167" t="s">
        <v>52</v>
      </c>
      <c r="M1167" s="8">
        <v>0.36</v>
      </c>
    </row>
    <row r="1168" spans="1:13" x14ac:dyDescent="0.25">
      <c r="A1168">
        <v>1167</v>
      </c>
      <c r="B1168">
        <v>7.5</v>
      </c>
      <c r="C1168">
        <v>0.3</v>
      </c>
      <c r="D1168">
        <v>6</v>
      </c>
      <c r="E1168">
        <v>5.7</v>
      </c>
      <c r="F1168">
        <v>4.5</v>
      </c>
      <c r="G1168">
        <v>3.11</v>
      </c>
      <c r="H1168" t="s">
        <v>8</v>
      </c>
      <c r="I1168">
        <v>18</v>
      </c>
      <c r="J1168" t="s">
        <v>15</v>
      </c>
      <c r="K1168">
        <v>3.06</v>
      </c>
      <c r="L1168" t="s">
        <v>52</v>
      </c>
      <c r="M1168" s="8">
        <v>0.42</v>
      </c>
    </row>
    <row r="1169" spans="1:13" x14ac:dyDescent="0.25">
      <c r="A1169">
        <v>1168</v>
      </c>
      <c r="B1169">
        <v>9.6</v>
      </c>
      <c r="C1169">
        <v>2.2000000000000002</v>
      </c>
      <c r="D1169">
        <v>6.3</v>
      </c>
      <c r="E1169">
        <v>4.0999999999999996</v>
      </c>
      <c r="F1169">
        <v>1.8</v>
      </c>
      <c r="G1169">
        <v>3.49</v>
      </c>
      <c r="H1169" t="s">
        <v>10</v>
      </c>
      <c r="I1169">
        <v>17.7</v>
      </c>
      <c r="J1169" t="s">
        <v>15</v>
      </c>
      <c r="K1169">
        <v>3.59</v>
      </c>
      <c r="L1169" t="s">
        <v>52</v>
      </c>
      <c r="M1169" s="8">
        <v>0.54</v>
      </c>
    </row>
    <row r="1170" spans="1:13" x14ac:dyDescent="0.25">
      <c r="A1170">
        <v>1169</v>
      </c>
      <c r="B1170">
        <v>8.3000000000000007</v>
      </c>
      <c r="C1170">
        <v>4</v>
      </c>
      <c r="D1170">
        <v>6.3</v>
      </c>
      <c r="E1170">
        <v>3.6</v>
      </c>
      <c r="F1170">
        <v>1.8</v>
      </c>
      <c r="G1170">
        <v>3.36</v>
      </c>
      <c r="H1170" t="s">
        <v>10</v>
      </c>
      <c r="I1170">
        <v>17.7</v>
      </c>
      <c r="J1170" t="s">
        <v>15</v>
      </c>
      <c r="K1170">
        <v>2.75</v>
      </c>
      <c r="L1170" t="s">
        <v>52</v>
      </c>
      <c r="M1170" s="8">
        <v>0.47</v>
      </c>
    </row>
    <row r="1171" spans="1:13" x14ac:dyDescent="0.25">
      <c r="A1171">
        <v>1170</v>
      </c>
      <c r="B1171">
        <v>7.5</v>
      </c>
      <c r="C1171">
        <v>1.2</v>
      </c>
      <c r="D1171">
        <v>5.8</v>
      </c>
      <c r="E1171">
        <v>1.7</v>
      </c>
      <c r="F1171">
        <v>7.8</v>
      </c>
      <c r="G1171">
        <v>3.25</v>
      </c>
      <c r="H1171" t="s">
        <v>10</v>
      </c>
      <c r="I1171">
        <v>18.2</v>
      </c>
      <c r="J1171" t="s">
        <v>15</v>
      </c>
      <c r="K1171">
        <v>3.59</v>
      </c>
      <c r="L1171" t="s">
        <v>52</v>
      </c>
      <c r="M1171" s="8">
        <v>0.41</v>
      </c>
    </row>
    <row r="1172" spans="1:13" x14ac:dyDescent="0.25">
      <c r="A1172">
        <v>1171</v>
      </c>
      <c r="B1172">
        <v>6.9</v>
      </c>
      <c r="C1172">
        <v>3</v>
      </c>
      <c r="D1172">
        <v>7.7</v>
      </c>
      <c r="E1172">
        <v>0.5</v>
      </c>
      <c r="F1172">
        <v>5.9</v>
      </c>
      <c r="G1172">
        <v>3.17</v>
      </c>
      <c r="H1172" t="s">
        <v>8</v>
      </c>
      <c r="I1172">
        <v>16.3</v>
      </c>
      <c r="J1172" t="s">
        <v>15</v>
      </c>
      <c r="K1172">
        <v>2.9</v>
      </c>
      <c r="L1172" t="s">
        <v>52</v>
      </c>
      <c r="M1172" s="8">
        <v>0.42</v>
      </c>
    </row>
    <row r="1173" spans="1:13" x14ac:dyDescent="0.25">
      <c r="A1173">
        <v>1172</v>
      </c>
      <c r="B1173">
        <v>8.1999999999999993</v>
      </c>
      <c r="C1173">
        <v>3.2</v>
      </c>
      <c r="D1173">
        <v>7.3</v>
      </c>
      <c r="E1173">
        <v>1.9</v>
      </c>
      <c r="F1173">
        <v>3.4</v>
      </c>
      <c r="G1173">
        <v>3.2</v>
      </c>
      <c r="H1173" t="s">
        <v>10</v>
      </c>
      <c r="I1173">
        <v>16.7</v>
      </c>
      <c r="J1173" t="s">
        <v>15</v>
      </c>
      <c r="K1173">
        <v>2.76</v>
      </c>
      <c r="L1173" t="s">
        <v>52</v>
      </c>
      <c r="M1173" s="8">
        <v>0.49</v>
      </c>
    </row>
    <row r="1174" spans="1:13" x14ac:dyDescent="0.25">
      <c r="A1174">
        <v>1173</v>
      </c>
      <c r="B1174">
        <v>5.5</v>
      </c>
      <c r="C1174">
        <v>3.5</v>
      </c>
      <c r="D1174">
        <v>8.9</v>
      </c>
      <c r="E1174">
        <v>1</v>
      </c>
      <c r="F1174">
        <v>5.0999999999999996</v>
      </c>
      <c r="G1174">
        <v>2.2999999999999998</v>
      </c>
      <c r="H1174" t="s">
        <v>9</v>
      </c>
      <c r="I1174">
        <v>15.1</v>
      </c>
      <c r="J1174" t="s">
        <v>16</v>
      </c>
      <c r="K1174">
        <v>2.04</v>
      </c>
      <c r="L1174" t="s">
        <v>52</v>
      </c>
      <c r="M1174" s="8">
        <v>0.36</v>
      </c>
    </row>
    <row r="1175" spans="1:13" x14ac:dyDescent="0.25">
      <c r="A1175">
        <v>1174</v>
      </c>
      <c r="B1175">
        <v>8.1</v>
      </c>
      <c r="C1175">
        <v>3.8</v>
      </c>
      <c r="D1175">
        <v>7.9</v>
      </c>
      <c r="E1175">
        <v>2.2999999999999998</v>
      </c>
      <c r="F1175">
        <v>1.9</v>
      </c>
      <c r="G1175">
        <v>3.72</v>
      </c>
      <c r="H1175" t="s">
        <v>10</v>
      </c>
      <c r="I1175">
        <v>16.099999999999998</v>
      </c>
      <c r="J1175" t="s">
        <v>14</v>
      </c>
      <c r="K1175">
        <v>2.84</v>
      </c>
      <c r="L1175" t="s">
        <v>52</v>
      </c>
      <c r="M1175" s="8">
        <v>0.5</v>
      </c>
    </row>
    <row r="1176" spans="1:13" x14ac:dyDescent="0.25">
      <c r="A1176">
        <v>1175</v>
      </c>
      <c r="B1176">
        <v>5.3</v>
      </c>
      <c r="C1176">
        <v>0.3</v>
      </c>
      <c r="D1176">
        <v>5.9</v>
      </c>
      <c r="E1176">
        <v>0.2</v>
      </c>
      <c r="F1176">
        <v>12.3</v>
      </c>
      <c r="G1176">
        <v>2.97</v>
      </c>
      <c r="H1176" t="s">
        <v>10</v>
      </c>
      <c r="I1176">
        <v>18.100000000000001</v>
      </c>
      <c r="J1176" t="s">
        <v>13</v>
      </c>
      <c r="K1176">
        <v>5.7</v>
      </c>
      <c r="L1176" t="s">
        <v>52</v>
      </c>
      <c r="M1176" s="8">
        <v>0.28999999999999998</v>
      </c>
    </row>
    <row r="1177" spans="1:13" x14ac:dyDescent="0.25">
      <c r="A1177">
        <v>1176</v>
      </c>
      <c r="B1177">
        <v>5.7</v>
      </c>
      <c r="C1177">
        <v>3.3</v>
      </c>
      <c r="D1177">
        <v>5.8</v>
      </c>
      <c r="E1177">
        <v>1.8</v>
      </c>
      <c r="F1177">
        <v>7.4</v>
      </c>
      <c r="G1177">
        <v>3.04</v>
      </c>
      <c r="H1177" t="s">
        <v>10</v>
      </c>
      <c r="I1177">
        <v>18.200000000000003</v>
      </c>
      <c r="J1177" t="s">
        <v>15</v>
      </c>
      <c r="K1177">
        <v>2.4900000000000002</v>
      </c>
      <c r="L1177" t="s">
        <v>52</v>
      </c>
      <c r="M1177" s="8">
        <v>0.31</v>
      </c>
    </row>
    <row r="1178" spans="1:13" x14ac:dyDescent="0.25">
      <c r="A1178">
        <v>1177</v>
      </c>
      <c r="B1178">
        <v>6.2</v>
      </c>
      <c r="C1178">
        <v>1.5</v>
      </c>
      <c r="D1178">
        <v>6.3</v>
      </c>
      <c r="E1178">
        <v>2.9</v>
      </c>
      <c r="F1178">
        <v>7.1</v>
      </c>
      <c r="G1178">
        <v>2.97</v>
      </c>
      <c r="H1178" t="s">
        <v>8</v>
      </c>
      <c r="I1178">
        <v>17.7</v>
      </c>
      <c r="J1178" t="s">
        <v>13</v>
      </c>
      <c r="K1178">
        <v>2.66</v>
      </c>
      <c r="L1178" t="s">
        <v>52</v>
      </c>
      <c r="M1178" s="8">
        <v>0.35</v>
      </c>
    </row>
    <row r="1179" spans="1:13" x14ac:dyDescent="0.25">
      <c r="A1179">
        <v>1178</v>
      </c>
      <c r="B1179">
        <v>5.3</v>
      </c>
      <c r="C1179">
        <v>0.6</v>
      </c>
      <c r="D1179">
        <v>5.3</v>
      </c>
      <c r="E1179">
        <v>3.8</v>
      </c>
      <c r="F1179">
        <v>9</v>
      </c>
      <c r="G1179">
        <v>2.79</v>
      </c>
      <c r="H1179" t="s">
        <v>10</v>
      </c>
      <c r="I1179">
        <v>18.7</v>
      </c>
      <c r="J1179" t="s">
        <v>13</v>
      </c>
      <c r="K1179">
        <v>3.49</v>
      </c>
      <c r="L1179" t="s">
        <v>52</v>
      </c>
      <c r="M1179" s="8">
        <v>0.28000000000000003</v>
      </c>
    </row>
    <row r="1180" spans="1:13" x14ac:dyDescent="0.25">
      <c r="A1180">
        <v>1179</v>
      </c>
      <c r="B1180">
        <v>5.3</v>
      </c>
      <c r="C1180">
        <v>3.3</v>
      </c>
      <c r="D1180">
        <v>7.6</v>
      </c>
      <c r="E1180">
        <v>3.2</v>
      </c>
      <c r="F1180">
        <v>4.5999999999999996</v>
      </c>
      <c r="G1180">
        <v>2.5499999999999998</v>
      </c>
      <c r="H1180" t="s">
        <v>9</v>
      </c>
      <c r="I1180">
        <v>16.399999999999999</v>
      </c>
      <c r="J1180" t="s">
        <v>13</v>
      </c>
      <c r="K1180">
        <v>1.02</v>
      </c>
      <c r="L1180" t="s">
        <v>51</v>
      </c>
      <c r="M1180" s="8">
        <v>0.32</v>
      </c>
    </row>
    <row r="1181" spans="1:13" x14ac:dyDescent="0.25">
      <c r="A1181">
        <v>1180</v>
      </c>
      <c r="B1181">
        <v>6</v>
      </c>
      <c r="C1181">
        <v>1.3</v>
      </c>
      <c r="D1181">
        <v>8</v>
      </c>
      <c r="E1181">
        <v>1.3</v>
      </c>
      <c r="F1181">
        <v>7.4</v>
      </c>
      <c r="G1181">
        <v>2.95</v>
      </c>
      <c r="H1181" t="s">
        <v>8</v>
      </c>
      <c r="I1181">
        <v>16</v>
      </c>
      <c r="J1181" t="s">
        <v>13</v>
      </c>
      <c r="K1181">
        <v>3.17</v>
      </c>
      <c r="L1181" t="s">
        <v>52</v>
      </c>
      <c r="M1181" s="8">
        <v>0.38</v>
      </c>
    </row>
    <row r="1182" spans="1:13" x14ac:dyDescent="0.25">
      <c r="A1182">
        <v>1181</v>
      </c>
      <c r="B1182">
        <v>5.6</v>
      </c>
      <c r="C1182">
        <v>3.9</v>
      </c>
      <c r="D1182">
        <v>5.0999999999999996</v>
      </c>
      <c r="E1182">
        <v>4.8</v>
      </c>
      <c r="F1182">
        <v>4.5999999999999996</v>
      </c>
      <c r="G1182">
        <v>2.7</v>
      </c>
      <c r="H1182" t="s">
        <v>10</v>
      </c>
      <c r="I1182">
        <v>18.899999999999999</v>
      </c>
      <c r="J1182" t="s">
        <v>13</v>
      </c>
      <c r="K1182">
        <v>0.7</v>
      </c>
      <c r="L1182" t="s">
        <v>51</v>
      </c>
      <c r="M1182" s="8">
        <v>0.3</v>
      </c>
    </row>
    <row r="1183" spans="1:13" x14ac:dyDescent="0.25">
      <c r="A1183">
        <v>1182</v>
      </c>
      <c r="B1183">
        <v>5.7</v>
      </c>
      <c r="C1183">
        <v>0.6</v>
      </c>
      <c r="D1183">
        <v>8.5</v>
      </c>
      <c r="E1183">
        <v>3.9</v>
      </c>
      <c r="F1183">
        <v>5.3</v>
      </c>
      <c r="G1183">
        <v>3.05</v>
      </c>
      <c r="H1183" t="s">
        <v>9</v>
      </c>
      <c r="I1183">
        <v>15.5</v>
      </c>
      <c r="J1183" t="s">
        <v>15</v>
      </c>
      <c r="K1183">
        <v>2.3199999999999998</v>
      </c>
      <c r="L1183" t="s">
        <v>52</v>
      </c>
      <c r="M1183" s="8">
        <v>0.37</v>
      </c>
    </row>
    <row r="1184" spans="1:13" x14ac:dyDescent="0.25">
      <c r="A1184">
        <v>1183</v>
      </c>
      <c r="B1184">
        <v>8.9</v>
      </c>
      <c r="C1184">
        <v>3.7</v>
      </c>
      <c r="D1184">
        <v>8.5</v>
      </c>
      <c r="E1184">
        <v>0.5</v>
      </c>
      <c r="F1184">
        <v>2.4</v>
      </c>
      <c r="G1184">
        <v>3.46</v>
      </c>
      <c r="H1184" t="s">
        <v>10</v>
      </c>
      <c r="I1184">
        <v>15.500000000000002</v>
      </c>
      <c r="J1184" t="s">
        <v>15</v>
      </c>
      <c r="K1184">
        <v>3.6</v>
      </c>
      <c r="L1184" t="s">
        <v>52</v>
      </c>
      <c r="M1184" s="8">
        <v>0.56999999999999995</v>
      </c>
    </row>
    <row r="1185" spans="1:13" x14ac:dyDescent="0.25">
      <c r="A1185">
        <v>1184</v>
      </c>
      <c r="B1185">
        <v>6</v>
      </c>
      <c r="C1185">
        <v>0.3</v>
      </c>
      <c r="D1185">
        <v>8.5</v>
      </c>
      <c r="E1185">
        <v>2.4</v>
      </c>
      <c r="F1185">
        <v>6.8</v>
      </c>
      <c r="G1185">
        <v>2.81</v>
      </c>
      <c r="H1185" t="s">
        <v>8</v>
      </c>
      <c r="I1185">
        <v>15.5</v>
      </c>
      <c r="J1185" t="s">
        <v>13</v>
      </c>
      <c r="K1185">
        <v>3.06</v>
      </c>
      <c r="L1185" t="s">
        <v>52</v>
      </c>
      <c r="M1185" s="8">
        <v>0.39</v>
      </c>
    </row>
    <row r="1186" spans="1:13" x14ac:dyDescent="0.25">
      <c r="A1186">
        <v>1185</v>
      </c>
      <c r="B1186">
        <v>9.6</v>
      </c>
      <c r="C1186">
        <v>2.6</v>
      </c>
      <c r="D1186">
        <v>5.5</v>
      </c>
      <c r="E1186">
        <v>5.7</v>
      </c>
      <c r="F1186">
        <v>0.6</v>
      </c>
      <c r="G1186">
        <v>3.28</v>
      </c>
      <c r="H1186" t="s">
        <v>10</v>
      </c>
      <c r="I1186">
        <v>18.5</v>
      </c>
      <c r="J1186" t="s">
        <v>15</v>
      </c>
      <c r="K1186">
        <v>3.92</v>
      </c>
      <c r="L1186" t="s">
        <v>52</v>
      </c>
      <c r="M1186" s="8">
        <v>0.52</v>
      </c>
    </row>
    <row r="1187" spans="1:13" x14ac:dyDescent="0.25">
      <c r="A1187">
        <v>1186</v>
      </c>
      <c r="B1187">
        <v>7</v>
      </c>
      <c r="C1187">
        <v>0.2</v>
      </c>
      <c r="D1187">
        <v>7.5</v>
      </c>
      <c r="E1187">
        <v>0.7</v>
      </c>
      <c r="F1187">
        <v>8.6</v>
      </c>
      <c r="G1187">
        <v>2.81</v>
      </c>
      <c r="H1187" t="s">
        <v>8</v>
      </c>
      <c r="I1187">
        <v>16.5</v>
      </c>
      <c r="J1187" t="s">
        <v>13</v>
      </c>
      <c r="K1187">
        <v>4.3</v>
      </c>
      <c r="L1187" t="s">
        <v>52</v>
      </c>
      <c r="M1187" s="8">
        <v>0.42</v>
      </c>
    </row>
    <row r="1188" spans="1:13" x14ac:dyDescent="0.25">
      <c r="A1188">
        <v>1187</v>
      </c>
      <c r="B1188">
        <v>7</v>
      </c>
      <c r="C1188">
        <v>1.4</v>
      </c>
      <c r="D1188">
        <v>8.9</v>
      </c>
      <c r="E1188">
        <v>4.8</v>
      </c>
      <c r="F1188">
        <v>1.9</v>
      </c>
      <c r="G1188">
        <v>2.97</v>
      </c>
      <c r="H1188" t="s">
        <v>8</v>
      </c>
      <c r="I1188">
        <v>15.1</v>
      </c>
      <c r="J1188" t="s">
        <v>13</v>
      </c>
      <c r="K1188">
        <v>2.62</v>
      </c>
      <c r="L1188" t="s">
        <v>52</v>
      </c>
      <c r="M1188" s="8">
        <v>0.46</v>
      </c>
    </row>
    <row r="1189" spans="1:13" x14ac:dyDescent="0.25">
      <c r="A1189">
        <v>1188</v>
      </c>
      <c r="B1189">
        <v>6.9</v>
      </c>
      <c r="C1189">
        <v>0.6</v>
      </c>
      <c r="D1189">
        <v>9</v>
      </c>
      <c r="E1189">
        <v>4.2</v>
      </c>
      <c r="F1189">
        <v>3.3</v>
      </c>
      <c r="G1189">
        <v>2.83</v>
      </c>
      <c r="H1189" t="s">
        <v>8</v>
      </c>
      <c r="I1189">
        <v>15</v>
      </c>
      <c r="J1189" t="s">
        <v>13</v>
      </c>
      <c r="K1189">
        <v>2.6</v>
      </c>
      <c r="L1189" t="s">
        <v>52</v>
      </c>
      <c r="M1189" s="8">
        <v>0.46</v>
      </c>
    </row>
    <row r="1190" spans="1:13" x14ac:dyDescent="0.25">
      <c r="A1190">
        <v>1189</v>
      </c>
      <c r="B1190">
        <v>6</v>
      </c>
      <c r="C1190">
        <v>1.5</v>
      </c>
      <c r="D1190">
        <v>5.5</v>
      </c>
      <c r="E1190">
        <v>3.8</v>
      </c>
      <c r="F1190">
        <v>7.2</v>
      </c>
      <c r="G1190">
        <v>2.8</v>
      </c>
      <c r="H1190" t="s">
        <v>10</v>
      </c>
      <c r="I1190">
        <v>18.5</v>
      </c>
      <c r="J1190" t="s">
        <v>13</v>
      </c>
      <c r="K1190">
        <v>2.5099999999999998</v>
      </c>
      <c r="L1190" t="s">
        <v>52</v>
      </c>
      <c r="M1190" s="8">
        <v>0.32</v>
      </c>
    </row>
    <row r="1191" spans="1:13" x14ac:dyDescent="0.25">
      <c r="A1191">
        <v>1190</v>
      </c>
      <c r="B1191">
        <v>7.9</v>
      </c>
      <c r="C1191">
        <v>3.6</v>
      </c>
      <c r="D1191">
        <v>7.8</v>
      </c>
      <c r="E1191">
        <v>0.8</v>
      </c>
      <c r="F1191">
        <v>3.9</v>
      </c>
      <c r="G1191">
        <v>3.45</v>
      </c>
      <c r="H1191" t="s">
        <v>8</v>
      </c>
      <c r="I1191">
        <v>16.2</v>
      </c>
      <c r="J1191" t="s">
        <v>15</v>
      </c>
      <c r="K1191">
        <v>2.92</v>
      </c>
      <c r="L1191" t="s">
        <v>52</v>
      </c>
      <c r="M1191" s="8">
        <v>0.49</v>
      </c>
    </row>
    <row r="1192" spans="1:13" x14ac:dyDescent="0.25">
      <c r="A1192">
        <v>1191</v>
      </c>
      <c r="B1192">
        <v>6.9</v>
      </c>
      <c r="C1192">
        <v>3.4</v>
      </c>
      <c r="D1192">
        <v>8.1999999999999993</v>
      </c>
      <c r="E1192">
        <v>3.6</v>
      </c>
      <c r="F1192">
        <v>1.9</v>
      </c>
      <c r="G1192">
        <v>3.37</v>
      </c>
      <c r="H1192" t="s">
        <v>8</v>
      </c>
      <c r="I1192">
        <v>15.8</v>
      </c>
      <c r="J1192" t="s">
        <v>15</v>
      </c>
      <c r="K1192">
        <v>2.11</v>
      </c>
      <c r="L1192" t="s">
        <v>52</v>
      </c>
      <c r="M1192" s="8">
        <v>0.44</v>
      </c>
    </row>
    <row r="1193" spans="1:13" x14ac:dyDescent="0.25">
      <c r="A1193">
        <v>1192</v>
      </c>
      <c r="B1193">
        <v>8.8000000000000007</v>
      </c>
      <c r="C1193">
        <v>2.4</v>
      </c>
      <c r="D1193">
        <v>5.8</v>
      </c>
      <c r="E1193">
        <v>4.8</v>
      </c>
      <c r="F1193">
        <v>2.2000000000000002</v>
      </c>
      <c r="G1193">
        <v>3.38</v>
      </c>
      <c r="H1193" t="s">
        <v>10</v>
      </c>
      <c r="I1193">
        <v>18.2</v>
      </c>
      <c r="J1193" t="s">
        <v>15</v>
      </c>
      <c r="K1193">
        <v>3.07</v>
      </c>
      <c r="L1193" t="s">
        <v>52</v>
      </c>
      <c r="M1193" s="8">
        <v>0.48</v>
      </c>
    </row>
    <row r="1194" spans="1:13" x14ac:dyDescent="0.25">
      <c r="A1194">
        <v>1193</v>
      </c>
      <c r="B1194">
        <v>8.6</v>
      </c>
      <c r="C1194">
        <v>0.3</v>
      </c>
      <c r="D1194">
        <v>7.3</v>
      </c>
      <c r="E1194">
        <v>1</v>
      </c>
      <c r="F1194">
        <v>6.8</v>
      </c>
      <c r="G1194">
        <v>3.51</v>
      </c>
      <c r="H1194" t="s">
        <v>10</v>
      </c>
      <c r="I1194">
        <v>16.7</v>
      </c>
      <c r="J1194" t="s">
        <v>14</v>
      </c>
      <c r="K1194">
        <v>4.1500000000000004</v>
      </c>
      <c r="L1194" t="s">
        <v>52</v>
      </c>
      <c r="M1194" s="8">
        <v>0.51</v>
      </c>
    </row>
    <row r="1195" spans="1:13" x14ac:dyDescent="0.25">
      <c r="A1195">
        <v>1194</v>
      </c>
      <c r="B1195">
        <v>8.1</v>
      </c>
      <c r="C1195">
        <v>2.7</v>
      </c>
      <c r="D1195">
        <v>9.1999999999999993</v>
      </c>
      <c r="E1195">
        <v>0.9</v>
      </c>
      <c r="F1195">
        <v>3.1</v>
      </c>
      <c r="G1195">
        <v>2.78</v>
      </c>
      <c r="H1195" t="s">
        <v>10</v>
      </c>
      <c r="I1195">
        <v>14.8</v>
      </c>
      <c r="J1195" t="s">
        <v>13</v>
      </c>
      <c r="K1195">
        <v>3.09</v>
      </c>
      <c r="L1195" t="s">
        <v>52</v>
      </c>
      <c r="M1195" s="8">
        <v>0.55000000000000004</v>
      </c>
    </row>
    <row r="1196" spans="1:13" x14ac:dyDescent="0.25">
      <c r="A1196">
        <v>1195</v>
      </c>
      <c r="B1196">
        <v>5.6</v>
      </c>
      <c r="C1196">
        <v>3.4</v>
      </c>
      <c r="D1196">
        <v>5.8</v>
      </c>
      <c r="E1196">
        <v>5.8</v>
      </c>
      <c r="F1196">
        <v>3.4</v>
      </c>
      <c r="G1196">
        <v>2.84</v>
      </c>
      <c r="H1196" t="s">
        <v>10</v>
      </c>
      <c r="I1196">
        <v>18.2</v>
      </c>
      <c r="J1196" t="s">
        <v>13</v>
      </c>
      <c r="K1196">
        <v>1.33</v>
      </c>
      <c r="L1196" t="s">
        <v>51</v>
      </c>
      <c r="M1196" s="8">
        <v>0.31</v>
      </c>
    </row>
    <row r="1197" spans="1:13" x14ac:dyDescent="0.25">
      <c r="A1197">
        <v>1196</v>
      </c>
      <c r="B1197">
        <v>9.9</v>
      </c>
      <c r="C1197">
        <v>0.4</v>
      </c>
      <c r="D1197">
        <v>6.5</v>
      </c>
      <c r="E1197">
        <v>3.8</v>
      </c>
      <c r="F1197">
        <v>3.4</v>
      </c>
      <c r="G1197">
        <v>3.73</v>
      </c>
      <c r="H1197" t="s">
        <v>10</v>
      </c>
      <c r="I1197">
        <v>17.5</v>
      </c>
      <c r="J1197" t="s">
        <v>14</v>
      </c>
      <c r="K1197">
        <v>3.98</v>
      </c>
      <c r="L1197" t="s">
        <v>52</v>
      </c>
      <c r="M1197" s="8">
        <v>0.56999999999999995</v>
      </c>
    </row>
    <row r="1198" spans="1:13" x14ac:dyDescent="0.25">
      <c r="A1198">
        <v>1197</v>
      </c>
      <c r="B1198">
        <v>6.8</v>
      </c>
      <c r="C1198">
        <v>3.7</v>
      </c>
      <c r="D1198">
        <v>5.3</v>
      </c>
      <c r="E1198">
        <v>3.3</v>
      </c>
      <c r="F1198">
        <v>4.9000000000000004</v>
      </c>
      <c r="G1198">
        <v>3.37</v>
      </c>
      <c r="H1198" t="s">
        <v>10</v>
      </c>
      <c r="I1198">
        <v>18.700000000000003</v>
      </c>
      <c r="J1198" t="s">
        <v>15</v>
      </c>
      <c r="K1198">
        <v>1.57</v>
      </c>
      <c r="L1198" t="s">
        <v>52</v>
      </c>
      <c r="M1198" s="8">
        <v>0.36</v>
      </c>
    </row>
    <row r="1199" spans="1:13" x14ac:dyDescent="0.25">
      <c r="A1199">
        <v>1198</v>
      </c>
      <c r="B1199">
        <v>6.3</v>
      </c>
      <c r="C1199">
        <v>1.5</v>
      </c>
      <c r="D1199">
        <v>9.1999999999999993</v>
      </c>
      <c r="E1199">
        <v>1.2</v>
      </c>
      <c r="F1199">
        <v>5.8</v>
      </c>
      <c r="G1199">
        <v>3.15</v>
      </c>
      <c r="H1199" t="s">
        <v>8</v>
      </c>
      <c r="I1199">
        <v>14.8</v>
      </c>
      <c r="J1199" t="s">
        <v>15</v>
      </c>
      <c r="K1199">
        <v>2.72</v>
      </c>
      <c r="L1199" t="s">
        <v>52</v>
      </c>
      <c r="M1199" s="8">
        <v>0.43</v>
      </c>
    </row>
    <row r="1200" spans="1:13" x14ac:dyDescent="0.25">
      <c r="A1200">
        <v>1199</v>
      </c>
      <c r="B1200">
        <v>9.1</v>
      </c>
      <c r="C1200">
        <v>2.2999999999999998</v>
      </c>
      <c r="D1200">
        <v>8.8000000000000007</v>
      </c>
      <c r="E1200">
        <v>2.7</v>
      </c>
      <c r="F1200">
        <v>1.1000000000000001</v>
      </c>
      <c r="G1200">
        <v>3.43</v>
      </c>
      <c r="H1200" t="s">
        <v>10</v>
      </c>
      <c r="I1200">
        <v>15.199999999999998</v>
      </c>
      <c r="J1200" t="s">
        <v>15</v>
      </c>
      <c r="K1200">
        <v>3.6</v>
      </c>
      <c r="L1200" t="s">
        <v>52</v>
      </c>
      <c r="M1200" s="8">
        <v>0.6</v>
      </c>
    </row>
    <row r="1201" spans="1:13" x14ac:dyDescent="0.25">
      <c r="A1201">
        <v>1200</v>
      </c>
      <c r="B1201">
        <v>9.3000000000000007</v>
      </c>
      <c r="C1201">
        <v>1.7</v>
      </c>
      <c r="D1201">
        <v>9.8000000000000007</v>
      </c>
      <c r="E1201">
        <v>1.4</v>
      </c>
      <c r="F1201">
        <v>1.8</v>
      </c>
      <c r="G1201">
        <v>3.12</v>
      </c>
      <c r="H1201" t="s">
        <v>10</v>
      </c>
      <c r="I1201">
        <v>14.200000000000001</v>
      </c>
      <c r="J1201" t="s">
        <v>15</v>
      </c>
      <c r="K1201">
        <v>3.84</v>
      </c>
      <c r="L1201" t="s">
        <v>52</v>
      </c>
      <c r="M1201" s="8">
        <v>0.65</v>
      </c>
    </row>
    <row r="1202" spans="1:13" x14ac:dyDescent="0.25">
      <c r="A1202">
        <v>1201</v>
      </c>
      <c r="B1202">
        <v>5.7</v>
      </c>
      <c r="C1202">
        <v>1.6</v>
      </c>
      <c r="D1202">
        <v>9.8000000000000007</v>
      </c>
      <c r="E1202">
        <v>1.9</v>
      </c>
      <c r="F1202">
        <v>5</v>
      </c>
      <c r="G1202">
        <v>2.72</v>
      </c>
      <c r="H1202" t="s">
        <v>9</v>
      </c>
      <c r="I1202">
        <v>14.200000000000001</v>
      </c>
      <c r="J1202" t="s">
        <v>13</v>
      </c>
      <c r="K1202">
        <v>2.1</v>
      </c>
      <c r="L1202" t="s">
        <v>52</v>
      </c>
      <c r="M1202" s="8">
        <v>0.4</v>
      </c>
    </row>
    <row r="1203" spans="1:13" x14ac:dyDescent="0.25">
      <c r="A1203">
        <v>1202</v>
      </c>
      <c r="B1203">
        <v>8.6</v>
      </c>
      <c r="C1203">
        <v>1.2</v>
      </c>
      <c r="D1203">
        <v>8.9</v>
      </c>
      <c r="E1203">
        <v>2.2999999999999998</v>
      </c>
      <c r="F1203">
        <v>3</v>
      </c>
      <c r="G1203">
        <v>3.24</v>
      </c>
      <c r="H1203" t="s">
        <v>10</v>
      </c>
      <c r="I1203">
        <v>15.099999999999998</v>
      </c>
      <c r="J1203" t="s">
        <v>15</v>
      </c>
      <c r="K1203">
        <v>3.3</v>
      </c>
      <c r="L1203" t="s">
        <v>52</v>
      </c>
      <c r="M1203" s="8">
        <v>0.56999999999999995</v>
      </c>
    </row>
    <row r="1204" spans="1:13" x14ac:dyDescent="0.25">
      <c r="A1204">
        <v>1203</v>
      </c>
      <c r="B1204">
        <v>7.4</v>
      </c>
      <c r="C1204">
        <v>3.1</v>
      </c>
      <c r="D1204">
        <v>6.9</v>
      </c>
      <c r="E1204">
        <v>2.7</v>
      </c>
      <c r="F1204">
        <v>3.9</v>
      </c>
      <c r="G1204">
        <v>2.82</v>
      </c>
      <c r="H1204" t="s">
        <v>8</v>
      </c>
      <c r="I1204">
        <v>17.099999999999998</v>
      </c>
      <c r="J1204" t="s">
        <v>13</v>
      </c>
      <c r="K1204">
        <v>2.14</v>
      </c>
      <c r="L1204" t="s">
        <v>52</v>
      </c>
      <c r="M1204" s="8">
        <v>0.43</v>
      </c>
    </row>
    <row r="1205" spans="1:13" x14ac:dyDescent="0.25">
      <c r="A1205">
        <v>1204</v>
      </c>
      <c r="B1205">
        <v>7.6</v>
      </c>
      <c r="C1205">
        <v>3.2</v>
      </c>
      <c r="D1205">
        <v>6.8</v>
      </c>
      <c r="E1205">
        <v>3.1</v>
      </c>
      <c r="F1205">
        <v>3.3</v>
      </c>
      <c r="G1205">
        <v>2.87</v>
      </c>
      <c r="H1205" t="s">
        <v>8</v>
      </c>
      <c r="I1205">
        <v>17.2</v>
      </c>
      <c r="J1205" t="s">
        <v>13</v>
      </c>
      <c r="K1205">
        <v>2.2000000000000002</v>
      </c>
      <c r="L1205" t="s">
        <v>52</v>
      </c>
      <c r="M1205" s="8">
        <v>0.44</v>
      </c>
    </row>
    <row r="1206" spans="1:13" x14ac:dyDescent="0.25">
      <c r="A1206">
        <v>1205</v>
      </c>
      <c r="B1206">
        <v>8.4</v>
      </c>
      <c r="C1206">
        <v>1.1000000000000001</v>
      </c>
      <c r="D1206">
        <v>6.4</v>
      </c>
      <c r="E1206">
        <v>5.6</v>
      </c>
      <c r="F1206">
        <v>2.5</v>
      </c>
      <c r="G1206">
        <v>3.37</v>
      </c>
      <c r="H1206" t="s">
        <v>10</v>
      </c>
      <c r="I1206">
        <v>17.600000000000001</v>
      </c>
      <c r="J1206" t="s">
        <v>15</v>
      </c>
      <c r="K1206">
        <v>3.26</v>
      </c>
      <c r="L1206" t="s">
        <v>52</v>
      </c>
      <c r="M1206" s="8">
        <v>0.48</v>
      </c>
    </row>
    <row r="1207" spans="1:13" x14ac:dyDescent="0.25">
      <c r="A1207">
        <v>1206</v>
      </c>
      <c r="B1207">
        <v>8.1999999999999993</v>
      </c>
      <c r="C1207">
        <v>0.1</v>
      </c>
      <c r="D1207">
        <v>8.1</v>
      </c>
      <c r="E1207">
        <v>3.1</v>
      </c>
      <c r="F1207">
        <v>4.5</v>
      </c>
      <c r="G1207">
        <v>3.56</v>
      </c>
      <c r="H1207" t="s">
        <v>10</v>
      </c>
      <c r="I1207">
        <v>15.899999999999999</v>
      </c>
      <c r="J1207" t="s">
        <v>14</v>
      </c>
      <c r="K1207">
        <v>3.36</v>
      </c>
      <c r="L1207" t="s">
        <v>52</v>
      </c>
      <c r="M1207" s="8">
        <v>0.52</v>
      </c>
    </row>
    <row r="1208" spans="1:13" x14ac:dyDescent="0.25">
      <c r="A1208">
        <v>1207</v>
      </c>
      <c r="B1208">
        <v>7.7</v>
      </c>
      <c r="C1208">
        <v>1.4</v>
      </c>
      <c r="D1208">
        <v>5.4</v>
      </c>
      <c r="E1208">
        <v>1.2</v>
      </c>
      <c r="F1208">
        <v>8.3000000000000007</v>
      </c>
      <c r="G1208">
        <v>3.13</v>
      </c>
      <c r="H1208" t="s">
        <v>10</v>
      </c>
      <c r="I1208">
        <v>18.600000000000001</v>
      </c>
      <c r="J1208" t="s">
        <v>15</v>
      </c>
      <c r="K1208">
        <v>3.88</v>
      </c>
      <c r="L1208" t="s">
        <v>52</v>
      </c>
      <c r="M1208" s="8">
        <v>0.41</v>
      </c>
    </row>
    <row r="1209" spans="1:13" x14ac:dyDescent="0.25">
      <c r="A1209">
        <v>1208</v>
      </c>
      <c r="B1209">
        <v>7.3</v>
      </c>
      <c r="C1209">
        <v>0.2</v>
      </c>
      <c r="D1209">
        <v>5.2</v>
      </c>
      <c r="E1209">
        <v>4.3</v>
      </c>
      <c r="F1209">
        <v>7</v>
      </c>
      <c r="G1209">
        <v>3.21</v>
      </c>
      <c r="H1209" t="s">
        <v>10</v>
      </c>
      <c r="I1209">
        <v>18.8</v>
      </c>
      <c r="J1209" t="s">
        <v>15</v>
      </c>
      <c r="K1209">
        <v>3.29</v>
      </c>
      <c r="L1209" t="s">
        <v>52</v>
      </c>
      <c r="M1209" s="8">
        <v>0.39</v>
      </c>
    </row>
    <row r="1210" spans="1:13" x14ac:dyDescent="0.25">
      <c r="A1210">
        <v>1209</v>
      </c>
      <c r="B1210">
        <v>7.7</v>
      </c>
      <c r="C1210">
        <v>2</v>
      </c>
      <c r="D1210">
        <v>6.2</v>
      </c>
      <c r="E1210">
        <v>4.5</v>
      </c>
      <c r="F1210">
        <v>3.6</v>
      </c>
      <c r="G1210">
        <v>3.07</v>
      </c>
      <c r="H1210" t="s">
        <v>8</v>
      </c>
      <c r="I1210">
        <v>17.8</v>
      </c>
      <c r="J1210" t="s">
        <v>15</v>
      </c>
      <c r="K1210">
        <v>2.4</v>
      </c>
      <c r="L1210" t="s">
        <v>52</v>
      </c>
      <c r="M1210" s="8">
        <v>0.43</v>
      </c>
    </row>
    <row r="1211" spans="1:13" x14ac:dyDescent="0.25">
      <c r="A1211">
        <v>1210</v>
      </c>
      <c r="B1211">
        <v>7.3</v>
      </c>
      <c r="C1211">
        <v>1.1000000000000001</v>
      </c>
      <c r="D1211">
        <v>6.2</v>
      </c>
      <c r="E1211">
        <v>3.9</v>
      </c>
      <c r="F1211">
        <v>5.5</v>
      </c>
      <c r="G1211">
        <v>3</v>
      </c>
      <c r="H1211" t="s">
        <v>8</v>
      </c>
      <c r="I1211">
        <v>17.8</v>
      </c>
      <c r="J1211" t="s">
        <v>15</v>
      </c>
      <c r="K1211">
        <v>2.63</v>
      </c>
      <c r="L1211" t="s">
        <v>52</v>
      </c>
      <c r="M1211" s="8">
        <v>0.41</v>
      </c>
    </row>
    <row r="1212" spans="1:13" x14ac:dyDescent="0.25">
      <c r="A1212">
        <v>1211</v>
      </c>
      <c r="B1212">
        <v>8.3000000000000007</v>
      </c>
      <c r="C1212">
        <v>3.3</v>
      </c>
      <c r="D1212">
        <v>7.1</v>
      </c>
      <c r="E1212">
        <v>0.4</v>
      </c>
      <c r="F1212">
        <v>4.9000000000000004</v>
      </c>
      <c r="G1212">
        <v>3.56</v>
      </c>
      <c r="H1212" t="s">
        <v>10</v>
      </c>
      <c r="I1212">
        <v>16.900000000000002</v>
      </c>
      <c r="J1212" t="s">
        <v>14</v>
      </c>
      <c r="K1212">
        <v>3.29</v>
      </c>
      <c r="L1212" t="s">
        <v>52</v>
      </c>
      <c r="M1212" s="8">
        <v>0.49</v>
      </c>
    </row>
    <row r="1213" spans="1:13" x14ac:dyDescent="0.25">
      <c r="A1213">
        <v>1212</v>
      </c>
      <c r="B1213">
        <v>5</v>
      </c>
      <c r="C1213">
        <v>2.1</v>
      </c>
      <c r="D1213">
        <v>5.2</v>
      </c>
      <c r="E1213">
        <v>3.4</v>
      </c>
      <c r="F1213">
        <v>8.3000000000000007</v>
      </c>
      <c r="G1213">
        <v>2.9</v>
      </c>
      <c r="H1213" t="s">
        <v>10</v>
      </c>
      <c r="I1213">
        <v>18.8</v>
      </c>
      <c r="J1213" t="s">
        <v>13</v>
      </c>
      <c r="K1213">
        <v>2.68</v>
      </c>
      <c r="L1213" t="s">
        <v>52</v>
      </c>
      <c r="M1213" s="8">
        <v>0.27</v>
      </c>
    </row>
    <row r="1214" spans="1:13" x14ac:dyDescent="0.25">
      <c r="A1214">
        <v>1213</v>
      </c>
      <c r="B1214">
        <v>9.6</v>
      </c>
      <c r="C1214">
        <v>3.9</v>
      </c>
      <c r="D1214">
        <v>7.7</v>
      </c>
      <c r="E1214">
        <v>1.3</v>
      </c>
      <c r="F1214">
        <v>1.5</v>
      </c>
      <c r="G1214">
        <v>3.47</v>
      </c>
      <c r="H1214" t="s">
        <v>10</v>
      </c>
      <c r="I1214">
        <v>16.3</v>
      </c>
      <c r="J1214" t="s">
        <v>15</v>
      </c>
      <c r="K1214">
        <v>3.87</v>
      </c>
      <c r="L1214" t="s">
        <v>52</v>
      </c>
      <c r="M1214" s="8">
        <v>0.59</v>
      </c>
    </row>
    <row r="1215" spans="1:13" x14ac:dyDescent="0.25">
      <c r="A1215">
        <v>1214</v>
      </c>
      <c r="B1215">
        <v>5.3</v>
      </c>
      <c r="C1215">
        <v>1.9</v>
      </c>
      <c r="D1215">
        <v>6.2</v>
      </c>
      <c r="E1215">
        <v>2.8</v>
      </c>
      <c r="F1215">
        <v>7.8</v>
      </c>
      <c r="G1215">
        <v>2.87</v>
      </c>
      <c r="H1215" t="s">
        <v>9</v>
      </c>
      <c r="I1215">
        <v>17.8</v>
      </c>
      <c r="J1215" t="s">
        <v>13</v>
      </c>
      <c r="K1215">
        <v>2.66</v>
      </c>
      <c r="L1215" t="s">
        <v>52</v>
      </c>
      <c r="M1215" s="8">
        <v>0.3</v>
      </c>
    </row>
    <row r="1216" spans="1:13" x14ac:dyDescent="0.25">
      <c r="A1216">
        <v>1215</v>
      </c>
      <c r="B1216">
        <v>7.3</v>
      </c>
      <c r="C1216">
        <v>2.2999999999999998</v>
      </c>
      <c r="D1216">
        <v>6.8</v>
      </c>
      <c r="E1216">
        <v>1</v>
      </c>
      <c r="F1216">
        <v>6.6</v>
      </c>
      <c r="G1216">
        <v>3.35</v>
      </c>
      <c r="H1216" t="s">
        <v>8</v>
      </c>
      <c r="I1216">
        <v>17.2</v>
      </c>
      <c r="J1216" t="s">
        <v>15</v>
      </c>
      <c r="K1216">
        <v>3.12</v>
      </c>
      <c r="L1216" t="s">
        <v>52</v>
      </c>
      <c r="M1216" s="8">
        <v>0.42</v>
      </c>
    </row>
    <row r="1217" spans="1:13" x14ac:dyDescent="0.25">
      <c r="A1217">
        <v>1216</v>
      </c>
      <c r="B1217">
        <v>8.3000000000000007</v>
      </c>
      <c r="C1217">
        <v>1.4</v>
      </c>
      <c r="D1217">
        <v>9.6999999999999993</v>
      </c>
      <c r="E1217">
        <v>4.2</v>
      </c>
      <c r="F1217">
        <v>0.4</v>
      </c>
      <c r="G1217">
        <v>3.25</v>
      </c>
      <c r="H1217" t="s">
        <v>10</v>
      </c>
      <c r="I1217">
        <v>14.300000000000002</v>
      </c>
      <c r="J1217" t="s">
        <v>15</v>
      </c>
      <c r="K1217">
        <v>3.54</v>
      </c>
      <c r="L1217" t="s">
        <v>52</v>
      </c>
      <c r="M1217" s="8">
        <v>0.57999999999999996</v>
      </c>
    </row>
    <row r="1218" spans="1:13" x14ac:dyDescent="0.25">
      <c r="A1218">
        <v>1217</v>
      </c>
      <c r="B1218">
        <v>6</v>
      </c>
      <c r="C1218">
        <v>0.2</v>
      </c>
      <c r="D1218">
        <v>8.6999999999999993</v>
      </c>
      <c r="E1218">
        <v>5</v>
      </c>
      <c r="F1218">
        <v>4.0999999999999996</v>
      </c>
      <c r="G1218">
        <v>3.04</v>
      </c>
      <c r="H1218" t="s">
        <v>8</v>
      </c>
      <c r="I1218">
        <v>15.299999999999999</v>
      </c>
      <c r="J1218" t="s">
        <v>15</v>
      </c>
      <c r="K1218">
        <v>2.54</v>
      </c>
      <c r="L1218" t="s">
        <v>52</v>
      </c>
      <c r="M1218" s="8">
        <v>0.39</v>
      </c>
    </row>
    <row r="1219" spans="1:13" x14ac:dyDescent="0.25">
      <c r="A1219">
        <v>1218</v>
      </c>
      <c r="B1219">
        <v>5.0999999999999996</v>
      </c>
      <c r="C1219">
        <v>1</v>
      </c>
      <c r="D1219">
        <v>7.3</v>
      </c>
      <c r="E1219">
        <v>3.8</v>
      </c>
      <c r="F1219">
        <v>6.8</v>
      </c>
      <c r="G1219">
        <v>3.24</v>
      </c>
      <c r="H1219" t="s">
        <v>9</v>
      </c>
      <c r="I1219">
        <v>16.7</v>
      </c>
      <c r="J1219" t="s">
        <v>15</v>
      </c>
      <c r="K1219">
        <v>2.4500000000000002</v>
      </c>
      <c r="L1219" t="s">
        <v>52</v>
      </c>
      <c r="M1219" s="8">
        <v>0.31</v>
      </c>
    </row>
    <row r="1220" spans="1:13" x14ac:dyDescent="0.25">
      <c r="A1220">
        <v>1219</v>
      </c>
      <c r="B1220">
        <v>7.8</v>
      </c>
      <c r="C1220">
        <v>3</v>
      </c>
      <c r="D1220">
        <v>6.4</v>
      </c>
      <c r="E1220">
        <v>3.4</v>
      </c>
      <c r="F1220">
        <v>3.4</v>
      </c>
      <c r="G1220">
        <v>3.14</v>
      </c>
      <c r="H1220" t="s">
        <v>8</v>
      </c>
      <c r="I1220">
        <v>17.600000000000001</v>
      </c>
      <c r="J1220" t="s">
        <v>15</v>
      </c>
      <c r="K1220">
        <v>2.27</v>
      </c>
      <c r="L1220" t="s">
        <v>52</v>
      </c>
      <c r="M1220" s="8">
        <v>0.44</v>
      </c>
    </row>
    <row r="1221" spans="1:13" x14ac:dyDescent="0.25">
      <c r="A1221">
        <v>1220</v>
      </c>
      <c r="B1221">
        <v>8.8000000000000007</v>
      </c>
      <c r="C1221">
        <v>2.8</v>
      </c>
      <c r="D1221">
        <v>10</v>
      </c>
      <c r="E1221">
        <v>0.7</v>
      </c>
      <c r="F1221">
        <v>1.7</v>
      </c>
      <c r="G1221">
        <v>3.16</v>
      </c>
      <c r="H1221" t="s">
        <v>10</v>
      </c>
      <c r="I1221">
        <v>14</v>
      </c>
      <c r="J1221" t="s">
        <v>15</v>
      </c>
      <c r="K1221">
        <v>3.64</v>
      </c>
      <c r="L1221" t="s">
        <v>52</v>
      </c>
      <c r="M1221" s="8">
        <v>0.63</v>
      </c>
    </row>
    <row r="1222" spans="1:13" x14ac:dyDescent="0.25">
      <c r="A1222">
        <v>1221</v>
      </c>
      <c r="B1222">
        <v>7.5</v>
      </c>
      <c r="C1222">
        <v>1.3</v>
      </c>
      <c r="D1222">
        <v>7.2</v>
      </c>
      <c r="E1222">
        <v>5.0999999999999996</v>
      </c>
      <c r="F1222">
        <v>2.9</v>
      </c>
      <c r="G1222">
        <v>3.27</v>
      </c>
      <c r="H1222" t="s">
        <v>8</v>
      </c>
      <c r="I1222">
        <v>16.8</v>
      </c>
      <c r="J1222" t="s">
        <v>15</v>
      </c>
      <c r="K1222">
        <v>2.7</v>
      </c>
      <c r="L1222" t="s">
        <v>52</v>
      </c>
      <c r="M1222" s="8">
        <v>0.45</v>
      </c>
    </row>
    <row r="1223" spans="1:13" x14ac:dyDescent="0.25">
      <c r="A1223">
        <v>1222</v>
      </c>
      <c r="B1223">
        <v>6</v>
      </c>
      <c r="C1223">
        <v>3.5</v>
      </c>
      <c r="D1223">
        <v>5.3</v>
      </c>
      <c r="E1223">
        <v>5.3</v>
      </c>
      <c r="F1223">
        <v>3.9</v>
      </c>
      <c r="G1223">
        <v>2.97</v>
      </c>
      <c r="H1223" t="s">
        <v>10</v>
      </c>
      <c r="I1223">
        <v>18.7</v>
      </c>
      <c r="J1223" t="s">
        <v>13</v>
      </c>
      <c r="K1223">
        <v>1.17</v>
      </c>
      <c r="L1223" t="s">
        <v>51</v>
      </c>
      <c r="M1223" s="8">
        <v>0.32</v>
      </c>
    </row>
    <row r="1224" spans="1:13" x14ac:dyDescent="0.25">
      <c r="A1224">
        <v>1223</v>
      </c>
      <c r="B1224">
        <v>6.6</v>
      </c>
      <c r="C1224">
        <v>1.3</v>
      </c>
      <c r="D1224">
        <v>7.6</v>
      </c>
      <c r="E1224">
        <v>5.6</v>
      </c>
      <c r="F1224">
        <v>2.9</v>
      </c>
      <c r="G1224">
        <v>2.96</v>
      </c>
      <c r="H1224" t="s">
        <v>8</v>
      </c>
      <c r="I1224">
        <v>16.399999999999999</v>
      </c>
      <c r="J1224" t="s">
        <v>13</v>
      </c>
      <c r="K1224">
        <v>2.4300000000000002</v>
      </c>
      <c r="L1224" t="s">
        <v>52</v>
      </c>
      <c r="M1224" s="8">
        <v>0.4</v>
      </c>
    </row>
    <row r="1225" spans="1:13" x14ac:dyDescent="0.25">
      <c r="A1225">
        <v>1224</v>
      </c>
      <c r="B1225">
        <v>9.3000000000000007</v>
      </c>
      <c r="C1225">
        <v>1.6</v>
      </c>
      <c r="D1225">
        <v>6</v>
      </c>
      <c r="E1225">
        <v>2.5</v>
      </c>
      <c r="F1225">
        <v>4.5999999999999996</v>
      </c>
      <c r="G1225">
        <v>3.31</v>
      </c>
      <c r="H1225" t="s">
        <v>10</v>
      </c>
      <c r="I1225">
        <v>18</v>
      </c>
      <c r="J1225" t="s">
        <v>15</v>
      </c>
      <c r="K1225">
        <v>3.44</v>
      </c>
      <c r="L1225" t="s">
        <v>52</v>
      </c>
      <c r="M1225" s="8">
        <v>0.52</v>
      </c>
    </row>
    <row r="1226" spans="1:13" x14ac:dyDescent="0.25">
      <c r="A1226">
        <v>1225</v>
      </c>
      <c r="B1226">
        <v>6.9</v>
      </c>
      <c r="C1226">
        <v>3.7</v>
      </c>
      <c r="D1226">
        <v>8.8000000000000007</v>
      </c>
      <c r="E1226">
        <v>2.2999999999999998</v>
      </c>
      <c r="F1226">
        <v>2.2999999999999998</v>
      </c>
      <c r="G1226">
        <v>3.03</v>
      </c>
      <c r="H1226" t="s">
        <v>8</v>
      </c>
      <c r="I1226">
        <v>15.200000000000003</v>
      </c>
      <c r="J1226" t="s">
        <v>15</v>
      </c>
      <c r="K1226">
        <v>2.17</v>
      </c>
      <c r="L1226" t="s">
        <v>52</v>
      </c>
      <c r="M1226" s="8">
        <v>0.45</v>
      </c>
    </row>
    <row r="1227" spans="1:13" x14ac:dyDescent="0.25">
      <c r="A1227">
        <v>1226</v>
      </c>
      <c r="B1227">
        <v>5.3</v>
      </c>
      <c r="C1227">
        <v>1</v>
      </c>
      <c r="D1227">
        <v>7.2</v>
      </c>
      <c r="E1227">
        <v>0.9</v>
      </c>
      <c r="F1227">
        <v>9.6</v>
      </c>
      <c r="G1227">
        <v>2.85</v>
      </c>
      <c r="H1227" t="s">
        <v>9</v>
      </c>
      <c r="I1227">
        <v>16.8</v>
      </c>
      <c r="J1227" t="s">
        <v>13</v>
      </c>
      <c r="K1227">
        <v>4.1399999999999997</v>
      </c>
      <c r="L1227" t="s">
        <v>52</v>
      </c>
      <c r="M1227" s="8">
        <v>0.32</v>
      </c>
    </row>
    <row r="1228" spans="1:13" x14ac:dyDescent="0.25">
      <c r="A1228">
        <v>1227</v>
      </c>
      <c r="B1228">
        <v>9.6999999999999993</v>
      </c>
      <c r="C1228">
        <v>3.1</v>
      </c>
      <c r="D1228">
        <v>6.3</v>
      </c>
      <c r="E1228">
        <v>2.9</v>
      </c>
      <c r="F1228">
        <v>2</v>
      </c>
      <c r="G1228">
        <v>3.5</v>
      </c>
      <c r="H1228" t="s">
        <v>10</v>
      </c>
      <c r="I1228">
        <v>17.7</v>
      </c>
      <c r="J1228" t="s">
        <v>14</v>
      </c>
      <c r="K1228">
        <v>3.55</v>
      </c>
      <c r="L1228" t="s">
        <v>52</v>
      </c>
      <c r="M1228" s="8">
        <v>0.55000000000000004</v>
      </c>
    </row>
    <row r="1229" spans="1:13" x14ac:dyDescent="0.25">
      <c r="A1229">
        <v>1228</v>
      </c>
      <c r="B1229">
        <v>9.4</v>
      </c>
      <c r="C1229">
        <v>2.1</v>
      </c>
      <c r="D1229">
        <v>8.9</v>
      </c>
      <c r="E1229">
        <v>2</v>
      </c>
      <c r="F1229">
        <v>1.6</v>
      </c>
      <c r="G1229">
        <v>3.43</v>
      </c>
      <c r="H1229" t="s">
        <v>10</v>
      </c>
      <c r="I1229">
        <v>15.1</v>
      </c>
      <c r="J1229" t="s">
        <v>15</v>
      </c>
      <c r="K1229">
        <v>3.76</v>
      </c>
      <c r="L1229" t="s">
        <v>52</v>
      </c>
      <c r="M1229" s="8">
        <v>0.62</v>
      </c>
    </row>
    <row r="1230" spans="1:13" x14ac:dyDescent="0.25">
      <c r="A1230">
        <v>1229</v>
      </c>
      <c r="B1230">
        <v>7.8</v>
      </c>
      <c r="C1230">
        <v>0.5</v>
      </c>
      <c r="D1230">
        <v>5.6</v>
      </c>
      <c r="E1230">
        <v>3.2</v>
      </c>
      <c r="F1230">
        <v>6.9</v>
      </c>
      <c r="G1230">
        <v>3.36</v>
      </c>
      <c r="H1230" t="s">
        <v>10</v>
      </c>
      <c r="I1230">
        <v>18.399999999999999</v>
      </c>
      <c r="J1230" t="s">
        <v>15</v>
      </c>
      <c r="K1230">
        <v>3.38</v>
      </c>
      <c r="L1230" t="s">
        <v>52</v>
      </c>
      <c r="M1230" s="8">
        <v>0.42</v>
      </c>
    </row>
    <row r="1231" spans="1:13" x14ac:dyDescent="0.25">
      <c r="A1231">
        <v>1230</v>
      </c>
      <c r="B1231">
        <v>9.8000000000000007</v>
      </c>
      <c r="C1231">
        <v>1.9</v>
      </c>
      <c r="D1231">
        <v>5.3</v>
      </c>
      <c r="E1231">
        <v>3.3</v>
      </c>
      <c r="F1231">
        <v>3.7</v>
      </c>
      <c r="G1231">
        <v>3.93</v>
      </c>
      <c r="H1231" t="s">
        <v>10</v>
      </c>
      <c r="I1231">
        <v>18.7</v>
      </c>
      <c r="J1231" t="s">
        <v>14</v>
      </c>
      <c r="K1231">
        <v>3.5</v>
      </c>
      <c r="L1231" t="s">
        <v>52</v>
      </c>
      <c r="M1231" s="8">
        <v>0.52</v>
      </c>
    </row>
    <row r="1232" spans="1:13" x14ac:dyDescent="0.25">
      <c r="A1232">
        <v>1231</v>
      </c>
      <c r="B1232">
        <v>9.1999999999999993</v>
      </c>
      <c r="C1232">
        <v>4</v>
      </c>
      <c r="D1232">
        <v>7.2</v>
      </c>
      <c r="E1232">
        <v>1.2</v>
      </c>
      <c r="F1232">
        <v>2.4</v>
      </c>
      <c r="G1232">
        <v>3.1</v>
      </c>
      <c r="H1232" t="s">
        <v>10</v>
      </c>
      <c r="I1232">
        <v>16.799999999999997</v>
      </c>
      <c r="J1232" t="s">
        <v>15</v>
      </c>
      <c r="K1232">
        <v>3.53</v>
      </c>
      <c r="L1232" t="s">
        <v>52</v>
      </c>
      <c r="M1232" s="8">
        <v>0.55000000000000004</v>
      </c>
    </row>
    <row r="1233" spans="1:13" x14ac:dyDescent="0.25">
      <c r="A1233">
        <v>1232</v>
      </c>
      <c r="B1233">
        <v>5.2</v>
      </c>
      <c r="C1233">
        <v>1.4</v>
      </c>
      <c r="D1233">
        <v>6.3</v>
      </c>
      <c r="E1233">
        <v>4.0999999999999996</v>
      </c>
      <c r="F1233">
        <v>7</v>
      </c>
      <c r="G1233">
        <v>3.12</v>
      </c>
      <c r="H1233" t="s">
        <v>9</v>
      </c>
      <c r="I1233">
        <v>17.7</v>
      </c>
      <c r="J1233" t="s">
        <v>15</v>
      </c>
      <c r="K1233">
        <v>2.34</v>
      </c>
      <c r="L1233" t="s">
        <v>52</v>
      </c>
      <c r="M1233" s="8">
        <v>0.28999999999999998</v>
      </c>
    </row>
    <row r="1234" spans="1:13" x14ac:dyDescent="0.25">
      <c r="A1234">
        <v>1233</v>
      </c>
      <c r="B1234">
        <v>9.6999999999999993</v>
      </c>
      <c r="C1234">
        <v>1.1000000000000001</v>
      </c>
      <c r="D1234">
        <v>9.1</v>
      </c>
      <c r="E1234">
        <v>0.2</v>
      </c>
      <c r="F1234">
        <v>3.9</v>
      </c>
      <c r="G1234">
        <v>3.3</v>
      </c>
      <c r="H1234" t="s">
        <v>10</v>
      </c>
      <c r="I1234">
        <v>14.899999999999999</v>
      </c>
      <c r="J1234" t="s">
        <v>15</v>
      </c>
      <c r="K1234">
        <v>4.28</v>
      </c>
      <c r="L1234" t="s">
        <v>52</v>
      </c>
      <c r="M1234" s="8">
        <v>0.65</v>
      </c>
    </row>
    <row r="1235" spans="1:13" x14ac:dyDescent="0.25">
      <c r="A1235">
        <v>1234</v>
      </c>
      <c r="B1235">
        <v>9.6999999999999993</v>
      </c>
      <c r="C1235">
        <v>3.1</v>
      </c>
      <c r="D1235">
        <v>8.3000000000000007</v>
      </c>
      <c r="E1235">
        <v>2.4</v>
      </c>
      <c r="F1235">
        <v>0.5</v>
      </c>
      <c r="G1235">
        <v>3.47</v>
      </c>
      <c r="H1235" t="s">
        <v>10</v>
      </c>
      <c r="I1235">
        <v>15.7</v>
      </c>
      <c r="J1235" t="s">
        <v>15</v>
      </c>
      <c r="K1235">
        <v>4</v>
      </c>
      <c r="L1235" t="s">
        <v>52</v>
      </c>
      <c r="M1235" s="8">
        <v>0.62</v>
      </c>
    </row>
    <row r="1236" spans="1:13" x14ac:dyDescent="0.25">
      <c r="A1236">
        <v>1235</v>
      </c>
      <c r="B1236">
        <v>8.1999999999999993</v>
      </c>
      <c r="C1236">
        <v>3.9</v>
      </c>
      <c r="D1236">
        <v>8.6</v>
      </c>
      <c r="E1236">
        <v>3.1</v>
      </c>
      <c r="F1236">
        <v>0.2</v>
      </c>
      <c r="G1236">
        <v>3.02</v>
      </c>
      <c r="H1236" t="s">
        <v>10</v>
      </c>
      <c r="I1236">
        <v>15.399999999999999</v>
      </c>
      <c r="J1236" t="s">
        <v>15</v>
      </c>
      <c r="K1236">
        <v>3.31</v>
      </c>
      <c r="L1236" t="s">
        <v>52</v>
      </c>
      <c r="M1236" s="8">
        <v>0.53</v>
      </c>
    </row>
    <row r="1237" spans="1:13" x14ac:dyDescent="0.25">
      <c r="A1237">
        <v>1236</v>
      </c>
      <c r="B1237">
        <v>7.6</v>
      </c>
      <c r="C1237">
        <v>0.5</v>
      </c>
      <c r="D1237">
        <v>8</v>
      </c>
      <c r="E1237">
        <v>2.9</v>
      </c>
      <c r="F1237">
        <v>5</v>
      </c>
      <c r="G1237">
        <v>3.15</v>
      </c>
      <c r="H1237" t="s">
        <v>8</v>
      </c>
      <c r="I1237">
        <v>16</v>
      </c>
      <c r="J1237" t="s">
        <v>15</v>
      </c>
      <c r="K1237">
        <v>3.02</v>
      </c>
      <c r="L1237" t="s">
        <v>52</v>
      </c>
      <c r="M1237" s="8">
        <v>0.48</v>
      </c>
    </row>
    <row r="1238" spans="1:13" x14ac:dyDescent="0.25">
      <c r="A1238">
        <v>1237</v>
      </c>
      <c r="B1238">
        <v>8.1</v>
      </c>
      <c r="C1238">
        <v>0</v>
      </c>
      <c r="D1238">
        <v>6</v>
      </c>
      <c r="E1238">
        <v>2.9</v>
      </c>
      <c r="F1238">
        <v>7</v>
      </c>
      <c r="G1238">
        <v>3.19</v>
      </c>
      <c r="H1238" t="s">
        <v>10</v>
      </c>
      <c r="I1238">
        <v>18</v>
      </c>
      <c r="J1238" t="s">
        <v>15</v>
      </c>
      <c r="K1238">
        <v>3.74</v>
      </c>
      <c r="L1238" t="s">
        <v>52</v>
      </c>
      <c r="M1238" s="8">
        <v>0.45</v>
      </c>
    </row>
    <row r="1239" spans="1:13" x14ac:dyDescent="0.25">
      <c r="A1239">
        <v>1238</v>
      </c>
      <c r="B1239">
        <v>7.1</v>
      </c>
      <c r="C1239">
        <v>2.9</v>
      </c>
      <c r="D1239">
        <v>8</v>
      </c>
      <c r="E1239">
        <v>1.8</v>
      </c>
      <c r="F1239">
        <v>4.2</v>
      </c>
      <c r="G1239">
        <v>3.17</v>
      </c>
      <c r="H1239" t="s">
        <v>8</v>
      </c>
      <c r="I1239">
        <v>16</v>
      </c>
      <c r="J1239" t="s">
        <v>15</v>
      </c>
      <c r="K1239">
        <v>2.29</v>
      </c>
      <c r="L1239" t="s">
        <v>52</v>
      </c>
      <c r="M1239" s="8">
        <v>0.44</v>
      </c>
    </row>
    <row r="1240" spans="1:13" x14ac:dyDescent="0.25">
      <c r="A1240">
        <v>1239</v>
      </c>
      <c r="B1240">
        <v>7.1</v>
      </c>
      <c r="C1240">
        <v>0.9</v>
      </c>
      <c r="D1240">
        <v>9.8000000000000007</v>
      </c>
      <c r="E1240">
        <v>0.8</v>
      </c>
      <c r="F1240">
        <v>5.4</v>
      </c>
      <c r="G1240">
        <v>3.01</v>
      </c>
      <c r="H1240" t="s">
        <v>8</v>
      </c>
      <c r="I1240">
        <v>14.200000000000001</v>
      </c>
      <c r="J1240" t="s">
        <v>15</v>
      </c>
      <c r="K1240">
        <v>3.19</v>
      </c>
      <c r="L1240" t="s">
        <v>52</v>
      </c>
      <c r="M1240" s="8">
        <v>0.5</v>
      </c>
    </row>
    <row r="1241" spans="1:13" x14ac:dyDescent="0.25">
      <c r="A1241">
        <v>1240</v>
      </c>
      <c r="B1241">
        <v>6.1</v>
      </c>
      <c r="C1241">
        <v>3.1</v>
      </c>
      <c r="D1241">
        <v>6</v>
      </c>
      <c r="E1241">
        <v>0.5</v>
      </c>
      <c r="F1241">
        <v>8.3000000000000007</v>
      </c>
      <c r="G1241">
        <v>2.9</v>
      </c>
      <c r="H1241" t="s">
        <v>8</v>
      </c>
      <c r="I1241">
        <v>18</v>
      </c>
      <c r="J1241" t="s">
        <v>13</v>
      </c>
      <c r="K1241">
        <v>3.41</v>
      </c>
      <c r="L1241" t="s">
        <v>52</v>
      </c>
      <c r="M1241" s="8">
        <v>0.34</v>
      </c>
    </row>
    <row r="1242" spans="1:13" x14ac:dyDescent="0.25">
      <c r="A1242">
        <v>1241</v>
      </c>
      <c r="B1242">
        <v>7.4</v>
      </c>
      <c r="C1242">
        <v>0</v>
      </c>
      <c r="D1242">
        <v>5.4</v>
      </c>
      <c r="E1242">
        <v>4.8</v>
      </c>
      <c r="F1242">
        <v>6.4</v>
      </c>
      <c r="G1242">
        <v>3.14</v>
      </c>
      <c r="H1242" t="s">
        <v>10</v>
      </c>
      <c r="I1242">
        <v>18.600000000000001</v>
      </c>
      <c r="J1242" t="s">
        <v>15</v>
      </c>
      <c r="K1242">
        <v>3.28</v>
      </c>
      <c r="L1242" t="s">
        <v>52</v>
      </c>
      <c r="M1242" s="8">
        <v>0.4</v>
      </c>
    </row>
    <row r="1243" spans="1:13" x14ac:dyDescent="0.25">
      <c r="A1243">
        <v>1242</v>
      </c>
      <c r="B1243">
        <v>9.3000000000000007</v>
      </c>
      <c r="C1243">
        <v>2.7</v>
      </c>
      <c r="D1243">
        <v>5.3</v>
      </c>
      <c r="E1243">
        <v>4.7</v>
      </c>
      <c r="F1243">
        <v>2</v>
      </c>
      <c r="G1243">
        <v>3.41</v>
      </c>
      <c r="H1243" t="s">
        <v>10</v>
      </c>
      <c r="I1243">
        <v>18.7</v>
      </c>
      <c r="J1243" t="s">
        <v>15</v>
      </c>
      <c r="K1243">
        <v>3.29</v>
      </c>
      <c r="L1243" t="s">
        <v>52</v>
      </c>
      <c r="M1243" s="8">
        <v>0.5</v>
      </c>
    </row>
    <row r="1244" spans="1:13" x14ac:dyDescent="0.25">
      <c r="A1244">
        <v>1243</v>
      </c>
      <c r="B1244">
        <v>9.1999999999999993</v>
      </c>
      <c r="C1244">
        <v>3.2</v>
      </c>
      <c r="D1244">
        <v>7.5</v>
      </c>
      <c r="E1244">
        <v>1</v>
      </c>
      <c r="F1244">
        <v>3.1</v>
      </c>
      <c r="G1244">
        <v>3.48</v>
      </c>
      <c r="H1244" t="s">
        <v>10</v>
      </c>
      <c r="I1244">
        <v>16.5</v>
      </c>
      <c r="J1244" t="s">
        <v>15</v>
      </c>
      <c r="K1244">
        <v>3.53</v>
      </c>
      <c r="L1244" t="s">
        <v>52</v>
      </c>
      <c r="M1244" s="8">
        <v>0.56000000000000005</v>
      </c>
    </row>
    <row r="1245" spans="1:13" x14ac:dyDescent="0.25">
      <c r="A1245">
        <v>1244</v>
      </c>
      <c r="B1245">
        <v>9.9</v>
      </c>
      <c r="C1245">
        <v>0.6</v>
      </c>
      <c r="D1245">
        <v>6.1</v>
      </c>
      <c r="E1245">
        <v>1.3</v>
      </c>
      <c r="F1245">
        <v>6.1</v>
      </c>
      <c r="G1245">
        <v>3.63</v>
      </c>
      <c r="H1245" t="s">
        <v>10</v>
      </c>
      <c r="I1245">
        <v>17.899999999999999</v>
      </c>
      <c r="J1245" t="s">
        <v>14</v>
      </c>
      <c r="K1245">
        <v>4.37</v>
      </c>
      <c r="L1245" t="s">
        <v>52</v>
      </c>
      <c r="M1245" s="8">
        <v>0.55000000000000004</v>
      </c>
    </row>
    <row r="1246" spans="1:13" x14ac:dyDescent="0.25">
      <c r="A1246">
        <v>1245</v>
      </c>
      <c r="B1246">
        <v>9</v>
      </c>
      <c r="C1246">
        <v>0.7</v>
      </c>
      <c r="D1246">
        <v>5.3</v>
      </c>
      <c r="E1246">
        <v>6</v>
      </c>
      <c r="F1246">
        <v>3</v>
      </c>
      <c r="G1246">
        <v>3.56</v>
      </c>
      <c r="H1246" t="s">
        <v>10</v>
      </c>
      <c r="I1246">
        <v>18.7</v>
      </c>
      <c r="J1246" t="s">
        <v>14</v>
      </c>
      <c r="K1246">
        <v>3.61</v>
      </c>
      <c r="L1246" t="s">
        <v>52</v>
      </c>
      <c r="M1246" s="8">
        <v>0.48</v>
      </c>
    </row>
    <row r="1247" spans="1:13" x14ac:dyDescent="0.25">
      <c r="A1247">
        <v>1246</v>
      </c>
      <c r="B1247">
        <v>7.8</v>
      </c>
      <c r="C1247">
        <v>3.6</v>
      </c>
      <c r="D1247">
        <v>9.6</v>
      </c>
      <c r="E1247">
        <v>0</v>
      </c>
      <c r="F1247">
        <v>3</v>
      </c>
      <c r="G1247">
        <v>3.09</v>
      </c>
      <c r="H1247" t="s">
        <v>8</v>
      </c>
      <c r="I1247">
        <v>14.4</v>
      </c>
      <c r="J1247" t="s">
        <v>15</v>
      </c>
      <c r="K1247">
        <v>3.21</v>
      </c>
      <c r="L1247" t="s">
        <v>52</v>
      </c>
      <c r="M1247" s="8">
        <v>0.54</v>
      </c>
    </row>
    <row r="1248" spans="1:13" x14ac:dyDescent="0.25">
      <c r="A1248">
        <v>1247</v>
      </c>
      <c r="B1248">
        <v>5.4</v>
      </c>
      <c r="C1248">
        <v>1</v>
      </c>
      <c r="D1248">
        <v>8.3000000000000007</v>
      </c>
      <c r="E1248">
        <v>5.3</v>
      </c>
      <c r="F1248">
        <v>4</v>
      </c>
      <c r="G1248">
        <v>3.27</v>
      </c>
      <c r="H1248" t="s">
        <v>9</v>
      </c>
      <c r="I1248">
        <v>15.7</v>
      </c>
      <c r="J1248" t="s">
        <v>15</v>
      </c>
      <c r="K1248">
        <v>2.0499999999999998</v>
      </c>
      <c r="L1248" t="s">
        <v>52</v>
      </c>
      <c r="M1248" s="8">
        <v>0.34</v>
      </c>
    </row>
    <row r="1249" spans="1:13" x14ac:dyDescent="0.25">
      <c r="A1249">
        <v>1248</v>
      </c>
      <c r="B1249">
        <v>5.9</v>
      </c>
      <c r="C1249">
        <v>3.2</v>
      </c>
      <c r="D1249">
        <v>9.8000000000000007</v>
      </c>
      <c r="E1249">
        <v>1.4</v>
      </c>
      <c r="F1249">
        <v>3.7</v>
      </c>
      <c r="G1249">
        <v>2.71</v>
      </c>
      <c r="H1249" t="s">
        <v>9</v>
      </c>
      <c r="I1249">
        <v>14.200000000000003</v>
      </c>
      <c r="J1249" t="s">
        <v>13</v>
      </c>
      <c r="K1249">
        <v>1.85</v>
      </c>
      <c r="L1249" t="s">
        <v>52</v>
      </c>
      <c r="M1249" s="8">
        <v>0.42</v>
      </c>
    </row>
    <row r="1250" spans="1:13" x14ac:dyDescent="0.25">
      <c r="A1250">
        <v>1249</v>
      </c>
      <c r="B1250">
        <v>7.5</v>
      </c>
      <c r="C1250">
        <v>0.3</v>
      </c>
      <c r="D1250">
        <v>7.8</v>
      </c>
      <c r="E1250">
        <v>3</v>
      </c>
      <c r="F1250">
        <v>5.4</v>
      </c>
      <c r="G1250">
        <v>3.09</v>
      </c>
      <c r="H1250" t="s">
        <v>8</v>
      </c>
      <c r="I1250">
        <v>16.200000000000003</v>
      </c>
      <c r="J1250" t="s">
        <v>15</v>
      </c>
      <c r="K1250">
        <v>3.1</v>
      </c>
      <c r="L1250" t="s">
        <v>52</v>
      </c>
      <c r="M1250" s="8">
        <v>0.46</v>
      </c>
    </row>
    <row r="1251" spans="1:13" x14ac:dyDescent="0.25">
      <c r="A1251">
        <v>1250</v>
      </c>
      <c r="B1251">
        <v>6.7</v>
      </c>
      <c r="C1251">
        <v>2.1</v>
      </c>
      <c r="D1251">
        <v>7.9</v>
      </c>
      <c r="E1251">
        <v>0.1</v>
      </c>
      <c r="F1251">
        <v>7.2</v>
      </c>
      <c r="G1251">
        <v>2.78</v>
      </c>
      <c r="H1251" t="s">
        <v>8</v>
      </c>
      <c r="I1251">
        <v>16.100000000000001</v>
      </c>
      <c r="J1251" t="s">
        <v>13</v>
      </c>
      <c r="K1251">
        <v>3.48</v>
      </c>
      <c r="L1251" t="s">
        <v>52</v>
      </c>
      <c r="M1251" s="8">
        <v>0.42</v>
      </c>
    </row>
    <row r="1252" spans="1:13" x14ac:dyDescent="0.25">
      <c r="A1252">
        <v>1251</v>
      </c>
      <c r="B1252">
        <v>8.8000000000000007</v>
      </c>
      <c r="C1252">
        <v>2.9</v>
      </c>
      <c r="D1252">
        <v>6.8</v>
      </c>
      <c r="E1252">
        <v>0.3</v>
      </c>
      <c r="F1252">
        <v>5.2</v>
      </c>
      <c r="G1252">
        <v>3.17</v>
      </c>
      <c r="H1252" t="s">
        <v>10</v>
      </c>
      <c r="I1252">
        <v>17.200000000000003</v>
      </c>
      <c r="J1252" t="s">
        <v>15</v>
      </c>
      <c r="K1252">
        <v>3.61</v>
      </c>
      <c r="L1252" t="s">
        <v>52</v>
      </c>
      <c r="M1252" s="8">
        <v>0.51</v>
      </c>
    </row>
    <row r="1253" spans="1:13" x14ac:dyDescent="0.25">
      <c r="A1253">
        <v>1252</v>
      </c>
      <c r="B1253">
        <v>5.9</v>
      </c>
      <c r="C1253">
        <v>2.2999999999999998</v>
      </c>
      <c r="D1253">
        <v>5.8</v>
      </c>
      <c r="E1253">
        <v>2.1</v>
      </c>
      <c r="F1253">
        <v>7.9</v>
      </c>
      <c r="G1253">
        <v>2.66</v>
      </c>
      <c r="H1253" t="s">
        <v>10</v>
      </c>
      <c r="I1253">
        <v>18.2</v>
      </c>
      <c r="J1253" t="s">
        <v>13</v>
      </c>
      <c r="K1253">
        <v>2.83</v>
      </c>
      <c r="L1253" t="s">
        <v>52</v>
      </c>
      <c r="M1253" s="8">
        <v>0.32</v>
      </c>
    </row>
    <row r="1254" spans="1:13" x14ac:dyDescent="0.25">
      <c r="A1254">
        <v>1253</v>
      </c>
      <c r="B1254">
        <v>8.5</v>
      </c>
      <c r="C1254">
        <v>2.2000000000000002</v>
      </c>
      <c r="D1254">
        <v>6.9</v>
      </c>
      <c r="E1254">
        <v>2.5</v>
      </c>
      <c r="F1254">
        <v>3.9</v>
      </c>
      <c r="G1254">
        <v>3.25</v>
      </c>
      <c r="H1254" t="s">
        <v>10</v>
      </c>
      <c r="I1254">
        <v>17.099999999999998</v>
      </c>
      <c r="J1254" t="s">
        <v>15</v>
      </c>
      <c r="K1254">
        <v>2.91</v>
      </c>
      <c r="L1254" t="s">
        <v>52</v>
      </c>
      <c r="M1254" s="8">
        <v>0.5</v>
      </c>
    </row>
    <row r="1255" spans="1:13" x14ac:dyDescent="0.25">
      <c r="A1255">
        <v>1254</v>
      </c>
      <c r="B1255">
        <v>5.4</v>
      </c>
      <c r="C1255">
        <v>3.5</v>
      </c>
      <c r="D1255">
        <v>5.4</v>
      </c>
      <c r="E1255">
        <v>4.2</v>
      </c>
      <c r="F1255">
        <v>5.5</v>
      </c>
      <c r="G1255">
        <v>2.81</v>
      </c>
      <c r="H1255" t="s">
        <v>10</v>
      </c>
      <c r="I1255">
        <v>18.600000000000001</v>
      </c>
      <c r="J1255" t="s">
        <v>13</v>
      </c>
      <c r="K1255">
        <v>0.97</v>
      </c>
      <c r="L1255" t="s">
        <v>51</v>
      </c>
      <c r="M1255" s="8">
        <v>0.28999999999999998</v>
      </c>
    </row>
    <row r="1256" spans="1:13" x14ac:dyDescent="0.25">
      <c r="A1256">
        <v>1255</v>
      </c>
      <c r="B1256">
        <v>9.6</v>
      </c>
      <c r="C1256">
        <v>1.1000000000000001</v>
      </c>
      <c r="D1256">
        <v>6.9</v>
      </c>
      <c r="E1256">
        <v>3.4</v>
      </c>
      <c r="F1256">
        <v>3</v>
      </c>
      <c r="G1256">
        <v>3.37</v>
      </c>
      <c r="H1256" t="s">
        <v>10</v>
      </c>
      <c r="I1256">
        <v>17.100000000000001</v>
      </c>
      <c r="J1256" t="s">
        <v>15</v>
      </c>
      <c r="K1256">
        <v>3.69</v>
      </c>
      <c r="L1256" t="s">
        <v>52</v>
      </c>
      <c r="M1256" s="8">
        <v>0.56000000000000005</v>
      </c>
    </row>
    <row r="1257" spans="1:13" x14ac:dyDescent="0.25">
      <c r="A1257">
        <v>1256</v>
      </c>
      <c r="B1257">
        <v>8.3000000000000007</v>
      </c>
      <c r="C1257">
        <v>1.6</v>
      </c>
      <c r="D1257">
        <v>7.4</v>
      </c>
      <c r="E1257">
        <v>0.3</v>
      </c>
      <c r="F1257">
        <v>6.4</v>
      </c>
      <c r="G1257">
        <v>3.29</v>
      </c>
      <c r="H1257" t="s">
        <v>10</v>
      </c>
      <c r="I1257">
        <v>16.600000000000001</v>
      </c>
      <c r="J1257" t="s">
        <v>15</v>
      </c>
      <c r="K1257">
        <v>3.81</v>
      </c>
      <c r="L1257" t="s">
        <v>52</v>
      </c>
      <c r="M1257" s="8">
        <v>0.5</v>
      </c>
    </row>
    <row r="1258" spans="1:13" x14ac:dyDescent="0.25">
      <c r="A1258">
        <v>1257</v>
      </c>
      <c r="B1258">
        <v>6</v>
      </c>
      <c r="C1258">
        <v>3.2</v>
      </c>
      <c r="D1258">
        <v>7.3</v>
      </c>
      <c r="E1258">
        <v>1.8</v>
      </c>
      <c r="F1258">
        <v>5.7</v>
      </c>
      <c r="G1258">
        <v>3.11</v>
      </c>
      <c r="H1258" t="s">
        <v>8</v>
      </c>
      <c r="I1258">
        <v>16.7</v>
      </c>
      <c r="J1258" t="s">
        <v>15</v>
      </c>
      <c r="K1258">
        <v>2.02</v>
      </c>
      <c r="L1258" t="s">
        <v>52</v>
      </c>
      <c r="M1258" s="8">
        <v>0.36</v>
      </c>
    </row>
    <row r="1259" spans="1:13" x14ac:dyDescent="0.25">
      <c r="A1259">
        <v>1258</v>
      </c>
      <c r="B1259">
        <v>8.6999999999999993</v>
      </c>
      <c r="C1259">
        <v>1.1000000000000001</v>
      </c>
      <c r="D1259">
        <v>5.6</v>
      </c>
      <c r="E1259">
        <v>1.5</v>
      </c>
      <c r="F1259">
        <v>7.1</v>
      </c>
      <c r="G1259">
        <v>3.24</v>
      </c>
      <c r="H1259" t="s">
        <v>10</v>
      </c>
      <c r="I1259">
        <v>18.399999999999999</v>
      </c>
      <c r="J1259" t="s">
        <v>15</v>
      </c>
      <c r="K1259">
        <v>3.87</v>
      </c>
      <c r="L1259" t="s">
        <v>52</v>
      </c>
      <c r="M1259" s="8">
        <v>0.47</v>
      </c>
    </row>
    <row r="1260" spans="1:13" x14ac:dyDescent="0.25">
      <c r="A1260">
        <v>1259</v>
      </c>
      <c r="B1260">
        <v>9.6</v>
      </c>
      <c r="C1260">
        <v>2.2999999999999998</v>
      </c>
      <c r="D1260">
        <v>7.7</v>
      </c>
      <c r="E1260">
        <v>2.6</v>
      </c>
      <c r="F1260">
        <v>1.8</v>
      </c>
      <c r="G1260">
        <v>3.67</v>
      </c>
      <c r="H1260" t="s">
        <v>10</v>
      </c>
      <c r="I1260">
        <v>16.299999999999997</v>
      </c>
      <c r="J1260" t="s">
        <v>14</v>
      </c>
      <c r="K1260">
        <v>3.7</v>
      </c>
      <c r="L1260" t="s">
        <v>52</v>
      </c>
      <c r="M1260" s="8">
        <v>0.59</v>
      </c>
    </row>
    <row r="1261" spans="1:13" x14ac:dyDescent="0.25">
      <c r="A1261">
        <v>1260</v>
      </c>
      <c r="B1261">
        <v>7.6</v>
      </c>
      <c r="C1261">
        <v>0.5</v>
      </c>
      <c r="D1261">
        <v>5.6</v>
      </c>
      <c r="E1261">
        <v>3.2</v>
      </c>
      <c r="F1261">
        <v>7.1</v>
      </c>
      <c r="G1261">
        <v>3.04</v>
      </c>
      <c r="H1261" t="s">
        <v>10</v>
      </c>
      <c r="I1261">
        <v>18.399999999999999</v>
      </c>
      <c r="J1261" t="s">
        <v>15</v>
      </c>
      <c r="K1261">
        <v>3.37</v>
      </c>
      <c r="L1261" t="s">
        <v>52</v>
      </c>
      <c r="M1261" s="8">
        <v>0.41</v>
      </c>
    </row>
    <row r="1262" spans="1:13" x14ac:dyDescent="0.25">
      <c r="A1262">
        <v>1261</v>
      </c>
      <c r="B1262">
        <v>9.6999999999999993</v>
      </c>
      <c r="C1262">
        <v>1.2</v>
      </c>
      <c r="D1262">
        <v>9.3000000000000007</v>
      </c>
      <c r="E1262">
        <v>2.9</v>
      </c>
      <c r="F1262">
        <v>0.9</v>
      </c>
      <c r="G1262">
        <v>3.51</v>
      </c>
      <c r="H1262" t="s">
        <v>10</v>
      </c>
      <c r="I1262">
        <v>14.7</v>
      </c>
      <c r="J1262" t="s">
        <v>14</v>
      </c>
      <c r="K1262">
        <v>4.1100000000000003</v>
      </c>
      <c r="L1262" t="s">
        <v>52</v>
      </c>
      <c r="M1262" s="8">
        <v>0.66</v>
      </c>
    </row>
    <row r="1263" spans="1:13" x14ac:dyDescent="0.25">
      <c r="A1263">
        <v>1262</v>
      </c>
      <c r="B1263">
        <v>6</v>
      </c>
      <c r="C1263">
        <v>1.5</v>
      </c>
      <c r="D1263">
        <v>7.5</v>
      </c>
      <c r="E1263">
        <v>4.4000000000000004</v>
      </c>
      <c r="F1263">
        <v>4.5999999999999996</v>
      </c>
      <c r="G1263">
        <v>2.8</v>
      </c>
      <c r="H1263" t="s">
        <v>8</v>
      </c>
      <c r="I1263">
        <v>16.5</v>
      </c>
      <c r="J1263" t="s">
        <v>13</v>
      </c>
      <c r="K1263">
        <v>1.89</v>
      </c>
      <c r="L1263" t="s">
        <v>52</v>
      </c>
      <c r="M1263" s="8">
        <v>0.36</v>
      </c>
    </row>
    <row r="1264" spans="1:13" x14ac:dyDescent="0.25">
      <c r="A1264">
        <v>1263</v>
      </c>
      <c r="B1264">
        <v>5.6</v>
      </c>
      <c r="C1264">
        <v>1.6</v>
      </c>
      <c r="D1264">
        <v>7.4</v>
      </c>
      <c r="E1264">
        <v>3.2</v>
      </c>
      <c r="F1264">
        <v>6.2</v>
      </c>
      <c r="G1264">
        <v>2.75</v>
      </c>
      <c r="H1264" t="s">
        <v>9</v>
      </c>
      <c r="I1264">
        <v>16.599999999999998</v>
      </c>
      <c r="J1264" t="s">
        <v>13</v>
      </c>
      <c r="K1264">
        <v>2.14</v>
      </c>
      <c r="L1264" t="s">
        <v>52</v>
      </c>
      <c r="M1264" s="8">
        <v>0.34</v>
      </c>
    </row>
    <row r="1265" spans="1:13" x14ac:dyDescent="0.25">
      <c r="A1265">
        <v>1264</v>
      </c>
      <c r="B1265">
        <v>9</v>
      </c>
      <c r="C1265">
        <v>2.8</v>
      </c>
      <c r="D1265">
        <v>7.8</v>
      </c>
      <c r="E1265">
        <v>3.1</v>
      </c>
      <c r="F1265">
        <v>1.3</v>
      </c>
      <c r="G1265">
        <v>3.43</v>
      </c>
      <c r="H1265" t="s">
        <v>10</v>
      </c>
      <c r="I1265">
        <v>16.2</v>
      </c>
      <c r="J1265" t="s">
        <v>15</v>
      </c>
      <c r="K1265">
        <v>3.39</v>
      </c>
      <c r="L1265" t="s">
        <v>52</v>
      </c>
      <c r="M1265" s="8">
        <v>0.56000000000000005</v>
      </c>
    </row>
    <row r="1266" spans="1:13" x14ac:dyDescent="0.25">
      <c r="A1266">
        <v>1265</v>
      </c>
      <c r="B1266">
        <v>7.1</v>
      </c>
      <c r="C1266">
        <v>0.6</v>
      </c>
      <c r="D1266">
        <v>8.3000000000000007</v>
      </c>
      <c r="E1266">
        <v>3.1</v>
      </c>
      <c r="F1266">
        <v>4.9000000000000004</v>
      </c>
      <c r="G1266">
        <v>2.79</v>
      </c>
      <c r="H1266" t="s">
        <v>8</v>
      </c>
      <c r="I1266">
        <v>15.7</v>
      </c>
      <c r="J1266" t="s">
        <v>13</v>
      </c>
      <c r="K1266">
        <v>2.75</v>
      </c>
      <c r="L1266" t="s">
        <v>52</v>
      </c>
      <c r="M1266" s="8">
        <v>0.45</v>
      </c>
    </row>
    <row r="1267" spans="1:13" x14ac:dyDescent="0.25">
      <c r="A1267">
        <v>1266</v>
      </c>
      <c r="B1267">
        <v>9.5</v>
      </c>
      <c r="C1267">
        <v>2.2999999999999998</v>
      </c>
      <c r="D1267">
        <v>5.4</v>
      </c>
      <c r="E1267">
        <v>2.7</v>
      </c>
      <c r="F1267">
        <v>4.0999999999999996</v>
      </c>
      <c r="G1267">
        <v>3.67</v>
      </c>
      <c r="H1267" t="s">
        <v>10</v>
      </c>
      <c r="I1267">
        <v>18.600000000000001</v>
      </c>
      <c r="J1267" t="s">
        <v>14</v>
      </c>
      <c r="K1267">
        <v>3.32</v>
      </c>
      <c r="L1267" t="s">
        <v>52</v>
      </c>
      <c r="M1267" s="8">
        <v>0.51</v>
      </c>
    </row>
    <row r="1268" spans="1:13" x14ac:dyDescent="0.25">
      <c r="A1268">
        <v>1267</v>
      </c>
      <c r="B1268">
        <v>8.8000000000000007</v>
      </c>
      <c r="C1268">
        <v>3.2</v>
      </c>
      <c r="D1268">
        <v>7.5</v>
      </c>
      <c r="E1268">
        <v>4</v>
      </c>
      <c r="F1268">
        <v>0.5</v>
      </c>
      <c r="G1268">
        <v>3.2</v>
      </c>
      <c r="H1268" t="s">
        <v>10</v>
      </c>
      <c r="I1268">
        <v>16.5</v>
      </c>
      <c r="J1268" t="s">
        <v>15</v>
      </c>
      <c r="K1268">
        <v>3.46</v>
      </c>
      <c r="L1268" t="s">
        <v>52</v>
      </c>
      <c r="M1268" s="8">
        <v>0.53</v>
      </c>
    </row>
    <row r="1269" spans="1:13" x14ac:dyDescent="0.25">
      <c r="A1269">
        <v>1268</v>
      </c>
      <c r="B1269">
        <v>9.5</v>
      </c>
      <c r="C1269">
        <v>3.6</v>
      </c>
      <c r="D1269">
        <v>8.4</v>
      </c>
      <c r="E1269">
        <v>2.1</v>
      </c>
      <c r="F1269">
        <v>0.4</v>
      </c>
      <c r="G1269">
        <v>3.11</v>
      </c>
      <c r="H1269" t="s">
        <v>10</v>
      </c>
      <c r="I1269">
        <v>15.6</v>
      </c>
      <c r="J1269" t="s">
        <v>15</v>
      </c>
      <c r="K1269">
        <v>3.96</v>
      </c>
      <c r="L1269" t="s">
        <v>52</v>
      </c>
      <c r="M1269" s="8">
        <v>0.61</v>
      </c>
    </row>
    <row r="1270" spans="1:13" x14ac:dyDescent="0.25">
      <c r="A1270">
        <v>1269</v>
      </c>
      <c r="B1270">
        <v>5.4</v>
      </c>
      <c r="C1270">
        <v>3.5</v>
      </c>
      <c r="D1270">
        <v>6.6</v>
      </c>
      <c r="E1270">
        <v>1.1000000000000001</v>
      </c>
      <c r="F1270">
        <v>7.4</v>
      </c>
      <c r="G1270">
        <v>2.72</v>
      </c>
      <c r="H1270" t="s">
        <v>9</v>
      </c>
      <c r="I1270">
        <v>17.399999999999999</v>
      </c>
      <c r="J1270" t="s">
        <v>13</v>
      </c>
      <c r="K1270">
        <v>2.69</v>
      </c>
      <c r="L1270" t="s">
        <v>52</v>
      </c>
      <c r="M1270" s="8">
        <v>0.31</v>
      </c>
    </row>
    <row r="1271" spans="1:13" x14ac:dyDescent="0.25">
      <c r="A1271">
        <v>1270</v>
      </c>
      <c r="B1271">
        <v>6.3</v>
      </c>
      <c r="C1271">
        <v>1.3</v>
      </c>
      <c r="D1271">
        <v>5.7</v>
      </c>
      <c r="E1271">
        <v>1.8</v>
      </c>
      <c r="F1271">
        <v>8.9</v>
      </c>
      <c r="G1271">
        <v>2.65</v>
      </c>
      <c r="H1271" t="s">
        <v>10</v>
      </c>
      <c r="I1271">
        <v>18.3</v>
      </c>
      <c r="J1271" t="s">
        <v>13</v>
      </c>
      <c r="K1271">
        <v>3.66</v>
      </c>
      <c r="L1271" t="s">
        <v>52</v>
      </c>
      <c r="M1271" s="8">
        <v>0.34</v>
      </c>
    </row>
    <row r="1272" spans="1:13" x14ac:dyDescent="0.25">
      <c r="A1272">
        <v>1271</v>
      </c>
      <c r="B1272">
        <v>7.9</v>
      </c>
      <c r="C1272">
        <v>1.8</v>
      </c>
      <c r="D1272">
        <v>6.7</v>
      </c>
      <c r="E1272">
        <v>4.5</v>
      </c>
      <c r="F1272">
        <v>3.1</v>
      </c>
      <c r="G1272">
        <v>3.24</v>
      </c>
      <c r="H1272" t="s">
        <v>8</v>
      </c>
      <c r="I1272">
        <v>17.3</v>
      </c>
      <c r="J1272" t="s">
        <v>15</v>
      </c>
      <c r="K1272">
        <v>2.63</v>
      </c>
      <c r="L1272" t="s">
        <v>52</v>
      </c>
      <c r="M1272" s="8">
        <v>0.46</v>
      </c>
    </row>
    <row r="1273" spans="1:13" x14ac:dyDescent="0.25">
      <c r="A1273">
        <v>1272</v>
      </c>
      <c r="B1273">
        <v>6.7</v>
      </c>
      <c r="C1273">
        <v>3</v>
      </c>
      <c r="D1273">
        <v>5.8</v>
      </c>
      <c r="E1273">
        <v>0.8</v>
      </c>
      <c r="F1273">
        <v>7.7</v>
      </c>
      <c r="G1273">
        <v>3.09</v>
      </c>
      <c r="H1273" t="s">
        <v>10</v>
      </c>
      <c r="I1273">
        <v>18.2</v>
      </c>
      <c r="J1273" t="s">
        <v>15</v>
      </c>
      <c r="K1273">
        <v>3.22</v>
      </c>
      <c r="L1273" t="s">
        <v>52</v>
      </c>
      <c r="M1273" s="8">
        <v>0.37</v>
      </c>
    </row>
    <row r="1274" spans="1:13" x14ac:dyDescent="0.25">
      <c r="A1274">
        <v>1273</v>
      </c>
      <c r="B1274">
        <v>6.7</v>
      </c>
      <c r="C1274">
        <v>3.2</v>
      </c>
      <c r="D1274">
        <v>6.2</v>
      </c>
      <c r="E1274">
        <v>0.4</v>
      </c>
      <c r="F1274">
        <v>7.5</v>
      </c>
      <c r="G1274">
        <v>2.74</v>
      </c>
      <c r="H1274" t="s">
        <v>8</v>
      </c>
      <c r="I1274">
        <v>17.8</v>
      </c>
      <c r="J1274" t="s">
        <v>13</v>
      </c>
      <c r="K1274">
        <v>3.28</v>
      </c>
      <c r="L1274" t="s">
        <v>52</v>
      </c>
      <c r="M1274" s="8">
        <v>0.38</v>
      </c>
    </row>
    <row r="1275" spans="1:13" x14ac:dyDescent="0.25">
      <c r="A1275">
        <v>1274</v>
      </c>
      <c r="B1275">
        <v>7.8</v>
      </c>
      <c r="C1275">
        <v>2.1</v>
      </c>
      <c r="D1275">
        <v>8.3000000000000007</v>
      </c>
      <c r="E1275">
        <v>1.4</v>
      </c>
      <c r="F1275">
        <v>4.4000000000000004</v>
      </c>
      <c r="G1275">
        <v>3.31</v>
      </c>
      <c r="H1275" t="s">
        <v>8</v>
      </c>
      <c r="I1275">
        <v>15.700000000000001</v>
      </c>
      <c r="J1275" t="s">
        <v>15</v>
      </c>
      <c r="K1275">
        <v>2.88</v>
      </c>
      <c r="L1275" t="s">
        <v>52</v>
      </c>
      <c r="M1275" s="8">
        <v>0.5</v>
      </c>
    </row>
    <row r="1276" spans="1:13" x14ac:dyDescent="0.25">
      <c r="A1276">
        <v>1275</v>
      </c>
      <c r="B1276">
        <v>9.3000000000000007</v>
      </c>
      <c r="C1276">
        <v>1.2</v>
      </c>
      <c r="D1276">
        <v>8.5</v>
      </c>
      <c r="E1276">
        <v>0.1</v>
      </c>
      <c r="F1276">
        <v>4.9000000000000004</v>
      </c>
      <c r="G1276">
        <v>3.1</v>
      </c>
      <c r="H1276" t="s">
        <v>10</v>
      </c>
      <c r="I1276">
        <v>15.5</v>
      </c>
      <c r="J1276" t="s">
        <v>15</v>
      </c>
      <c r="K1276">
        <v>4.16</v>
      </c>
      <c r="L1276" t="s">
        <v>52</v>
      </c>
      <c r="M1276" s="8">
        <v>0.6</v>
      </c>
    </row>
    <row r="1277" spans="1:13" x14ac:dyDescent="0.25">
      <c r="A1277">
        <v>1276</v>
      </c>
      <c r="B1277">
        <v>7.7</v>
      </c>
      <c r="C1277">
        <v>0.3</v>
      </c>
      <c r="D1277">
        <v>9</v>
      </c>
      <c r="E1277">
        <v>1.3</v>
      </c>
      <c r="F1277">
        <v>5.7</v>
      </c>
      <c r="G1277">
        <v>2.9</v>
      </c>
      <c r="H1277" t="s">
        <v>8</v>
      </c>
      <c r="I1277">
        <v>15</v>
      </c>
      <c r="J1277" t="s">
        <v>13</v>
      </c>
      <c r="K1277">
        <v>3.53</v>
      </c>
      <c r="L1277" t="s">
        <v>52</v>
      </c>
      <c r="M1277" s="8">
        <v>0.51</v>
      </c>
    </row>
    <row r="1278" spans="1:13" x14ac:dyDescent="0.25">
      <c r="A1278">
        <v>1277</v>
      </c>
      <c r="B1278">
        <v>8.4</v>
      </c>
      <c r="C1278">
        <v>3.2</v>
      </c>
      <c r="D1278">
        <v>7.8</v>
      </c>
      <c r="E1278">
        <v>3.4</v>
      </c>
      <c r="F1278">
        <v>1.2</v>
      </c>
      <c r="G1278">
        <v>3.02</v>
      </c>
      <c r="H1278" t="s">
        <v>10</v>
      </c>
      <c r="I1278">
        <v>16.200000000000003</v>
      </c>
      <c r="J1278" t="s">
        <v>15</v>
      </c>
      <c r="K1278">
        <v>3.07</v>
      </c>
      <c r="L1278" t="s">
        <v>52</v>
      </c>
      <c r="M1278" s="8">
        <v>0.52</v>
      </c>
    </row>
    <row r="1279" spans="1:13" x14ac:dyDescent="0.25">
      <c r="A1279">
        <v>1278</v>
      </c>
      <c r="B1279">
        <v>9</v>
      </c>
      <c r="C1279">
        <v>1.2</v>
      </c>
      <c r="D1279">
        <v>7.9</v>
      </c>
      <c r="E1279">
        <v>4.4000000000000004</v>
      </c>
      <c r="F1279">
        <v>1.5</v>
      </c>
      <c r="G1279">
        <v>3.62</v>
      </c>
      <c r="H1279" t="s">
        <v>10</v>
      </c>
      <c r="I1279">
        <v>16.100000000000001</v>
      </c>
      <c r="J1279" t="s">
        <v>14</v>
      </c>
      <c r="K1279">
        <v>3.62</v>
      </c>
      <c r="L1279" t="s">
        <v>52</v>
      </c>
      <c r="M1279" s="8">
        <v>0.56000000000000005</v>
      </c>
    </row>
    <row r="1280" spans="1:13" x14ac:dyDescent="0.25">
      <c r="A1280">
        <v>1279</v>
      </c>
      <c r="B1280">
        <v>6.9</v>
      </c>
      <c r="C1280">
        <v>1.2</v>
      </c>
      <c r="D1280">
        <v>7.3</v>
      </c>
      <c r="E1280">
        <v>4.9000000000000004</v>
      </c>
      <c r="F1280">
        <v>3.7</v>
      </c>
      <c r="G1280">
        <v>3.05</v>
      </c>
      <c r="H1280" t="s">
        <v>8</v>
      </c>
      <c r="I1280">
        <v>16.7</v>
      </c>
      <c r="J1280" t="s">
        <v>15</v>
      </c>
      <c r="K1280">
        <v>2.38</v>
      </c>
      <c r="L1280" t="s">
        <v>52</v>
      </c>
      <c r="M1280" s="8">
        <v>0.41</v>
      </c>
    </row>
    <row r="1281" spans="1:13" x14ac:dyDescent="0.25">
      <c r="A1281">
        <v>1280</v>
      </c>
      <c r="B1281">
        <v>8.3000000000000007</v>
      </c>
      <c r="C1281">
        <v>3.6</v>
      </c>
      <c r="D1281">
        <v>5.5</v>
      </c>
      <c r="E1281">
        <v>1.4</v>
      </c>
      <c r="F1281">
        <v>5.2</v>
      </c>
      <c r="G1281">
        <v>3.4</v>
      </c>
      <c r="H1281" t="s">
        <v>10</v>
      </c>
      <c r="I1281">
        <v>18.5</v>
      </c>
      <c r="J1281" t="s">
        <v>15</v>
      </c>
      <c r="K1281">
        <v>2.9</v>
      </c>
      <c r="L1281" t="s">
        <v>52</v>
      </c>
      <c r="M1281" s="8">
        <v>0.45</v>
      </c>
    </row>
    <row r="1282" spans="1:13" x14ac:dyDescent="0.25">
      <c r="A1282">
        <v>1281</v>
      </c>
      <c r="B1282">
        <v>8.5</v>
      </c>
      <c r="C1282">
        <v>3.3</v>
      </c>
      <c r="D1282">
        <v>9.3000000000000007</v>
      </c>
      <c r="E1282">
        <v>1.2</v>
      </c>
      <c r="F1282">
        <v>1.7</v>
      </c>
      <c r="G1282">
        <v>3.25</v>
      </c>
      <c r="H1282" t="s">
        <v>10</v>
      </c>
      <c r="I1282">
        <v>14.7</v>
      </c>
      <c r="J1282" t="s">
        <v>15</v>
      </c>
      <c r="K1282">
        <v>3.34</v>
      </c>
      <c r="L1282" t="s">
        <v>52</v>
      </c>
      <c r="M1282" s="8">
        <v>0.57999999999999996</v>
      </c>
    </row>
    <row r="1283" spans="1:13" x14ac:dyDescent="0.25">
      <c r="A1283">
        <v>1282</v>
      </c>
      <c r="B1283">
        <v>6.2</v>
      </c>
      <c r="C1283">
        <v>1.2</v>
      </c>
      <c r="D1283">
        <v>8.9</v>
      </c>
      <c r="E1283">
        <v>0.5</v>
      </c>
      <c r="F1283">
        <v>7.2</v>
      </c>
      <c r="G1283">
        <v>2.76</v>
      </c>
      <c r="H1283" t="s">
        <v>8</v>
      </c>
      <c r="I1283">
        <v>15.100000000000001</v>
      </c>
      <c r="J1283" t="s">
        <v>13</v>
      </c>
      <c r="K1283">
        <v>3.41</v>
      </c>
      <c r="L1283" t="s">
        <v>52</v>
      </c>
      <c r="M1283" s="8">
        <v>0.41</v>
      </c>
    </row>
    <row r="1284" spans="1:13" x14ac:dyDescent="0.25">
      <c r="A1284">
        <v>1283</v>
      </c>
      <c r="B1284">
        <v>9.1</v>
      </c>
      <c r="C1284">
        <v>1.7</v>
      </c>
      <c r="D1284">
        <v>8</v>
      </c>
      <c r="E1284">
        <v>0.5</v>
      </c>
      <c r="F1284">
        <v>4.7</v>
      </c>
      <c r="G1284">
        <v>3.23</v>
      </c>
      <c r="H1284" t="s">
        <v>10</v>
      </c>
      <c r="I1284">
        <v>16</v>
      </c>
      <c r="J1284" t="s">
        <v>15</v>
      </c>
      <c r="K1284">
        <v>3.83</v>
      </c>
      <c r="L1284" t="s">
        <v>52</v>
      </c>
      <c r="M1284" s="8">
        <v>0.56999999999999995</v>
      </c>
    </row>
    <row r="1285" spans="1:13" x14ac:dyDescent="0.25">
      <c r="A1285">
        <v>1284</v>
      </c>
      <c r="B1285">
        <v>9.8000000000000007</v>
      </c>
      <c r="C1285">
        <v>3.2</v>
      </c>
      <c r="D1285">
        <v>7.3</v>
      </c>
      <c r="E1285">
        <v>0.8</v>
      </c>
      <c r="F1285">
        <v>2.9</v>
      </c>
      <c r="G1285">
        <v>3.42</v>
      </c>
      <c r="H1285" t="s">
        <v>10</v>
      </c>
      <c r="I1285">
        <v>16.7</v>
      </c>
      <c r="J1285" t="s">
        <v>15</v>
      </c>
      <c r="K1285">
        <v>3.9</v>
      </c>
      <c r="L1285" t="s">
        <v>52</v>
      </c>
      <c r="M1285" s="8">
        <v>0.59</v>
      </c>
    </row>
    <row r="1286" spans="1:13" x14ac:dyDescent="0.25">
      <c r="A1286">
        <v>1285</v>
      </c>
      <c r="B1286">
        <v>9.6999999999999993</v>
      </c>
      <c r="C1286">
        <v>1.4</v>
      </c>
      <c r="D1286">
        <v>5.8</v>
      </c>
      <c r="E1286">
        <v>3.4</v>
      </c>
      <c r="F1286">
        <v>3.7</v>
      </c>
      <c r="G1286">
        <v>3.67</v>
      </c>
      <c r="H1286" t="s">
        <v>10</v>
      </c>
      <c r="I1286">
        <v>18.2</v>
      </c>
      <c r="J1286" t="s">
        <v>14</v>
      </c>
      <c r="K1286">
        <v>3.58</v>
      </c>
      <c r="L1286" t="s">
        <v>52</v>
      </c>
      <c r="M1286" s="8">
        <v>0.53</v>
      </c>
    </row>
    <row r="1287" spans="1:13" x14ac:dyDescent="0.25">
      <c r="A1287">
        <v>1286</v>
      </c>
      <c r="B1287">
        <v>7.4</v>
      </c>
      <c r="C1287">
        <v>4</v>
      </c>
      <c r="D1287">
        <v>8.4</v>
      </c>
      <c r="E1287">
        <v>0.3</v>
      </c>
      <c r="F1287">
        <v>3.9</v>
      </c>
      <c r="G1287">
        <v>3.15</v>
      </c>
      <c r="H1287" t="s">
        <v>8</v>
      </c>
      <c r="I1287">
        <v>15.600000000000001</v>
      </c>
      <c r="J1287" t="s">
        <v>15</v>
      </c>
      <c r="K1287">
        <v>2.9</v>
      </c>
      <c r="L1287" t="s">
        <v>52</v>
      </c>
      <c r="M1287" s="8">
        <v>0.47</v>
      </c>
    </row>
    <row r="1288" spans="1:13" x14ac:dyDescent="0.25">
      <c r="A1288">
        <v>1287</v>
      </c>
      <c r="B1288">
        <v>10</v>
      </c>
      <c r="C1288">
        <v>1.6</v>
      </c>
      <c r="D1288">
        <v>6.4</v>
      </c>
      <c r="E1288">
        <v>3.3</v>
      </c>
      <c r="F1288">
        <v>2.7</v>
      </c>
      <c r="G1288">
        <v>3.39</v>
      </c>
      <c r="H1288" t="s">
        <v>10</v>
      </c>
      <c r="I1288">
        <v>17.599999999999998</v>
      </c>
      <c r="J1288" t="s">
        <v>15</v>
      </c>
      <c r="K1288">
        <v>3.8</v>
      </c>
      <c r="L1288" t="s">
        <v>52</v>
      </c>
      <c r="M1288" s="8">
        <v>0.56999999999999995</v>
      </c>
    </row>
    <row r="1289" spans="1:13" x14ac:dyDescent="0.25">
      <c r="A1289">
        <v>1288</v>
      </c>
      <c r="B1289">
        <v>5</v>
      </c>
      <c r="C1289">
        <v>1.8</v>
      </c>
      <c r="D1289">
        <v>9.1999999999999993</v>
      </c>
      <c r="E1289">
        <v>3.4</v>
      </c>
      <c r="F1289">
        <v>4.5999999999999996</v>
      </c>
      <c r="G1289">
        <v>2.7</v>
      </c>
      <c r="H1289" t="s">
        <v>9</v>
      </c>
      <c r="I1289">
        <v>14.799999999999999</v>
      </c>
      <c r="J1289" t="s">
        <v>13</v>
      </c>
      <c r="K1289">
        <v>1.44</v>
      </c>
      <c r="L1289" t="s">
        <v>51</v>
      </c>
      <c r="M1289" s="8">
        <v>0.34</v>
      </c>
    </row>
    <row r="1290" spans="1:13" x14ac:dyDescent="0.25">
      <c r="A1290">
        <v>1289</v>
      </c>
      <c r="B1290">
        <v>10</v>
      </c>
      <c r="C1290">
        <v>1.1000000000000001</v>
      </c>
      <c r="D1290">
        <v>6.4</v>
      </c>
      <c r="E1290">
        <v>1</v>
      </c>
      <c r="F1290">
        <v>5.5</v>
      </c>
      <c r="G1290">
        <v>3.4</v>
      </c>
      <c r="H1290" t="s">
        <v>10</v>
      </c>
      <c r="I1290">
        <v>17.600000000000001</v>
      </c>
      <c r="J1290" t="s">
        <v>15</v>
      </c>
      <c r="K1290">
        <v>4.28</v>
      </c>
      <c r="L1290" t="s">
        <v>52</v>
      </c>
      <c r="M1290" s="8">
        <v>0.56999999999999995</v>
      </c>
    </row>
    <row r="1291" spans="1:13" x14ac:dyDescent="0.25">
      <c r="A1291">
        <v>1290</v>
      </c>
      <c r="B1291">
        <v>9</v>
      </c>
      <c r="C1291">
        <v>3.6</v>
      </c>
      <c r="D1291">
        <v>9.9</v>
      </c>
      <c r="E1291">
        <v>0.3</v>
      </c>
      <c r="F1291">
        <v>1.2</v>
      </c>
      <c r="G1291">
        <v>3.19</v>
      </c>
      <c r="H1291" t="s">
        <v>10</v>
      </c>
      <c r="I1291">
        <v>14.1</v>
      </c>
      <c r="J1291" t="s">
        <v>15</v>
      </c>
      <c r="K1291">
        <v>3.91</v>
      </c>
      <c r="L1291" t="s">
        <v>52</v>
      </c>
      <c r="M1291" s="8">
        <v>0.64</v>
      </c>
    </row>
    <row r="1292" spans="1:13" x14ac:dyDescent="0.25">
      <c r="A1292">
        <v>1291</v>
      </c>
      <c r="B1292">
        <v>9.4</v>
      </c>
      <c r="C1292">
        <v>1.3</v>
      </c>
      <c r="D1292">
        <v>5.6</v>
      </c>
      <c r="E1292">
        <v>5.2</v>
      </c>
      <c r="F1292">
        <v>2.5</v>
      </c>
      <c r="G1292">
        <v>3.2</v>
      </c>
      <c r="H1292" t="s">
        <v>10</v>
      </c>
      <c r="I1292">
        <v>18.400000000000002</v>
      </c>
      <c r="J1292" t="s">
        <v>15</v>
      </c>
      <c r="K1292">
        <v>3.59</v>
      </c>
      <c r="L1292" t="s">
        <v>52</v>
      </c>
      <c r="M1292" s="8">
        <v>0.51</v>
      </c>
    </row>
    <row r="1293" spans="1:13" x14ac:dyDescent="0.25">
      <c r="A1293">
        <v>1292</v>
      </c>
      <c r="B1293">
        <v>7.1</v>
      </c>
      <c r="C1293">
        <v>1.1000000000000001</v>
      </c>
      <c r="D1293">
        <v>8.6999999999999993</v>
      </c>
      <c r="E1293">
        <v>2.7</v>
      </c>
      <c r="F1293">
        <v>4.4000000000000004</v>
      </c>
      <c r="G1293">
        <v>3.15</v>
      </c>
      <c r="H1293" t="s">
        <v>8</v>
      </c>
      <c r="I1293">
        <v>15.299999999999999</v>
      </c>
      <c r="J1293" t="s">
        <v>15</v>
      </c>
      <c r="K1293">
        <v>2.57</v>
      </c>
      <c r="L1293" t="s">
        <v>52</v>
      </c>
      <c r="M1293" s="8">
        <v>0.46</v>
      </c>
    </row>
    <row r="1294" spans="1:13" x14ac:dyDescent="0.25">
      <c r="A1294">
        <v>1293</v>
      </c>
      <c r="B1294">
        <v>9.9</v>
      </c>
      <c r="C1294">
        <v>0.2</v>
      </c>
      <c r="D1294">
        <v>6.8</v>
      </c>
      <c r="E1294">
        <v>2.9</v>
      </c>
      <c r="F1294">
        <v>4.2</v>
      </c>
      <c r="G1294">
        <v>3.09</v>
      </c>
      <c r="H1294" t="s">
        <v>10</v>
      </c>
      <c r="I1294">
        <v>17.2</v>
      </c>
      <c r="J1294" t="s">
        <v>15</v>
      </c>
      <c r="K1294">
        <v>4.09</v>
      </c>
      <c r="L1294" t="s">
        <v>52</v>
      </c>
      <c r="M1294" s="8">
        <v>0.57999999999999996</v>
      </c>
    </row>
    <row r="1295" spans="1:13" x14ac:dyDescent="0.25">
      <c r="A1295">
        <v>1294</v>
      </c>
      <c r="B1295">
        <v>8.6</v>
      </c>
      <c r="C1295">
        <v>3.5</v>
      </c>
      <c r="D1295">
        <v>9.6999999999999993</v>
      </c>
      <c r="E1295">
        <v>1.8</v>
      </c>
      <c r="F1295">
        <v>0.4</v>
      </c>
      <c r="G1295">
        <v>3.3</v>
      </c>
      <c r="H1295" t="s">
        <v>10</v>
      </c>
      <c r="I1295">
        <v>14.3</v>
      </c>
      <c r="J1295" t="s">
        <v>15</v>
      </c>
      <c r="K1295">
        <v>3.58</v>
      </c>
      <c r="L1295" t="s">
        <v>52</v>
      </c>
      <c r="M1295" s="8">
        <v>0.6</v>
      </c>
    </row>
    <row r="1296" spans="1:13" x14ac:dyDescent="0.25">
      <c r="A1296">
        <v>1295</v>
      </c>
      <c r="B1296">
        <v>9.3000000000000007</v>
      </c>
      <c r="C1296">
        <v>2.2000000000000002</v>
      </c>
      <c r="D1296">
        <v>9.1</v>
      </c>
      <c r="E1296">
        <v>1</v>
      </c>
      <c r="F1296">
        <v>2.4</v>
      </c>
      <c r="G1296">
        <v>3.07</v>
      </c>
      <c r="H1296" t="s">
        <v>10</v>
      </c>
      <c r="I1296">
        <v>14.9</v>
      </c>
      <c r="J1296" t="s">
        <v>15</v>
      </c>
      <c r="K1296">
        <v>3.77</v>
      </c>
      <c r="L1296" t="s">
        <v>52</v>
      </c>
      <c r="M1296" s="8">
        <v>0.62</v>
      </c>
    </row>
    <row r="1297" spans="1:13" x14ac:dyDescent="0.25">
      <c r="A1297">
        <v>1296</v>
      </c>
      <c r="B1297">
        <v>7.3</v>
      </c>
      <c r="C1297">
        <v>1.1000000000000001</v>
      </c>
      <c r="D1297">
        <v>9.8000000000000007</v>
      </c>
      <c r="E1297">
        <v>1.8</v>
      </c>
      <c r="F1297">
        <v>4</v>
      </c>
      <c r="G1297">
        <v>2.91</v>
      </c>
      <c r="H1297" t="s">
        <v>8</v>
      </c>
      <c r="I1297">
        <v>14.200000000000001</v>
      </c>
      <c r="J1297" t="s">
        <v>13</v>
      </c>
      <c r="K1297">
        <v>2.79</v>
      </c>
      <c r="L1297" t="s">
        <v>52</v>
      </c>
      <c r="M1297" s="8">
        <v>0.51</v>
      </c>
    </row>
    <row r="1298" spans="1:13" x14ac:dyDescent="0.25">
      <c r="A1298">
        <v>1297</v>
      </c>
      <c r="B1298">
        <v>5.5</v>
      </c>
      <c r="C1298">
        <v>2.1</v>
      </c>
      <c r="D1298">
        <v>5.3</v>
      </c>
      <c r="E1298">
        <v>0.7</v>
      </c>
      <c r="F1298">
        <v>10.4</v>
      </c>
      <c r="G1298">
        <v>2.79</v>
      </c>
      <c r="H1298" t="s">
        <v>10</v>
      </c>
      <c r="I1298">
        <v>18.7</v>
      </c>
      <c r="J1298" t="s">
        <v>13</v>
      </c>
      <c r="K1298">
        <v>4.32</v>
      </c>
      <c r="L1298" t="s">
        <v>52</v>
      </c>
      <c r="M1298" s="8">
        <v>0.28999999999999998</v>
      </c>
    </row>
    <row r="1299" spans="1:13" x14ac:dyDescent="0.25">
      <c r="A1299">
        <v>1298</v>
      </c>
      <c r="B1299">
        <v>7.2</v>
      </c>
      <c r="C1299">
        <v>3.2</v>
      </c>
      <c r="D1299">
        <v>8.6999999999999993</v>
      </c>
      <c r="E1299">
        <v>2.1</v>
      </c>
      <c r="F1299">
        <v>2.8</v>
      </c>
      <c r="G1299">
        <v>2.78</v>
      </c>
      <c r="H1299" t="s">
        <v>8</v>
      </c>
      <c r="I1299">
        <v>15.3</v>
      </c>
      <c r="J1299" t="s">
        <v>13</v>
      </c>
      <c r="K1299">
        <v>2.2999999999999998</v>
      </c>
      <c r="L1299" t="s">
        <v>52</v>
      </c>
      <c r="M1299" s="8">
        <v>0.47</v>
      </c>
    </row>
    <row r="1300" spans="1:13" x14ac:dyDescent="0.25">
      <c r="A1300">
        <v>1299</v>
      </c>
      <c r="B1300">
        <v>6.7</v>
      </c>
      <c r="C1300">
        <v>1.3</v>
      </c>
      <c r="D1300">
        <v>8.9</v>
      </c>
      <c r="E1300">
        <v>0.3</v>
      </c>
      <c r="F1300">
        <v>6.8</v>
      </c>
      <c r="G1300">
        <v>2.79</v>
      </c>
      <c r="H1300" t="s">
        <v>8</v>
      </c>
      <c r="I1300">
        <v>15.100000000000001</v>
      </c>
      <c r="J1300" t="s">
        <v>13</v>
      </c>
      <c r="K1300">
        <v>3.46</v>
      </c>
      <c r="L1300" t="s">
        <v>52</v>
      </c>
      <c r="M1300" s="8">
        <v>0.44</v>
      </c>
    </row>
    <row r="1301" spans="1:13" x14ac:dyDescent="0.25">
      <c r="A1301">
        <v>1300</v>
      </c>
      <c r="B1301">
        <v>6.2</v>
      </c>
      <c r="C1301">
        <v>3.7</v>
      </c>
      <c r="D1301">
        <v>9.3000000000000007</v>
      </c>
      <c r="E1301">
        <v>3.4</v>
      </c>
      <c r="F1301">
        <v>1.4</v>
      </c>
      <c r="G1301">
        <v>2.92</v>
      </c>
      <c r="H1301" t="s">
        <v>8</v>
      </c>
      <c r="I1301">
        <v>14.700000000000001</v>
      </c>
      <c r="J1301" t="s">
        <v>13</v>
      </c>
      <c r="K1301">
        <v>1.97</v>
      </c>
      <c r="L1301" t="s">
        <v>52</v>
      </c>
      <c r="M1301" s="8">
        <v>0.42</v>
      </c>
    </row>
    <row r="1302" spans="1:13" x14ac:dyDescent="0.25">
      <c r="A1302">
        <v>1301</v>
      </c>
      <c r="B1302">
        <v>7.4</v>
      </c>
      <c r="C1302">
        <v>2.1</v>
      </c>
      <c r="D1302">
        <v>9.9</v>
      </c>
      <c r="E1302">
        <v>4.4000000000000004</v>
      </c>
      <c r="F1302">
        <v>0.2</v>
      </c>
      <c r="G1302">
        <v>3.23</v>
      </c>
      <c r="H1302" t="s">
        <v>8</v>
      </c>
      <c r="I1302">
        <v>14.1</v>
      </c>
      <c r="J1302" t="s">
        <v>15</v>
      </c>
      <c r="K1302">
        <v>3.1</v>
      </c>
      <c r="L1302" t="s">
        <v>52</v>
      </c>
      <c r="M1302" s="8">
        <v>0.52</v>
      </c>
    </row>
    <row r="1303" spans="1:13" x14ac:dyDescent="0.25">
      <c r="A1303">
        <v>1302</v>
      </c>
      <c r="B1303">
        <v>6</v>
      </c>
      <c r="C1303">
        <v>0.9</v>
      </c>
      <c r="D1303">
        <v>8.4</v>
      </c>
      <c r="E1303">
        <v>2.4</v>
      </c>
      <c r="F1303">
        <v>6.3</v>
      </c>
      <c r="G1303">
        <v>2.79</v>
      </c>
      <c r="H1303" t="s">
        <v>8</v>
      </c>
      <c r="I1303">
        <v>15.600000000000001</v>
      </c>
      <c r="J1303" t="s">
        <v>13</v>
      </c>
      <c r="K1303">
        <v>2.67</v>
      </c>
      <c r="L1303" t="s">
        <v>52</v>
      </c>
      <c r="M1303" s="8">
        <v>0.38</v>
      </c>
    </row>
    <row r="1304" spans="1:13" x14ac:dyDescent="0.25">
      <c r="A1304">
        <v>1303</v>
      </c>
      <c r="B1304">
        <v>9.6999999999999993</v>
      </c>
      <c r="C1304">
        <v>0.4</v>
      </c>
      <c r="D1304">
        <v>7.6</v>
      </c>
      <c r="E1304">
        <v>5.5</v>
      </c>
      <c r="F1304">
        <v>0.8</v>
      </c>
      <c r="G1304">
        <v>3.73</v>
      </c>
      <c r="H1304" t="s">
        <v>10</v>
      </c>
      <c r="I1304">
        <v>16.399999999999999</v>
      </c>
      <c r="J1304" t="s">
        <v>14</v>
      </c>
      <c r="K1304">
        <v>4.3899999999999997</v>
      </c>
      <c r="L1304" t="s">
        <v>52</v>
      </c>
      <c r="M1304" s="8">
        <v>0.59</v>
      </c>
    </row>
    <row r="1305" spans="1:13" x14ac:dyDescent="0.25">
      <c r="A1305">
        <v>1304</v>
      </c>
      <c r="B1305">
        <v>5.8</v>
      </c>
      <c r="C1305">
        <v>3.9</v>
      </c>
      <c r="D1305">
        <v>9.6</v>
      </c>
      <c r="E1305">
        <v>0.8</v>
      </c>
      <c r="F1305">
        <v>3.9</v>
      </c>
      <c r="G1305">
        <v>2.57</v>
      </c>
      <c r="H1305" t="s">
        <v>9</v>
      </c>
      <c r="I1305">
        <v>14.4</v>
      </c>
      <c r="J1305" t="s">
        <v>13</v>
      </c>
      <c r="K1305">
        <v>2.0699999999999998</v>
      </c>
      <c r="L1305" t="s">
        <v>52</v>
      </c>
      <c r="M1305" s="8">
        <v>0.4</v>
      </c>
    </row>
    <row r="1306" spans="1:13" x14ac:dyDescent="0.25">
      <c r="A1306">
        <v>1305</v>
      </c>
      <c r="B1306">
        <v>5.6</v>
      </c>
      <c r="C1306">
        <v>0.3</v>
      </c>
      <c r="D1306">
        <v>9.5</v>
      </c>
      <c r="E1306">
        <v>1.2</v>
      </c>
      <c r="F1306">
        <v>7.4</v>
      </c>
      <c r="G1306">
        <v>2.57</v>
      </c>
      <c r="H1306" t="s">
        <v>9</v>
      </c>
      <c r="I1306">
        <v>14.5</v>
      </c>
      <c r="J1306" t="s">
        <v>13</v>
      </c>
      <c r="K1306">
        <v>3.42</v>
      </c>
      <c r="L1306" t="s">
        <v>52</v>
      </c>
      <c r="M1306" s="8">
        <v>0.39</v>
      </c>
    </row>
    <row r="1307" spans="1:13" x14ac:dyDescent="0.25">
      <c r="A1307">
        <v>1306</v>
      </c>
      <c r="B1307">
        <v>8</v>
      </c>
      <c r="C1307">
        <v>0.3</v>
      </c>
      <c r="D1307">
        <v>6.1</v>
      </c>
      <c r="E1307">
        <v>5.6</v>
      </c>
      <c r="F1307">
        <v>4</v>
      </c>
      <c r="G1307">
        <v>2.76</v>
      </c>
      <c r="H1307" t="s">
        <v>8</v>
      </c>
      <c r="I1307">
        <v>17.899999999999999</v>
      </c>
      <c r="J1307" t="s">
        <v>13</v>
      </c>
      <c r="K1307">
        <v>3.23</v>
      </c>
      <c r="L1307" t="s">
        <v>52</v>
      </c>
      <c r="M1307" s="8">
        <v>0.45</v>
      </c>
    </row>
    <row r="1308" spans="1:13" x14ac:dyDescent="0.25">
      <c r="A1308">
        <v>1307</v>
      </c>
      <c r="B1308">
        <v>9.5</v>
      </c>
      <c r="C1308">
        <v>3.1</v>
      </c>
      <c r="D1308">
        <v>5.0999999999999996</v>
      </c>
      <c r="E1308">
        <v>2</v>
      </c>
      <c r="F1308">
        <v>4.3</v>
      </c>
      <c r="G1308">
        <v>3.14</v>
      </c>
      <c r="H1308" t="s">
        <v>10</v>
      </c>
      <c r="I1308">
        <v>18.899999999999999</v>
      </c>
      <c r="J1308" t="s">
        <v>15</v>
      </c>
      <c r="K1308">
        <v>3.32</v>
      </c>
      <c r="L1308" t="s">
        <v>52</v>
      </c>
      <c r="M1308" s="8">
        <v>0.5</v>
      </c>
    </row>
    <row r="1309" spans="1:13" x14ac:dyDescent="0.25">
      <c r="A1309">
        <v>1308</v>
      </c>
      <c r="B1309">
        <v>9.5</v>
      </c>
      <c r="C1309">
        <v>2.5</v>
      </c>
      <c r="D1309">
        <v>5.4</v>
      </c>
      <c r="E1309">
        <v>5.5</v>
      </c>
      <c r="F1309">
        <v>1.1000000000000001</v>
      </c>
      <c r="G1309">
        <v>3.59</v>
      </c>
      <c r="H1309" t="s">
        <v>10</v>
      </c>
      <c r="I1309">
        <v>18.600000000000001</v>
      </c>
      <c r="J1309" t="s">
        <v>14</v>
      </c>
      <c r="K1309">
        <v>3.72</v>
      </c>
      <c r="L1309" t="s">
        <v>52</v>
      </c>
      <c r="M1309" s="8">
        <v>0.51</v>
      </c>
    </row>
    <row r="1310" spans="1:13" x14ac:dyDescent="0.25">
      <c r="A1310">
        <v>1309</v>
      </c>
      <c r="B1310">
        <v>9.8000000000000007</v>
      </c>
      <c r="C1310">
        <v>0.3</v>
      </c>
      <c r="D1310">
        <v>7.7</v>
      </c>
      <c r="E1310">
        <v>1.8</v>
      </c>
      <c r="F1310">
        <v>4.4000000000000004</v>
      </c>
      <c r="G1310">
        <v>3.23</v>
      </c>
      <c r="H1310" t="s">
        <v>10</v>
      </c>
      <c r="I1310">
        <v>16.300000000000004</v>
      </c>
      <c r="J1310" t="s">
        <v>15</v>
      </c>
      <c r="K1310">
        <v>4.18</v>
      </c>
      <c r="L1310" t="s">
        <v>52</v>
      </c>
      <c r="M1310" s="8">
        <v>0.6</v>
      </c>
    </row>
    <row r="1311" spans="1:13" x14ac:dyDescent="0.25">
      <c r="A1311">
        <v>1310</v>
      </c>
      <c r="B1311">
        <v>7.9</v>
      </c>
      <c r="C1311">
        <v>3.8</v>
      </c>
      <c r="D1311">
        <v>7.5</v>
      </c>
      <c r="E1311">
        <v>0.4</v>
      </c>
      <c r="F1311">
        <v>4.4000000000000004</v>
      </c>
      <c r="G1311">
        <v>3.11</v>
      </c>
      <c r="H1311" t="s">
        <v>8</v>
      </c>
      <c r="I1311">
        <v>16.5</v>
      </c>
      <c r="J1311" t="s">
        <v>15</v>
      </c>
      <c r="K1311">
        <v>3.07</v>
      </c>
      <c r="L1311" t="s">
        <v>52</v>
      </c>
      <c r="M1311" s="8">
        <v>0.48</v>
      </c>
    </row>
    <row r="1312" spans="1:13" x14ac:dyDescent="0.25">
      <c r="A1312">
        <v>1311</v>
      </c>
      <c r="B1312">
        <v>8.1</v>
      </c>
      <c r="C1312">
        <v>1.4</v>
      </c>
      <c r="D1312">
        <v>9.3000000000000007</v>
      </c>
      <c r="E1312">
        <v>2.2999999999999998</v>
      </c>
      <c r="F1312">
        <v>2.9</v>
      </c>
      <c r="G1312">
        <v>3.11</v>
      </c>
      <c r="H1312" t="s">
        <v>10</v>
      </c>
      <c r="I1312">
        <v>14.700000000000001</v>
      </c>
      <c r="J1312" t="s">
        <v>15</v>
      </c>
      <c r="K1312">
        <v>3.01</v>
      </c>
      <c r="L1312" t="s">
        <v>52</v>
      </c>
      <c r="M1312" s="8">
        <v>0.55000000000000004</v>
      </c>
    </row>
    <row r="1313" spans="1:13" x14ac:dyDescent="0.25">
      <c r="A1313">
        <v>1312</v>
      </c>
      <c r="B1313">
        <v>8.8000000000000007</v>
      </c>
      <c r="C1313">
        <v>1.1000000000000001</v>
      </c>
      <c r="D1313">
        <v>8.8000000000000007</v>
      </c>
      <c r="E1313">
        <v>1.1000000000000001</v>
      </c>
      <c r="F1313">
        <v>4.2</v>
      </c>
      <c r="G1313">
        <v>3.22</v>
      </c>
      <c r="H1313" t="s">
        <v>10</v>
      </c>
      <c r="I1313">
        <v>15.2</v>
      </c>
      <c r="J1313" t="s">
        <v>15</v>
      </c>
      <c r="K1313">
        <v>3.64</v>
      </c>
      <c r="L1313" t="s">
        <v>52</v>
      </c>
      <c r="M1313" s="8">
        <v>0.57999999999999996</v>
      </c>
    </row>
    <row r="1314" spans="1:13" x14ac:dyDescent="0.25">
      <c r="A1314">
        <v>1313</v>
      </c>
      <c r="B1314">
        <v>6.6</v>
      </c>
      <c r="C1314">
        <v>1.9</v>
      </c>
      <c r="D1314">
        <v>9.6999999999999993</v>
      </c>
      <c r="E1314">
        <v>5.4</v>
      </c>
      <c r="F1314">
        <v>0.4</v>
      </c>
      <c r="G1314">
        <v>2.88</v>
      </c>
      <c r="H1314" t="s">
        <v>8</v>
      </c>
      <c r="I1314">
        <v>14.3</v>
      </c>
      <c r="J1314" t="s">
        <v>13</v>
      </c>
      <c r="K1314">
        <v>2.91</v>
      </c>
      <c r="L1314" t="s">
        <v>52</v>
      </c>
      <c r="M1314" s="8">
        <v>0.46</v>
      </c>
    </row>
    <row r="1315" spans="1:13" x14ac:dyDescent="0.25">
      <c r="A1315">
        <v>1314</v>
      </c>
      <c r="B1315">
        <v>5.7</v>
      </c>
      <c r="C1315">
        <v>2</v>
      </c>
      <c r="D1315">
        <v>7.3</v>
      </c>
      <c r="E1315">
        <v>5.4</v>
      </c>
      <c r="F1315">
        <v>3.6</v>
      </c>
      <c r="G1315">
        <v>2.62</v>
      </c>
      <c r="H1315" t="s">
        <v>9</v>
      </c>
      <c r="I1315">
        <v>16.700000000000003</v>
      </c>
      <c r="J1315" t="s">
        <v>13</v>
      </c>
      <c r="K1315">
        <v>1.72</v>
      </c>
      <c r="L1315" t="s">
        <v>52</v>
      </c>
      <c r="M1315" s="8">
        <v>0.34</v>
      </c>
    </row>
    <row r="1316" spans="1:13" x14ac:dyDescent="0.25">
      <c r="A1316">
        <v>1315</v>
      </c>
      <c r="B1316">
        <v>9.6999999999999993</v>
      </c>
      <c r="C1316">
        <v>1.5</v>
      </c>
      <c r="D1316">
        <v>7.5</v>
      </c>
      <c r="E1316">
        <v>4.8</v>
      </c>
      <c r="F1316">
        <v>0.5</v>
      </c>
      <c r="G1316">
        <v>3.3</v>
      </c>
      <c r="H1316" t="s">
        <v>10</v>
      </c>
      <c r="I1316">
        <v>16.5</v>
      </c>
      <c r="J1316" t="s">
        <v>15</v>
      </c>
      <c r="K1316">
        <v>4.1500000000000004</v>
      </c>
      <c r="L1316" t="s">
        <v>52</v>
      </c>
      <c r="M1316" s="8">
        <v>0.59</v>
      </c>
    </row>
    <row r="1317" spans="1:13" x14ac:dyDescent="0.25">
      <c r="A1317">
        <v>1316</v>
      </c>
      <c r="B1317">
        <v>6.1</v>
      </c>
      <c r="C1317">
        <v>0.8</v>
      </c>
      <c r="D1317">
        <v>5.2</v>
      </c>
      <c r="E1317">
        <v>3.9</v>
      </c>
      <c r="F1317">
        <v>8</v>
      </c>
      <c r="G1317">
        <v>2.56</v>
      </c>
      <c r="H1317" t="s">
        <v>10</v>
      </c>
      <c r="I1317">
        <v>18.799999999999997</v>
      </c>
      <c r="J1317" t="s">
        <v>13</v>
      </c>
      <c r="K1317">
        <v>3.09</v>
      </c>
      <c r="L1317" t="s">
        <v>52</v>
      </c>
      <c r="M1317" s="8">
        <v>0.32</v>
      </c>
    </row>
    <row r="1318" spans="1:13" x14ac:dyDescent="0.25">
      <c r="A1318">
        <v>1317</v>
      </c>
      <c r="B1318">
        <v>6.3</v>
      </c>
      <c r="C1318">
        <v>0.2</v>
      </c>
      <c r="D1318">
        <v>6.2</v>
      </c>
      <c r="E1318">
        <v>4.8</v>
      </c>
      <c r="F1318">
        <v>6.5</v>
      </c>
      <c r="G1318">
        <v>2.93</v>
      </c>
      <c r="H1318" t="s">
        <v>8</v>
      </c>
      <c r="I1318">
        <v>17.8</v>
      </c>
      <c r="J1318" t="s">
        <v>13</v>
      </c>
      <c r="K1318">
        <v>2.93</v>
      </c>
      <c r="L1318" t="s">
        <v>52</v>
      </c>
      <c r="M1318" s="8">
        <v>0.35</v>
      </c>
    </row>
    <row r="1319" spans="1:13" x14ac:dyDescent="0.25">
      <c r="A1319">
        <v>1318</v>
      </c>
      <c r="B1319">
        <v>7.1</v>
      </c>
      <c r="C1319">
        <v>3.9</v>
      </c>
      <c r="D1319">
        <v>6</v>
      </c>
      <c r="E1319">
        <v>1.3</v>
      </c>
      <c r="F1319">
        <v>5.7</v>
      </c>
      <c r="G1319">
        <v>3.3</v>
      </c>
      <c r="H1319" t="s">
        <v>8</v>
      </c>
      <c r="I1319">
        <v>18</v>
      </c>
      <c r="J1319" t="s">
        <v>15</v>
      </c>
      <c r="K1319">
        <v>2.5</v>
      </c>
      <c r="L1319" t="s">
        <v>52</v>
      </c>
      <c r="M1319" s="8">
        <v>0.39</v>
      </c>
    </row>
    <row r="1320" spans="1:13" x14ac:dyDescent="0.25">
      <c r="A1320">
        <v>1319</v>
      </c>
      <c r="B1320">
        <v>6.5</v>
      </c>
      <c r="C1320">
        <v>0.7</v>
      </c>
      <c r="D1320">
        <v>6.9</v>
      </c>
      <c r="E1320">
        <v>5.5</v>
      </c>
      <c r="F1320">
        <v>4.4000000000000004</v>
      </c>
      <c r="G1320">
        <v>2.71</v>
      </c>
      <c r="H1320" t="s">
        <v>8</v>
      </c>
      <c r="I1320">
        <v>17.100000000000001</v>
      </c>
      <c r="J1320" t="s">
        <v>13</v>
      </c>
      <c r="K1320">
        <v>2.5299999999999998</v>
      </c>
      <c r="L1320" t="s">
        <v>52</v>
      </c>
      <c r="M1320" s="8">
        <v>0.38</v>
      </c>
    </row>
    <row r="1321" spans="1:13" x14ac:dyDescent="0.25">
      <c r="A1321">
        <v>1320</v>
      </c>
      <c r="B1321">
        <v>9.6999999999999993</v>
      </c>
      <c r="C1321">
        <v>0.2</v>
      </c>
      <c r="D1321">
        <v>6.1</v>
      </c>
      <c r="E1321">
        <v>3.4</v>
      </c>
      <c r="F1321">
        <v>4.5999999999999996</v>
      </c>
      <c r="G1321">
        <v>3.81</v>
      </c>
      <c r="H1321" t="s">
        <v>10</v>
      </c>
      <c r="I1321">
        <v>17.899999999999999</v>
      </c>
      <c r="J1321" t="s">
        <v>14</v>
      </c>
      <c r="K1321">
        <v>3.95</v>
      </c>
      <c r="L1321" t="s">
        <v>52</v>
      </c>
      <c r="M1321" s="8">
        <v>0.54</v>
      </c>
    </row>
    <row r="1322" spans="1:13" x14ac:dyDescent="0.25">
      <c r="A1322">
        <v>1321</v>
      </c>
      <c r="B1322">
        <v>8.1</v>
      </c>
      <c r="C1322">
        <v>0.2</v>
      </c>
      <c r="D1322">
        <v>7</v>
      </c>
      <c r="E1322">
        <v>3.9</v>
      </c>
      <c r="F1322">
        <v>4.8</v>
      </c>
      <c r="G1322">
        <v>3.41</v>
      </c>
      <c r="H1322" t="s">
        <v>10</v>
      </c>
      <c r="I1322">
        <v>17</v>
      </c>
      <c r="J1322" t="s">
        <v>15</v>
      </c>
      <c r="K1322">
        <v>3.25</v>
      </c>
      <c r="L1322" t="s">
        <v>52</v>
      </c>
      <c r="M1322" s="8">
        <v>0.48</v>
      </c>
    </row>
    <row r="1323" spans="1:13" x14ac:dyDescent="0.25">
      <c r="A1323">
        <v>1322</v>
      </c>
      <c r="B1323">
        <v>6.6</v>
      </c>
      <c r="C1323">
        <v>0.4</v>
      </c>
      <c r="D1323">
        <v>7.1</v>
      </c>
      <c r="E1323">
        <v>0.8</v>
      </c>
      <c r="F1323">
        <v>9.1</v>
      </c>
      <c r="G1323">
        <v>3.27</v>
      </c>
      <c r="H1323" t="s">
        <v>8</v>
      </c>
      <c r="I1323">
        <v>16.899999999999999</v>
      </c>
      <c r="J1323" t="s">
        <v>15</v>
      </c>
      <c r="K1323">
        <v>4.3099999999999996</v>
      </c>
      <c r="L1323" t="s">
        <v>52</v>
      </c>
      <c r="M1323" s="8">
        <v>0.39</v>
      </c>
    </row>
    <row r="1324" spans="1:13" x14ac:dyDescent="0.25">
      <c r="A1324">
        <v>1323</v>
      </c>
      <c r="B1324">
        <v>9.6999999999999993</v>
      </c>
      <c r="C1324">
        <v>1.9</v>
      </c>
      <c r="D1324">
        <v>6.6</v>
      </c>
      <c r="E1324">
        <v>4.4000000000000004</v>
      </c>
      <c r="F1324">
        <v>1.4</v>
      </c>
      <c r="G1324">
        <v>3.06</v>
      </c>
      <c r="H1324" t="s">
        <v>10</v>
      </c>
      <c r="I1324">
        <v>17.399999999999999</v>
      </c>
      <c r="J1324" t="s">
        <v>15</v>
      </c>
      <c r="K1324">
        <v>3.8</v>
      </c>
      <c r="L1324" t="s">
        <v>52</v>
      </c>
      <c r="M1324" s="8">
        <v>0.56000000000000005</v>
      </c>
    </row>
    <row r="1325" spans="1:13" x14ac:dyDescent="0.25">
      <c r="A1325">
        <v>1324</v>
      </c>
      <c r="B1325">
        <v>9.1</v>
      </c>
      <c r="C1325">
        <v>3.5</v>
      </c>
      <c r="D1325">
        <v>8.4</v>
      </c>
      <c r="E1325">
        <v>0.1</v>
      </c>
      <c r="F1325">
        <v>2.9</v>
      </c>
      <c r="G1325">
        <v>3.36</v>
      </c>
      <c r="H1325" t="s">
        <v>10</v>
      </c>
      <c r="I1325">
        <v>15.6</v>
      </c>
      <c r="J1325" t="s">
        <v>15</v>
      </c>
      <c r="K1325">
        <v>3.77</v>
      </c>
      <c r="L1325" t="s">
        <v>52</v>
      </c>
      <c r="M1325" s="8">
        <v>0.57999999999999996</v>
      </c>
    </row>
    <row r="1326" spans="1:13" x14ac:dyDescent="0.25">
      <c r="A1326">
        <v>1325</v>
      </c>
      <c r="B1326">
        <v>7.8</v>
      </c>
      <c r="C1326">
        <v>3.1</v>
      </c>
      <c r="D1326">
        <v>5.7</v>
      </c>
      <c r="E1326">
        <v>1.4</v>
      </c>
      <c r="F1326">
        <v>6</v>
      </c>
      <c r="G1326">
        <v>3.14</v>
      </c>
      <c r="H1326" t="s">
        <v>10</v>
      </c>
      <c r="I1326">
        <v>18.3</v>
      </c>
      <c r="J1326" t="s">
        <v>15</v>
      </c>
      <c r="K1326">
        <v>2.87</v>
      </c>
      <c r="L1326" t="s">
        <v>52</v>
      </c>
      <c r="M1326" s="8">
        <v>0.43</v>
      </c>
    </row>
    <row r="1327" spans="1:13" x14ac:dyDescent="0.25">
      <c r="A1327">
        <v>1326</v>
      </c>
      <c r="B1327">
        <v>7.2</v>
      </c>
      <c r="C1327">
        <v>0</v>
      </c>
      <c r="D1327">
        <v>9.1</v>
      </c>
      <c r="E1327">
        <v>2.2000000000000002</v>
      </c>
      <c r="F1327">
        <v>5.5</v>
      </c>
      <c r="G1327">
        <v>3.41</v>
      </c>
      <c r="H1327" t="s">
        <v>8</v>
      </c>
      <c r="I1327">
        <v>14.9</v>
      </c>
      <c r="J1327" t="s">
        <v>15</v>
      </c>
      <c r="K1327">
        <v>3.24</v>
      </c>
      <c r="L1327" t="s">
        <v>52</v>
      </c>
      <c r="M1327" s="8">
        <v>0.48</v>
      </c>
    </row>
    <row r="1328" spans="1:13" x14ac:dyDescent="0.25">
      <c r="A1328">
        <v>1327</v>
      </c>
      <c r="B1328">
        <v>7.7</v>
      </c>
      <c r="C1328">
        <v>2.7</v>
      </c>
      <c r="D1328">
        <v>8.5</v>
      </c>
      <c r="E1328">
        <v>4.9000000000000004</v>
      </c>
      <c r="F1328">
        <v>0.2</v>
      </c>
      <c r="G1328">
        <v>2.68</v>
      </c>
      <c r="H1328" t="s">
        <v>8</v>
      </c>
      <c r="I1328">
        <v>15.5</v>
      </c>
      <c r="J1328" t="s">
        <v>13</v>
      </c>
      <c r="K1328">
        <v>3.19</v>
      </c>
      <c r="L1328" t="s">
        <v>52</v>
      </c>
      <c r="M1328" s="8">
        <v>0.5</v>
      </c>
    </row>
    <row r="1329" spans="1:13" x14ac:dyDescent="0.25">
      <c r="A1329">
        <v>1328</v>
      </c>
      <c r="B1329">
        <v>9.8000000000000007</v>
      </c>
      <c r="C1329">
        <v>2.6</v>
      </c>
      <c r="D1329">
        <v>6.5</v>
      </c>
      <c r="E1329">
        <v>0.6</v>
      </c>
      <c r="F1329">
        <v>4.5</v>
      </c>
      <c r="G1329">
        <v>3.62</v>
      </c>
      <c r="H1329" t="s">
        <v>10</v>
      </c>
      <c r="I1329">
        <v>17.5</v>
      </c>
      <c r="J1329" t="s">
        <v>14</v>
      </c>
      <c r="K1329">
        <v>3.95</v>
      </c>
      <c r="L1329" t="s">
        <v>52</v>
      </c>
      <c r="M1329" s="8">
        <v>0.56000000000000005</v>
      </c>
    </row>
    <row r="1330" spans="1:13" x14ac:dyDescent="0.25">
      <c r="A1330">
        <v>1329</v>
      </c>
      <c r="B1330">
        <v>9.1999999999999993</v>
      </c>
      <c r="C1330">
        <v>1.4</v>
      </c>
      <c r="D1330">
        <v>8.3000000000000007</v>
      </c>
      <c r="E1330">
        <v>2.4</v>
      </c>
      <c r="F1330">
        <v>2.7</v>
      </c>
      <c r="G1330">
        <v>3.47</v>
      </c>
      <c r="H1330" t="s">
        <v>10</v>
      </c>
      <c r="I1330">
        <v>15.7</v>
      </c>
      <c r="J1330" t="s">
        <v>15</v>
      </c>
      <c r="K1330">
        <v>3.56</v>
      </c>
      <c r="L1330" t="s">
        <v>52</v>
      </c>
      <c r="M1330" s="8">
        <v>0.59</v>
      </c>
    </row>
    <row r="1331" spans="1:13" x14ac:dyDescent="0.25">
      <c r="A1331">
        <v>1330</v>
      </c>
      <c r="B1331">
        <v>5.3</v>
      </c>
      <c r="C1331">
        <v>1.7</v>
      </c>
      <c r="D1331">
        <v>7.7</v>
      </c>
      <c r="E1331">
        <v>2.6</v>
      </c>
      <c r="F1331">
        <v>6.7</v>
      </c>
      <c r="G1331">
        <v>2.54</v>
      </c>
      <c r="H1331" t="s">
        <v>9</v>
      </c>
      <c r="I1331">
        <v>16.3</v>
      </c>
      <c r="J1331" t="s">
        <v>13</v>
      </c>
      <c r="K1331">
        <v>2.3199999999999998</v>
      </c>
      <c r="L1331" t="s">
        <v>52</v>
      </c>
      <c r="M1331" s="8">
        <v>0.33</v>
      </c>
    </row>
    <row r="1332" spans="1:13" x14ac:dyDescent="0.25">
      <c r="A1332">
        <v>1331</v>
      </c>
      <c r="B1332">
        <v>8.6999999999999993</v>
      </c>
      <c r="C1332">
        <v>3.3</v>
      </c>
      <c r="D1332">
        <v>8.9</v>
      </c>
      <c r="E1332">
        <v>0.1</v>
      </c>
      <c r="F1332">
        <v>3</v>
      </c>
      <c r="G1332">
        <v>3.34</v>
      </c>
      <c r="H1332" t="s">
        <v>10</v>
      </c>
      <c r="I1332">
        <v>15.1</v>
      </c>
      <c r="J1332" t="s">
        <v>15</v>
      </c>
      <c r="K1332">
        <v>3.59</v>
      </c>
      <c r="L1332" t="s">
        <v>52</v>
      </c>
      <c r="M1332" s="8">
        <v>0.57999999999999996</v>
      </c>
    </row>
    <row r="1333" spans="1:13" x14ac:dyDescent="0.25">
      <c r="A1333">
        <v>1332</v>
      </c>
      <c r="B1333">
        <v>9.6999999999999993</v>
      </c>
      <c r="C1333">
        <v>3.3</v>
      </c>
      <c r="D1333">
        <v>9.1999999999999993</v>
      </c>
      <c r="E1333">
        <v>0.5</v>
      </c>
      <c r="F1333">
        <v>1.3</v>
      </c>
      <c r="G1333">
        <v>3.18</v>
      </c>
      <c r="H1333" t="s">
        <v>10</v>
      </c>
      <c r="I1333">
        <v>14.8</v>
      </c>
      <c r="J1333" t="s">
        <v>15</v>
      </c>
      <c r="K1333">
        <v>4.17</v>
      </c>
      <c r="L1333" t="s">
        <v>52</v>
      </c>
      <c r="M1333" s="8">
        <v>0.66</v>
      </c>
    </row>
    <row r="1334" spans="1:13" x14ac:dyDescent="0.25">
      <c r="A1334">
        <v>1333</v>
      </c>
      <c r="B1334">
        <v>7.1</v>
      </c>
      <c r="C1334">
        <v>1.9</v>
      </c>
      <c r="D1334">
        <v>5.8</v>
      </c>
      <c r="E1334">
        <v>0.2</v>
      </c>
      <c r="F1334">
        <v>9</v>
      </c>
      <c r="G1334">
        <v>3.02</v>
      </c>
      <c r="H1334" t="s">
        <v>10</v>
      </c>
      <c r="I1334">
        <v>18.2</v>
      </c>
      <c r="J1334" t="s">
        <v>15</v>
      </c>
      <c r="K1334">
        <v>4.17</v>
      </c>
      <c r="L1334" t="s">
        <v>52</v>
      </c>
      <c r="M1334" s="8">
        <v>0.39</v>
      </c>
    </row>
    <row r="1335" spans="1:13" x14ac:dyDescent="0.25">
      <c r="A1335">
        <v>1334</v>
      </c>
      <c r="B1335">
        <v>9.6</v>
      </c>
      <c r="C1335">
        <v>2.2999999999999998</v>
      </c>
      <c r="D1335">
        <v>8.3000000000000007</v>
      </c>
      <c r="E1335">
        <v>3.5</v>
      </c>
      <c r="F1335">
        <v>0.3</v>
      </c>
      <c r="G1335">
        <v>3.41</v>
      </c>
      <c r="H1335" t="s">
        <v>10</v>
      </c>
      <c r="I1335">
        <v>15.7</v>
      </c>
      <c r="J1335" t="s">
        <v>15</v>
      </c>
      <c r="K1335">
        <v>4.01</v>
      </c>
      <c r="L1335" t="s">
        <v>52</v>
      </c>
      <c r="M1335" s="8">
        <v>0.61</v>
      </c>
    </row>
    <row r="1336" spans="1:13" x14ac:dyDescent="0.25">
      <c r="A1336">
        <v>1335</v>
      </c>
      <c r="B1336">
        <v>6.7</v>
      </c>
      <c r="C1336">
        <v>2.5</v>
      </c>
      <c r="D1336">
        <v>5.2</v>
      </c>
      <c r="E1336">
        <v>1.1000000000000001</v>
      </c>
      <c r="F1336">
        <v>8.5</v>
      </c>
      <c r="G1336">
        <v>3.11</v>
      </c>
      <c r="H1336" t="s">
        <v>10</v>
      </c>
      <c r="I1336">
        <v>18.799999999999997</v>
      </c>
      <c r="J1336" t="s">
        <v>15</v>
      </c>
      <c r="K1336">
        <v>3.48</v>
      </c>
      <c r="L1336" t="s">
        <v>52</v>
      </c>
      <c r="M1336" s="8">
        <v>0.36</v>
      </c>
    </row>
    <row r="1337" spans="1:13" x14ac:dyDescent="0.25">
      <c r="A1337">
        <v>1336</v>
      </c>
      <c r="B1337">
        <v>6.8</v>
      </c>
      <c r="C1337">
        <v>1.5</v>
      </c>
      <c r="D1337">
        <v>7.7</v>
      </c>
      <c r="E1337">
        <v>0</v>
      </c>
      <c r="F1337">
        <v>8</v>
      </c>
      <c r="G1337">
        <v>3.15</v>
      </c>
      <c r="H1337" t="s">
        <v>8</v>
      </c>
      <c r="I1337">
        <v>16.3</v>
      </c>
      <c r="J1337" t="s">
        <v>15</v>
      </c>
      <c r="K1337">
        <v>3.92</v>
      </c>
      <c r="L1337" t="s">
        <v>52</v>
      </c>
      <c r="M1337" s="8">
        <v>0.42</v>
      </c>
    </row>
    <row r="1338" spans="1:13" x14ac:dyDescent="0.25">
      <c r="A1338">
        <v>1337</v>
      </c>
      <c r="B1338">
        <v>6.2</v>
      </c>
      <c r="C1338">
        <v>0.8</v>
      </c>
      <c r="D1338">
        <v>6.3</v>
      </c>
      <c r="E1338">
        <v>4.8</v>
      </c>
      <c r="F1338">
        <v>5.9</v>
      </c>
      <c r="G1338">
        <v>2.76</v>
      </c>
      <c r="H1338" t="s">
        <v>8</v>
      </c>
      <c r="I1338">
        <v>17.700000000000003</v>
      </c>
      <c r="J1338" t="s">
        <v>13</v>
      </c>
      <c r="K1338">
        <v>2.4900000000000002</v>
      </c>
      <c r="L1338" t="s">
        <v>52</v>
      </c>
      <c r="M1338" s="8">
        <v>0.35</v>
      </c>
    </row>
    <row r="1339" spans="1:13" x14ac:dyDescent="0.25">
      <c r="A1339">
        <v>1338</v>
      </c>
      <c r="B1339">
        <v>7.5</v>
      </c>
      <c r="C1339">
        <v>3.5</v>
      </c>
      <c r="D1339">
        <v>6.2</v>
      </c>
      <c r="E1339">
        <v>0.5</v>
      </c>
      <c r="F1339">
        <v>6.3</v>
      </c>
      <c r="G1339">
        <v>3</v>
      </c>
      <c r="H1339" t="s">
        <v>8</v>
      </c>
      <c r="I1339">
        <v>17.8</v>
      </c>
      <c r="J1339" t="s">
        <v>15</v>
      </c>
      <c r="K1339">
        <v>3.12</v>
      </c>
      <c r="L1339" t="s">
        <v>52</v>
      </c>
      <c r="M1339" s="8">
        <v>0.42</v>
      </c>
    </row>
    <row r="1340" spans="1:13" x14ac:dyDescent="0.25">
      <c r="A1340">
        <v>1339</v>
      </c>
      <c r="B1340">
        <v>6.8</v>
      </c>
      <c r="C1340">
        <v>3</v>
      </c>
      <c r="D1340">
        <v>7.8</v>
      </c>
      <c r="E1340">
        <v>4.9000000000000004</v>
      </c>
      <c r="F1340">
        <v>1.5</v>
      </c>
      <c r="G1340">
        <v>2.99</v>
      </c>
      <c r="H1340" t="s">
        <v>8</v>
      </c>
      <c r="I1340">
        <v>16.200000000000003</v>
      </c>
      <c r="J1340" t="s">
        <v>13</v>
      </c>
      <c r="K1340">
        <v>2.2999999999999998</v>
      </c>
      <c r="L1340" t="s">
        <v>52</v>
      </c>
      <c r="M1340" s="8">
        <v>0.42</v>
      </c>
    </row>
    <row r="1341" spans="1:13" x14ac:dyDescent="0.25">
      <c r="A1341">
        <v>1340</v>
      </c>
      <c r="B1341">
        <v>5.2</v>
      </c>
      <c r="C1341">
        <v>3.9</v>
      </c>
      <c r="D1341">
        <v>6.9</v>
      </c>
      <c r="E1341">
        <v>0.9</v>
      </c>
      <c r="F1341">
        <v>7.1</v>
      </c>
      <c r="G1341">
        <v>3.28</v>
      </c>
      <c r="H1341" t="s">
        <v>9</v>
      </c>
      <c r="I1341">
        <v>17.100000000000001</v>
      </c>
      <c r="J1341" t="s">
        <v>15</v>
      </c>
      <c r="K1341">
        <v>2.61</v>
      </c>
      <c r="L1341" t="s">
        <v>52</v>
      </c>
      <c r="M1341" s="8">
        <v>0.3</v>
      </c>
    </row>
    <row r="1342" spans="1:13" x14ac:dyDescent="0.25">
      <c r="A1342">
        <v>1341</v>
      </c>
      <c r="B1342">
        <v>8.3000000000000007</v>
      </c>
      <c r="C1342">
        <v>1.1000000000000001</v>
      </c>
      <c r="D1342">
        <v>7.9</v>
      </c>
      <c r="E1342">
        <v>3.5</v>
      </c>
      <c r="F1342">
        <v>3.2</v>
      </c>
      <c r="G1342">
        <v>3.49</v>
      </c>
      <c r="H1342" t="s">
        <v>10</v>
      </c>
      <c r="I1342">
        <v>16.100000000000001</v>
      </c>
      <c r="J1342" t="s">
        <v>15</v>
      </c>
      <c r="K1342">
        <v>3.04</v>
      </c>
      <c r="L1342" t="s">
        <v>52</v>
      </c>
      <c r="M1342" s="8">
        <v>0.52</v>
      </c>
    </row>
    <row r="1343" spans="1:13" x14ac:dyDescent="0.25">
      <c r="A1343">
        <v>1342</v>
      </c>
      <c r="B1343">
        <v>6.3</v>
      </c>
      <c r="C1343">
        <v>1.8</v>
      </c>
      <c r="D1343">
        <v>7.7</v>
      </c>
      <c r="E1343">
        <v>4</v>
      </c>
      <c r="F1343">
        <v>4.2</v>
      </c>
      <c r="G1343">
        <v>2.91</v>
      </c>
      <c r="H1343" t="s">
        <v>8</v>
      </c>
      <c r="I1343">
        <v>16.3</v>
      </c>
      <c r="J1343" t="s">
        <v>13</v>
      </c>
      <c r="K1343">
        <v>1.84</v>
      </c>
      <c r="L1343" t="s">
        <v>52</v>
      </c>
      <c r="M1343" s="8">
        <v>0.39</v>
      </c>
    </row>
    <row r="1344" spans="1:13" x14ac:dyDescent="0.25">
      <c r="A1344">
        <v>1343</v>
      </c>
      <c r="B1344">
        <v>8.9</v>
      </c>
      <c r="C1344">
        <v>1.6</v>
      </c>
      <c r="D1344">
        <v>8.1999999999999993</v>
      </c>
      <c r="E1344">
        <v>0.8</v>
      </c>
      <c r="F1344">
        <v>4.5</v>
      </c>
      <c r="G1344">
        <v>3.3</v>
      </c>
      <c r="H1344" t="s">
        <v>10</v>
      </c>
      <c r="I1344">
        <v>15.8</v>
      </c>
      <c r="J1344" t="s">
        <v>15</v>
      </c>
      <c r="K1344">
        <v>3.66</v>
      </c>
      <c r="L1344" t="s">
        <v>52</v>
      </c>
      <c r="M1344" s="8">
        <v>0.56000000000000005</v>
      </c>
    </row>
    <row r="1345" spans="1:13" x14ac:dyDescent="0.25">
      <c r="A1345">
        <v>1344</v>
      </c>
      <c r="B1345">
        <v>8.6</v>
      </c>
      <c r="C1345">
        <v>0.1</v>
      </c>
      <c r="D1345">
        <v>6</v>
      </c>
      <c r="E1345">
        <v>2.9</v>
      </c>
      <c r="F1345">
        <v>6.4</v>
      </c>
      <c r="G1345">
        <v>3.42</v>
      </c>
      <c r="H1345" t="s">
        <v>10</v>
      </c>
      <c r="I1345">
        <v>18</v>
      </c>
      <c r="J1345" t="s">
        <v>15</v>
      </c>
      <c r="K1345">
        <v>3.76</v>
      </c>
      <c r="L1345" t="s">
        <v>52</v>
      </c>
      <c r="M1345" s="8">
        <v>0.48</v>
      </c>
    </row>
    <row r="1346" spans="1:13" x14ac:dyDescent="0.25">
      <c r="A1346">
        <v>1345</v>
      </c>
      <c r="B1346">
        <v>9.4</v>
      </c>
      <c r="C1346">
        <v>2.1</v>
      </c>
      <c r="D1346">
        <v>9.6</v>
      </c>
      <c r="E1346">
        <v>1.4</v>
      </c>
      <c r="F1346">
        <v>1.5</v>
      </c>
      <c r="G1346">
        <v>3.2</v>
      </c>
      <c r="H1346" t="s">
        <v>10</v>
      </c>
      <c r="I1346">
        <v>14.4</v>
      </c>
      <c r="J1346" t="s">
        <v>15</v>
      </c>
      <c r="K1346">
        <v>3.88</v>
      </c>
      <c r="L1346" t="s">
        <v>52</v>
      </c>
      <c r="M1346" s="8">
        <v>0.65</v>
      </c>
    </row>
    <row r="1347" spans="1:13" x14ac:dyDescent="0.25">
      <c r="A1347">
        <v>1346</v>
      </c>
      <c r="B1347">
        <v>9</v>
      </c>
      <c r="C1347">
        <v>1</v>
      </c>
      <c r="D1347">
        <v>9.5</v>
      </c>
      <c r="E1347">
        <v>4.0999999999999996</v>
      </c>
      <c r="F1347">
        <v>0.4</v>
      </c>
      <c r="G1347">
        <v>3.34</v>
      </c>
      <c r="H1347" t="s">
        <v>10</v>
      </c>
      <c r="I1347">
        <v>14.5</v>
      </c>
      <c r="J1347" t="s">
        <v>15</v>
      </c>
      <c r="K1347">
        <v>3.93</v>
      </c>
      <c r="L1347" t="s">
        <v>52</v>
      </c>
      <c r="M1347" s="8">
        <v>0.62</v>
      </c>
    </row>
    <row r="1348" spans="1:13" x14ac:dyDescent="0.25">
      <c r="A1348">
        <v>1347</v>
      </c>
      <c r="B1348">
        <v>9.6999999999999993</v>
      </c>
      <c r="C1348">
        <v>2.1</v>
      </c>
      <c r="D1348">
        <v>8.4</v>
      </c>
      <c r="E1348">
        <v>3</v>
      </c>
      <c r="F1348">
        <v>0.8</v>
      </c>
      <c r="G1348">
        <v>3.51</v>
      </c>
      <c r="H1348" t="s">
        <v>10</v>
      </c>
      <c r="I1348">
        <v>15.6</v>
      </c>
      <c r="J1348" t="s">
        <v>14</v>
      </c>
      <c r="K1348">
        <v>3.97</v>
      </c>
      <c r="L1348" t="s">
        <v>52</v>
      </c>
      <c r="M1348" s="8">
        <v>0.62</v>
      </c>
    </row>
    <row r="1349" spans="1:13" x14ac:dyDescent="0.25">
      <c r="A1349">
        <v>1348</v>
      </c>
      <c r="B1349">
        <v>5.2</v>
      </c>
      <c r="C1349">
        <v>2</v>
      </c>
      <c r="D1349">
        <v>5.8</v>
      </c>
      <c r="E1349">
        <v>1.1000000000000001</v>
      </c>
      <c r="F1349">
        <v>9.9</v>
      </c>
      <c r="G1349">
        <v>2.58</v>
      </c>
      <c r="H1349" t="s">
        <v>10</v>
      </c>
      <c r="I1349">
        <v>18.200000000000003</v>
      </c>
      <c r="J1349" t="s">
        <v>13</v>
      </c>
      <c r="K1349">
        <v>3.98</v>
      </c>
      <c r="L1349" t="s">
        <v>52</v>
      </c>
      <c r="M1349" s="8">
        <v>0.28999999999999998</v>
      </c>
    </row>
    <row r="1350" spans="1:13" x14ac:dyDescent="0.25">
      <c r="A1350">
        <v>1349</v>
      </c>
      <c r="B1350">
        <v>6.8</v>
      </c>
      <c r="C1350">
        <v>1.7</v>
      </c>
      <c r="D1350">
        <v>8.1</v>
      </c>
      <c r="E1350">
        <v>0.4</v>
      </c>
      <c r="F1350">
        <v>7</v>
      </c>
      <c r="G1350">
        <v>2.75</v>
      </c>
      <c r="H1350" t="s">
        <v>8</v>
      </c>
      <c r="I1350">
        <v>15.9</v>
      </c>
      <c r="J1350" t="s">
        <v>13</v>
      </c>
      <c r="K1350">
        <v>3.42</v>
      </c>
      <c r="L1350" t="s">
        <v>52</v>
      </c>
      <c r="M1350" s="8">
        <v>0.43</v>
      </c>
    </row>
    <row r="1351" spans="1:13" x14ac:dyDescent="0.25">
      <c r="A1351">
        <v>1350</v>
      </c>
      <c r="B1351">
        <v>7.9</v>
      </c>
      <c r="C1351">
        <v>2.5</v>
      </c>
      <c r="D1351">
        <v>7.8</v>
      </c>
      <c r="E1351">
        <v>4.3</v>
      </c>
      <c r="F1351">
        <v>1.5</v>
      </c>
      <c r="G1351">
        <v>3.19</v>
      </c>
      <c r="H1351" t="s">
        <v>8</v>
      </c>
      <c r="I1351">
        <v>16.2</v>
      </c>
      <c r="J1351" t="s">
        <v>15</v>
      </c>
      <c r="K1351">
        <v>2.82</v>
      </c>
      <c r="L1351" t="s">
        <v>52</v>
      </c>
      <c r="M1351" s="8">
        <v>0.49</v>
      </c>
    </row>
    <row r="1352" spans="1:13" x14ac:dyDescent="0.25">
      <c r="A1352">
        <v>1351</v>
      </c>
      <c r="B1352">
        <v>6.7</v>
      </c>
      <c r="C1352">
        <v>3.1</v>
      </c>
      <c r="D1352">
        <v>7.2</v>
      </c>
      <c r="E1352">
        <v>2.9</v>
      </c>
      <c r="F1352">
        <v>4.0999999999999996</v>
      </c>
      <c r="G1352">
        <v>3.24</v>
      </c>
      <c r="H1352" t="s">
        <v>8</v>
      </c>
      <c r="I1352">
        <v>16.8</v>
      </c>
      <c r="J1352" t="s">
        <v>15</v>
      </c>
      <c r="K1352">
        <v>1.75</v>
      </c>
      <c r="L1352" t="s">
        <v>52</v>
      </c>
      <c r="M1352" s="8">
        <v>0.4</v>
      </c>
    </row>
    <row r="1353" spans="1:13" x14ac:dyDescent="0.25">
      <c r="A1353">
        <v>1352</v>
      </c>
      <c r="B1353">
        <v>6.5</v>
      </c>
      <c r="C1353">
        <v>0.3</v>
      </c>
      <c r="D1353">
        <v>5.5</v>
      </c>
      <c r="E1353">
        <v>5.5</v>
      </c>
      <c r="F1353">
        <v>6.2</v>
      </c>
      <c r="G1353">
        <v>3.28</v>
      </c>
      <c r="H1353" t="s">
        <v>10</v>
      </c>
      <c r="I1353">
        <v>18.5</v>
      </c>
      <c r="J1353" t="s">
        <v>15</v>
      </c>
      <c r="K1353">
        <v>2.91</v>
      </c>
      <c r="L1353" t="s">
        <v>52</v>
      </c>
      <c r="M1353" s="8">
        <v>0.35</v>
      </c>
    </row>
    <row r="1354" spans="1:13" x14ac:dyDescent="0.25">
      <c r="A1354">
        <v>1353</v>
      </c>
      <c r="B1354">
        <v>8.4</v>
      </c>
      <c r="C1354">
        <v>0.5</v>
      </c>
      <c r="D1354">
        <v>6.8</v>
      </c>
      <c r="E1354">
        <v>3.6</v>
      </c>
      <c r="F1354">
        <v>4.7</v>
      </c>
      <c r="G1354">
        <v>3.34</v>
      </c>
      <c r="H1354" t="s">
        <v>10</v>
      </c>
      <c r="I1354">
        <v>17.2</v>
      </c>
      <c r="J1354" t="s">
        <v>15</v>
      </c>
      <c r="K1354">
        <v>3.26</v>
      </c>
      <c r="L1354" t="s">
        <v>52</v>
      </c>
      <c r="M1354" s="8">
        <v>0.49</v>
      </c>
    </row>
    <row r="1355" spans="1:13" x14ac:dyDescent="0.25">
      <c r="A1355">
        <v>1354</v>
      </c>
      <c r="B1355">
        <v>5</v>
      </c>
      <c r="C1355">
        <v>0.8</v>
      </c>
      <c r="D1355">
        <v>9.8000000000000007</v>
      </c>
      <c r="E1355">
        <v>3.7</v>
      </c>
      <c r="F1355">
        <v>4.7</v>
      </c>
      <c r="G1355">
        <v>2.69</v>
      </c>
      <c r="H1355" t="s">
        <v>9</v>
      </c>
      <c r="I1355">
        <v>14.2</v>
      </c>
      <c r="J1355" t="s">
        <v>13</v>
      </c>
      <c r="K1355">
        <v>1.92</v>
      </c>
      <c r="L1355" t="s">
        <v>52</v>
      </c>
      <c r="M1355" s="8">
        <v>0.35</v>
      </c>
    </row>
    <row r="1356" spans="1:13" x14ac:dyDescent="0.25">
      <c r="A1356">
        <v>1355</v>
      </c>
      <c r="B1356">
        <v>6.3</v>
      </c>
      <c r="C1356">
        <v>0.3</v>
      </c>
      <c r="D1356">
        <v>5.0999999999999996</v>
      </c>
      <c r="E1356">
        <v>1.5</v>
      </c>
      <c r="F1356">
        <v>10.8</v>
      </c>
      <c r="G1356">
        <v>2.9</v>
      </c>
      <c r="H1356" t="s">
        <v>10</v>
      </c>
      <c r="I1356">
        <v>18.899999999999999</v>
      </c>
      <c r="J1356" t="s">
        <v>13</v>
      </c>
      <c r="K1356">
        <v>4.8099999999999996</v>
      </c>
      <c r="L1356" t="s">
        <v>52</v>
      </c>
      <c r="M1356" s="8">
        <v>0.33</v>
      </c>
    </row>
    <row r="1357" spans="1:13" x14ac:dyDescent="0.25">
      <c r="A1357">
        <v>1356</v>
      </c>
      <c r="B1357">
        <v>8.6</v>
      </c>
      <c r="C1357">
        <v>3.7</v>
      </c>
      <c r="D1357">
        <v>7</v>
      </c>
      <c r="E1357">
        <v>0.9</v>
      </c>
      <c r="F1357">
        <v>3.8</v>
      </c>
      <c r="G1357">
        <v>3.48</v>
      </c>
      <c r="H1357" t="s">
        <v>10</v>
      </c>
      <c r="I1357">
        <v>17</v>
      </c>
      <c r="J1357" t="s">
        <v>15</v>
      </c>
      <c r="K1357">
        <v>3.2</v>
      </c>
      <c r="L1357" t="s">
        <v>52</v>
      </c>
      <c r="M1357" s="8">
        <v>0.51</v>
      </c>
    </row>
    <row r="1358" spans="1:13" x14ac:dyDescent="0.25">
      <c r="A1358">
        <v>1357</v>
      </c>
      <c r="B1358">
        <v>7.6</v>
      </c>
      <c r="C1358">
        <v>3.6</v>
      </c>
      <c r="D1358">
        <v>9</v>
      </c>
      <c r="E1358">
        <v>0.3</v>
      </c>
      <c r="F1358">
        <v>3.5</v>
      </c>
      <c r="G1358">
        <v>3.27</v>
      </c>
      <c r="H1358" t="s">
        <v>8</v>
      </c>
      <c r="I1358">
        <v>15</v>
      </c>
      <c r="J1358" t="s">
        <v>15</v>
      </c>
      <c r="K1358">
        <v>2.99</v>
      </c>
      <c r="L1358" t="s">
        <v>52</v>
      </c>
      <c r="M1358" s="8">
        <v>0.51</v>
      </c>
    </row>
    <row r="1359" spans="1:13" x14ac:dyDescent="0.25">
      <c r="A1359">
        <v>1358</v>
      </c>
      <c r="B1359">
        <v>9.5</v>
      </c>
      <c r="C1359">
        <v>0.5</v>
      </c>
      <c r="D1359">
        <v>7.7</v>
      </c>
      <c r="E1359">
        <v>5.3</v>
      </c>
      <c r="F1359">
        <v>1</v>
      </c>
      <c r="G1359">
        <v>3.78</v>
      </c>
      <c r="H1359" t="s">
        <v>10</v>
      </c>
      <c r="I1359">
        <v>16.3</v>
      </c>
      <c r="J1359" t="s">
        <v>14</v>
      </c>
      <c r="K1359">
        <v>4.21</v>
      </c>
      <c r="L1359" t="s">
        <v>52</v>
      </c>
      <c r="M1359" s="8">
        <v>0.57999999999999996</v>
      </c>
    </row>
    <row r="1360" spans="1:13" x14ac:dyDescent="0.25">
      <c r="A1360">
        <v>1359</v>
      </c>
      <c r="B1360">
        <v>7.1</v>
      </c>
      <c r="C1360">
        <v>1.9</v>
      </c>
      <c r="D1360">
        <v>5.4</v>
      </c>
      <c r="E1360">
        <v>1.7</v>
      </c>
      <c r="F1360">
        <v>7.9</v>
      </c>
      <c r="G1360">
        <v>3.14</v>
      </c>
      <c r="H1360" t="s">
        <v>10</v>
      </c>
      <c r="I1360">
        <v>18.600000000000001</v>
      </c>
      <c r="J1360" t="s">
        <v>15</v>
      </c>
      <c r="K1360">
        <v>3.31</v>
      </c>
      <c r="L1360" t="s">
        <v>52</v>
      </c>
      <c r="M1360" s="8">
        <v>0.38</v>
      </c>
    </row>
    <row r="1361" spans="1:13" x14ac:dyDescent="0.25">
      <c r="A1361">
        <v>1360</v>
      </c>
      <c r="B1361">
        <v>6.4</v>
      </c>
      <c r="C1361">
        <v>1.8</v>
      </c>
      <c r="D1361">
        <v>8.4</v>
      </c>
      <c r="E1361">
        <v>1</v>
      </c>
      <c r="F1361">
        <v>6.4</v>
      </c>
      <c r="G1361">
        <v>2.93</v>
      </c>
      <c r="H1361" t="s">
        <v>8</v>
      </c>
      <c r="I1361">
        <v>15.600000000000001</v>
      </c>
      <c r="J1361" t="s">
        <v>13</v>
      </c>
      <c r="K1361">
        <v>2.91</v>
      </c>
      <c r="L1361" t="s">
        <v>52</v>
      </c>
      <c r="M1361" s="8">
        <v>0.41</v>
      </c>
    </row>
    <row r="1362" spans="1:13" x14ac:dyDescent="0.25">
      <c r="A1362">
        <v>1361</v>
      </c>
      <c r="B1362">
        <v>7.4</v>
      </c>
      <c r="C1362">
        <v>3</v>
      </c>
      <c r="D1362">
        <v>9.3000000000000007</v>
      </c>
      <c r="E1362">
        <v>2.7</v>
      </c>
      <c r="F1362">
        <v>1.6</v>
      </c>
      <c r="G1362">
        <v>2.95</v>
      </c>
      <c r="H1362" t="s">
        <v>8</v>
      </c>
      <c r="I1362">
        <v>14.700000000000001</v>
      </c>
      <c r="J1362" t="s">
        <v>13</v>
      </c>
      <c r="K1362">
        <v>2.56</v>
      </c>
      <c r="L1362" t="s">
        <v>52</v>
      </c>
      <c r="M1362" s="8">
        <v>0.5</v>
      </c>
    </row>
    <row r="1363" spans="1:13" x14ac:dyDescent="0.25">
      <c r="A1363">
        <v>1362</v>
      </c>
      <c r="B1363">
        <v>9.6999999999999993</v>
      </c>
      <c r="C1363">
        <v>0.5</v>
      </c>
      <c r="D1363">
        <v>8.9</v>
      </c>
      <c r="E1363">
        <v>1.3</v>
      </c>
      <c r="F1363">
        <v>3.6</v>
      </c>
      <c r="G1363">
        <v>3.53</v>
      </c>
      <c r="H1363" t="s">
        <v>10</v>
      </c>
      <c r="I1363">
        <v>15.1</v>
      </c>
      <c r="J1363" t="s">
        <v>14</v>
      </c>
      <c r="K1363">
        <v>4.16</v>
      </c>
      <c r="L1363" t="s">
        <v>52</v>
      </c>
      <c r="M1363" s="8">
        <v>0.64</v>
      </c>
    </row>
    <row r="1364" spans="1:13" x14ac:dyDescent="0.25">
      <c r="A1364">
        <v>1363</v>
      </c>
      <c r="B1364">
        <v>9.6999999999999993</v>
      </c>
      <c r="C1364">
        <v>2.9</v>
      </c>
      <c r="D1364">
        <v>8.8000000000000007</v>
      </c>
      <c r="E1364">
        <v>0.6</v>
      </c>
      <c r="F1364">
        <v>2</v>
      </c>
      <c r="G1364">
        <v>3.87</v>
      </c>
      <c r="H1364" t="s">
        <v>10</v>
      </c>
      <c r="I1364">
        <v>15.2</v>
      </c>
      <c r="J1364" t="s">
        <v>14</v>
      </c>
      <c r="K1364">
        <v>4.05</v>
      </c>
      <c r="L1364" t="s">
        <v>52</v>
      </c>
      <c r="M1364" s="8">
        <v>0.64</v>
      </c>
    </row>
    <row r="1365" spans="1:13" x14ac:dyDescent="0.25">
      <c r="A1365">
        <v>1364</v>
      </c>
      <c r="B1365">
        <v>8.8000000000000007</v>
      </c>
      <c r="C1365">
        <v>0.4</v>
      </c>
      <c r="D1365">
        <v>9.8000000000000007</v>
      </c>
      <c r="E1365">
        <v>4.5</v>
      </c>
      <c r="F1365">
        <v>0.5</v>
      </c>
      <c r="G1365">
        <v>3.12</v>
      </c>
      <c r="H1365" t="s">
        <v>10</v>
      </c>
      <c r="I1365">
        <v>14.200000000000001</v>
      </c>
      <c r="J1365" t="s">
        <v>15</v>
      </c>
      <c r="K1365">
        <v>3.99</v>
      </c>
      <c r="L1365" t="s">
        <v>52</v>
      </c>
      <c r="M1365" s="8">
        <v>0.62</v>
      </c>
    </row>
    <row r="1366" spans="1:13" x14ac:dyDescent="0.25">
      <c r="A1366">
        <v>1365</v>
      </c>
      <c r="B1366">
        <v>6.4</v>
      </c>
      <c r="C1366">
        <v>3.3</v>
      </c>
      <c r="D1366">
        <v>7.6</v>
      </c>
      <c r="E1366">
        <v>2.8</v>
      </c>
      <c r="F1366">
        <v>3.9</v>
      </c>
      <c r="G1366">
        <v>3.11</v>
      </c>
      <c r="H1366" t="s">
        <v>8</v>
      </c>
      <c r="I1366">
        <v>16.399999999999999</v>
      </c>
      <c r="J1366" t="s">
        <v>15</v>
      </c>
      <c r="K1366">
        <v>1.6</v>
      </c>
      <c r="L1366" t="s">
        <v>52</v>
      </c>
      <c r="M1366" s="8">
        <v>0.39</v>
      </c>
    </row>
    <row r="1367" spans="1:13" x14ac:dyDescent="0.25">
      <c r="A1367">
        <v>1366</v>
      </c>
      <c r="B1367">
        <v>8.6</v>
      </c>
      <c r="C1367">
        <v>1.6</v>
      </c>
      <c r="D1367">
        <v>8.1</v>
      </c>
      <c r="E1367">
        <v>4</v>
      </c>
      <c r="F1367">
        <v>1.7</v>
      </c>
      <c r="G1367">
        <v>2.94</v>
      </c>
      <c r="H1367" t="s">
        <v>10</v>
      </c>
      <c r="I1367">
        <v>15.899999999999999</v>
      </c>
      <c r="J1367" t="s">
        <v>13</v>
      </c>
      <c r="K1367">
        <v>3.28</v>
      </c>
      <c r="L1367" t="s">
        <v>52</v>
      </c>
      <c r="M1367" s="8">
        <v>0.54</v>
      </c>
    </row>
    <row r="1368" spans="1:13" x14ac:dyDescent="0.25">
      <c r="A1368">
        <v>1367</v>
      </c>
      <c r="B1368">
        <v>8.6</v>
      </c>
      <c r="C1368">
        <v>0.2</v>
      </c>
      <c r="D1368">
        <v>9.3000000000000007</v>
      </c>
      <c r="E1368">
        <v>2.7</v>
      </c>
      <c r="F1368">
        <v>3.2</v>
      </c>
      <c r="G1368">
        <v>3.11</v>
      </c>
      <c r="H1368" t="s">
        <v>10</v>
      </c>
      <c r="I1368">
        <v>14.7</v>
      </c>
      <c r="J1368" t="s">
        <v>15</v>
      </c>
      <c r="K1368">
        <v>3.54</v>
      </c>
      <c r="L1368" t="s">
        <v>52</v>
      </c>
      <c r="M1368" s="8">
        <v>0.59</v>
      </c>
    </row>
    <row r="1369" spans="1:13" x14ac:dyDescent="0.25">
      <c r="A1369">
        <v>1368</v>
      </c>
      <c r="B1369">
        <v>7.4</v>
      </c>
      <c r="C1369">
        <v>3.5</v>
      </c>
      <c r="D1369">
        <v>6.9</v>
      </c>
      <c r="E1369">
        <v>4.5</v>
      </c>
      <c r="F1369">
        <v>1.7</v>
      </c>
      <c r="G1369">
        <v>2.95</v>
      </c>
      <c r="H1369" t="s">
        <v>8</v>
      </c>
      <c r="I1369">
        <v>17.100000000000001</v>
      </c>
      <c r="J1369" t="s">
        <v>13</v>
      </c>
      <c r="K1369">
        <v>2.38</v>
      </c>
      <c r="L1369" t="s">
        <v>52</v>
      </c>
      <c r="M1369" s="8">
        <v>0.43</v>
      </c>
    </row>
    <row r="1370" spans="1:13" x14ac:dyDescent="0.25">
      <c r="A1370">
        <v>1369</v>
      </c>
      <c r="B1370">
        <v>5.5</v>
      </c>
      <c r="C1370">
        <v>1.9</v>
      </c>
      <c r="D1370">
        <v>10</v>
      </c>
      <c r="E1370">
        <v>4.5999999999999996</v>
      </c>
      <c r="F1370">
        <v>2</v>
      </c>
      <c r="G1370">
        <v>2.83</v>
      </c>
      <c r="H1370" t="s">
        <v>9</v>
      </c>
      <c r="I1370">
        <v>14</v>
      </c>
      <c r="J1370" t="s">
        <v>13</v>
      </c>
      <c r="K1370">
        <v>1.83</v>
      </c>
      <c r="L1370" t="s">
        <v>52</v>
      </c>
      <c r="M1370" s="8">
        <v>0.39</v>
      </c>
    </row>
    <row r="1371" spans="1:13" x14ac:dyDescent="0.25">
      <c r="A1371">
        <v>1370</v>
      </c>
      <c r="B1371">
        <v>6.2</v>
      </c>
      <c r="C1371">
        <v>1.6</v>
      </c>
      <c r="D1371">
        <v>8.9</v>
      </c>
      <c r="E1371">
        <v>4.5999999999999996</v>
      </c>
      <c r="F1371">
        <v>2.7</v>
      </c>
      <c r="G1371">
        <v>2.63</v>
      </c>
      <c r="H1371" t="s">
        <v>8</v>
      </c>
      <c r="I1371">
        <v>15.100000000000001</v>
      </c>
      <c r="J1371" t="s">
        <v>13</v>
      </c>
      <c r="K1371">
        <v>2.04</v>
      </c>
      <c r="L1371" t="s">
        <v>52</v>
      </c>
      <c r="M1371" s="8">
        <v>0.41</v>
      </c>
    </row>
    <row r="1372" spans="1:13" x14ac:dyDescent="0.25">
      <c r="A1372">
        <v>1371</v>
      </c>
      <c r="B1372">
        <v>6.1</v>
      </c>
      <c r="C1372">
        <v>3.7</v>
      </c>
      <c r="D1372">
        <v>8</v>
      </c>
      <c r="E1372">
        <v>2.2999999999999998</v>
      </c>
      <c r="F1372">
        <v>3.9</v>
      </c>
      <c r="G1372">
        <v>3.41</v>
      </c>
      <c r="H1372" t="s">
        <v>8</v>
      </c>
      <c r="I1372">
        <v>16</v>
      </c>
      <c r="J1372" t="s">
        <v>15</v>
      </c>
      <c r="K1372">
        <v>1.57</v>
      </c>
      <c r="L1372" t="s">
        <v>52</v>
      </c>
      <c r="M1372" s="8">
        <v>0.38</v>
      </c>
    </row>
    <row r="1373" spans="1:13" x14ac:dyDescent="0.25">
      <c r="A1373">
        <v>1372</v>
      </c>
      <c r="B1373">
        <v>7.8</v>
      </c>
      <c r="C1373">
        <v>1.9</v>
      </c>
      <c r="D1373">
        <v>7.5</v>
      </c>
      <c r="E1373">
        <v>1.1000000000000001</v>
      </c>
      <c r="F1373">
        <v>5.7</v>
      </c>
      <c r="G1373">
        <v>3.18</v>
      </c>
      <c r="H1373" t="s">
        <v>8</v>
      </c>
      <c r="I1373">
        <v>16.5</v>
      </c>
      <c r="J1373" t="s">
        <v>15</v>
      </c>
      <c r="K1373">
        <v>3.17</v>
      </c>
      <c r="L1373" t="s">
        <v>52</v>
      </c>
      <c r="M1373" s="8">
        <v>0.47</v>
      </c>
    </row>
    <row r="1374" spans="1:13" x14ac:dyDescent="0.25">
      <c r="A1374">
        <v>1373</v>
      </c>
      <c r="B1374">
        <v>9.1</v>
      </c>
      <c r="C1374">
        <v>2.2000000000000002</v>
      </c>
      <c r="D1374">
        <v>5.7</v>
      </c>
      <c r="E1374">
        <v>4.5999999999999996</v>
      </c>
      <c r="F1374">
        <v>2.4</v>
      </c>
      <c r="G1374">
        <v>3.17</v>
      </c>
      <c r="H1374" t="s">
        <v>10</v>
      </c>
      <c r="I1374">
        <v>18.3</v>
      </c>
      <c r="J1374" t="s">
        <v>15</v>
      </c>
      <c r="K1374">
        <v>3.21</v>
      </c>
      <c r="L1374" t="s">
        <v>52</v>
      </c>
      <c r="M1374" s="8">
        <v>0.5</v>
      </c>
    </row>
    <row r="1375" spans="1:13" x14ac:dyDescent="0.25">
      <c r="A1375">
        <v>1374</v>
      </c>
      <c r="B1375">
        <v>7.6</v>
      </c>
      <c r="C1375">
        <v>0.5</v>
      </c>
      <c r="D1375">
        <v>9.6999999999999993</v>
      </c>
      <c r="E1375">
        <v>1.1000000000000001</v>
      </c>
      <c r="F1375">
        <v>5.0999999999999996</v>
      </c>
      <c r="G1375">
        <v>3.07</v>
      </c>
      <c r="H1375" t="s">
        <v>8</v>
      </c>
      <c r="I1375">
        <v>14.299999999999999</v>
      </c>
      <c r="J1375" t="s">
        <v>15</v>
      </c>
      <c r="K1375">
        <v>3.37</v>
      </c>
      <c r="L1375" t="s">
        <v>52</v>
      </c>
      <c r="M1375" s="8">
        <v>0.53</v>
      </c>
    </row>
    <row r="1376" spans="1:13" x14ac:dyDescent="0.25">
      <c r="A1376">
        <v>1375</v>
      </c>
      <c r="B1376">
        <v>6.3</v>
      </c>
      <c r="C1376">
        <v>1.6</v>
      </c>
      <c r="D1376">
        <v>6.9</v>
      </c>
      <c r="E1376">
        <v>4.8</v>
      </c>
      <c r="F1376">
        <v>4.4000000000000004</v>
      </c>
      <c r="G1376">
        <v>2.69</v>
      </c>
      <c r="H1376" t="s">
        <v>8</v>
      </c>
      <c r="I1376">
        <v>17.100000000000001</v>
      </c>
      <c r="J1376" t="s">
        <v>13</v>
      </c>
      <c r="K1376">
        <v>1.96</v>
      </c>
      <c r="L1376" t="s">
        <v>52</v>
      </c>
      <c r="M1376" s="8">
        <v>0.37</v>
      </c>
    </row>
    <row r="1377" spans="1:13" x14ac:dyDescent="0.25">
      <c r="A1377">
        <v>1376</v>
      </c>
      <c r="B1377">
        <v>6.3</v>
      </c>
      <c r="C1377">
        <v>2</v>
      </c>
      <c r="D1377">
        <v>5.7</v>
      </c>
      <c r="E1377">
        <v>3.7</v>
      </c>
      <c r="F1377">
        <v>6.3</v>
      </c>
      <c r="G1377">
        <v>2.91</v>
      </c>
      <c r="H1377" t="s">
        <v>10</v>
      </c>
      <c r="I1377">
        <v>18.3</v>
      </c>
      <c r="J1377" t="s">
        <v>13</v>
      </c>
      <c r="K1377">
        <v>2.11</v>
      </c>
      <c r="L1377" t="s">
        <v>52</v>
      </c>
      <c r="M1377" s="8">
        <v>0.34</v>
      </c>
    </row>
    <row r="1378" spans="1:13" x14ac:dyDescent="0.25">
      <c r="A1378">
        <v>1377</v>
      </c>
      <c r="B1378">
        <v>7.8</v>
      </c>
      <c r="C1378">
        <v>2.9</v>
      </c>
      <c r="D1378">
        <v>9.6999999999999993</v>
      </c>
      <c r="E1378">
        <v>3.3</v>
      </c>
      <c r="F1378">
        <v>0.3</v>
      </c>
      <c r="G1378">
        <v>3.09</v>
      </c>
      <c r="H1378" t="s">
        <v>8</v>
      </c>
      <c r="I1378">
        <v>14.3</v>
      </c>
      <c r="J1378" t="s">
        <v>15</v>
      </c>
      <c r="K1378">
        <v>3.11</v>
      </c>
      <c r="L1378" t="s">
        <v>52</v>
      </c>
      <c r="M1378" s="8">
        <v>0.55000000000000004</v>
      </c>
    </row>
    <row r="1379" spans="1:13" x14ac:dyDescent="0.25">
      <c r="A1379">
        <v>1378</v>
      </c>
      <c r="B1379">
        <v>9.5</v>
      </c>
      <c r="C1379">
        <v>3.9</v>
      </c>
      <c r="D1379">
        <v>9.3000000000000007</v>
      </c>
      <c r="E1379">
        <v>0.1</v>
      </c>
      <c r="F1379">
        <v>1.2</v>
      </c>
      <c r="G1379">
        <v>3.28</v>
      </c>
      <c r="H1379" t="s">
        <v>10</v>
      </c>
      <c r="I1379">
        <v>14.7</v>
      </c>
      <c r="J1379" t="s">
        <v>15</v>
      </c>
      <c r="K1379">
        <v>4.2</v>
      </c>
      <c r="L1379" t="s">
        <v>52</v>
      </c>
      <c r="M1379" s="8">
        <v>0.65</v>
      </c>
    </row>
    <row r="1380" spans="1:13" x14ac:dyDescent="0.25">
      <c r="A1380">
        <v>1379</v>
      </c>
      <c r="B1380">
        <v>9.6999999999999993</v>
      </c>
      <c r="C1380">
        <v>1.7</v>
      </c>
      <c r="D1380">
        <v>5</v>
      </c>
      <c r="E1380">
        <v>2.7</v>
      </c>
      <c r="F1380">
        <v>4.9000000000000004</v>
      </c>
      <c r="G1380">
        <v>3.47</v>
      </c>
      <c r="H1380" t="s">
        <v>10</v>
      </c>
      <c r="I1380">
        <v>19</v>
      </c>
      <c r="J1380" t="s">
        <v>15</v>
      </c>
      <c r="K1380">
        <v>3.56</v>
      </c>
      <c r="L1380" t="s">
        <v>52</v>
      </c>
      <c r="M1380" s="8">
        <v>0.51</v>
      </c>
    </row>
    <row r="1381" spans="1:13" x14ac:dyDescent="0.25">
      <c r="A1381">
        <v>1380</v>
      </c>
      <c r="B1381">
        <v>6.7</v>
      </c>
      <c r="C1381">
        <v>1.9</v>
      </c>
      <c r="D1381">
        <v>8.1</v>
      </c>
      <c r="E1381">
        <v>5.2</v>
      </c>
      <c r="F1381">
        <v>2.1</v>
      </c>
      <c r="G1381">
        <v>2.88</v>
      </c>
      <c r="H1381" t="s">
        <v>8</v>
      </c>
      <c r="I1381">
        <v>15.9</v>
      </c>
      <c r="J1381" t="s">
        <v>13</v>
      </c>
      <c r="K1381">
        <v>2.36</v>
      </c>
      <c r="L1381" t="s">
        <v>52</v>
      </c>
      <c r="M1381" s="8">
        <v>0.42</v>
      </c>
    </row>
    <row r="1382" spans="1:13" x14ac:dyDescent="0.25">
      <c r="A1382">
        <v>1381</v>
      </c>
      <c r="B1382">
        <v>8.3000000000000007</v>
      </c>
      <c r="C1382">
        <v>1.7</v>
      </c>
      <c r="D1382">
        <v>9.1</v>
      </c>
      <c r="E1382">
        <v>4.4000000000000004</v>
      </c>
      <c r="F1382">
        <v>0.5</v>
      </c>
      <c r="G1382">
        <v>3.26</v>
      </c>
      <c r="H1382" t="s">
        <v>10</v>
      </c>
      <c r="I1382">
        <v>14.9</v>
      </c>
      <c r="J1382" t="s">
        <v>15</v>
      </c>
      <c r="K1382">
        <v>3.46</v>
      </c>
      <c r="L1382" t="s">
        <v>52</v>
      </c>
      <c r="M1382" s="8">
        <v>0.56000000000000005</v>
      </c>
    </row>
    <row r="1383" spans="1:13" x14ac:dyDescent="0.25">
      <c r="A1383">
        <v>1382</v>
      </c>
      <c r="B1383">
        <v>6.4</v>
      </c>
      <c r="C1383">
        <v>0.2</v>
      </c>
      <c r="D1383">
        <v>8.3000000000000007</v>
      </c>
      <c r="E1383">
        <v>5.2</v>
      </c>
      <c r="F1383">
        <v>3.9</v>
      </c>
      <c r="G1383">
        <v>2.75</v>
      </c>
      <c r="H1383" t="s">
        <v>8</v>
      </c>
      <c r="I1383">
        <v>15.700000000000001</v>
      </c>
      <c r="J1383" t="s">
        <v>13</v>
      </c>
      <c r="K1383">
        <v>2.68</v>
      </c>
      <c r="L1383" t="s">
        <v>52</v>
      </c>
      <c r="M1383" s="8">
        <v>0.41</v>
      </c>
    </row>
    <row r="1384" spans="1:13" x14ac:dyDescent="0.25">
      <c r="A1384">
        <v>1383</v>
      </c>
      <c r="B1384">
        <v>5.8</v>
      </c>
      <c r="C1384">
        <v>3.2</v>
      </c>
      <c r="D1384">
        <v>9.3000000000000007</v>
      </c>
      <c r="E1384">
        <v>5.2</v>
      </c>
      <c r="F1384">
        <v>0.5</v>
      </c>
      <c r="G1384">
        <v>2.96</v>
      </c>
      <c r="H1384" t="s">
        <v>9</v>
      </c>
      <c r="I1384">
        <v>14.7</v>
      </c>
      <c r="J1384" t="s">
        <v>13</v>
      </c>
      <c r="K1384">
        <v>2.39</v>
      </c>
      <c r="L1384" t="s">
        <v>52</v>
      </c>
      <c r="M1384" s="8">
        <v>0.39</v>
      </c>
    </row>
    <row r="1385" spans="1:13" x14ac:dyDescent="0.25">
      <c r="A1385">
        <v>1384</v>
      </c>
      <c r="B1385">
        <v>6.6</v>
      </c>
      <c r="C1385">
        <v>2.2000000000000002</v>
      </c>
      <c r="D1385">
        <v>5.3</v>
      </c>
      <c r="E1385">
        <v>0.3</v>
      </c>
      <c r="F1385">
        <v>9.6</v>
      </c>
      <c r="G1385">
        <v>2.94</v>
      </c>
      <c r="H1385" t="s">
        <v>10</v>
      </c>
      <c r="I1385">
        <v>18.700000000000003</v>
      </c>
      <c r="J1385" t="s">
        <v>13</v>
      </c>
      <c r="K1385">
        <v>4.21</v>
      </c>
      <c r="L1385" t="s">
        <v>52</v>
      </c>
      <c r="M1385" s="8">
        <v>0.35</v>
      </c>
    </row>
    <row r="1386" spans="1:13" x14ac:dyDescent="0.25">
      <c r="A1386">
        <v>1385</v>
      </c>
      <c r="B1386">
        <v>8.6</v>
      </c>
      <c r="C1386">
        <v>1.8</v>
      </c>
      <c r="D1386">
        <v>6.3</v>
      </c>
      <c r="E1386">
        <v>1.1000000000000001</v>
      </c>
      <c r="F1386">
        <v>6.2</v>
      </c>
      <c r="G1386">
        <v>3.2</v>
      </c>
      <c r="H1386" t="s">
        <v>10</v>
      </c>
      <c r="I1386">
        <v>17.7</v>
      </c>
      <c r="J1386" t="s">
        <v>15</v>
      </c>
      <c r="K1386">
        <v>3.58</v>
      </c>
      <c r="L1386" t="s">
        <v>52</v>
      </c>
      <c r="M1386" s="8">
        <v>0.49</v>
      </c>
    </row>
    <row r="1387" spans="1:13" x14ac:dyDescent="0.25">
      <c r="A1387">
        <v>1386</v>
      </c>
      <c r="B1387">
        <v>7.4</v>
      </c>
      <c r="C1387">
        <v>1.4</v>
      </c>
      <c r="D1387">
        <v>6.6</v>
      </c>
      <c r="E1387">
        <v>5.8</v>
      </c>
      <c r="F1387">
        <v>2.8</v>
      </c>
      <c r="G1387">
        <v>2.87</v>
      </c>
      <c r="H1387" t="s">
        <v>8</v>
      </c>
      <c r="I1387">
        <v>17.400000000000002</v>
      </c>
      <c r="J1387" t="s">
        <v>13</v>
      </c>
      <c r="K1387">
        <v>2.74</v>
      </c>
      <c r="L1387" t="s">
        <v>52</v>
      </c>
      <c r="M1387" s="8">
        <v>0.43</v>
      </c>
    </row>
    <row r="1388" spans="1:13" x14ac:dyDescent="0.25">
      <c r="A1388">
        <v>1387</v>
      </c>
      <c r="B1388">
        <v>8.1999999999999993</v>
      </c>
      <c r="C1388">
        <v>0.1</v>
      </c>
      <c r="D1388">
        <v>7.2</v>
      </c>
      <c r="E1388">
        <v>5.3</v>
      </c>
      <c r="F1388">
        <v>3.2</v>
      </c>
      <c r="G1388">
        <v>3.12</v>
      </c>
      <c r="H1388" t="s">
        <v>10</v>
      </c>
      <c r="I1388">
        <v>16.799999999999997</v>
      </c>
      <c r="J1388" t="s">
        <v>15</v>
      </c>
      <c r="K1388">
        <v>3.42</v>
      </c>
      <c r="L1388" t="s">
        <v>52</v>
      </c>
      <c r="M1388" s="8">
        <v>0.49</v>
      </c>
    </row>
    <row r="1389" spans="1:13" x14ac:dyDescent="0.25">
      <c r="A1389">
        <v>1388</v>
      </c>
      <c r="B1389">
        <v>8.8000000000000007</v>
      </c>
      <c r="C1389">
        <v>2.4</v>
      </c>
      <c r="D1389">
        <v>7.9</v>
      </c>
      <c r="E1389">
        <v>0.3</v>
      </c>
      <c r="F1389">
        <v>4.5999999999999996</v>
      </c>
      <c r="G1389">
        <v>3.26</v>
      </c>
      <c r="H1389" t="s">
        <v>10</v>
      </c>
      <c r="I1389">
        <v>16.100000000000001</v>
      </c>
      <c r="J1389" t="s">
        <v>15</v>
      </c>
      <c r="K1389">
        <v>3.64</v>
      </c>
      <c r="L1389" t="s">
        <v>52</v>
      </c>
      <c r="M1389" s="8">
        <v>0.55000000000000004</v>
      </c>
    </row>
    <row r="1390" spans="1:13" x14ac:dyDescent="0.25">
      <c r="A1390">
        <v>1389</v>
      </c>
      <c r="B1390">
        <v>5.7</v>
      </c>
      <c r="C1390">
        <v>2.5</v>
      </c>
      <c r="D1390">
        <v>6</v>
      </c>
      <c r="E1390">
        <v>3</v>
      </c>
      <c r="F1390">
        <v>6.8</v>
      </c>
      <c r="G1390">
        <v>2.5</v>
      </c>
      <c r="H1390" t="s">
        <v>9</v>
      </c>
      <c r="I1390">
        <v>18</v>
      </c>
      <c r="J1390" t="s">
        <v>13</v>
      </c>
      <c r="K1390">
        <v>2.08</v>
      </c>
      <c r="L1390" t="s">
        <v>52</v>
      </c>
      <c r="M1390" s="8">
        <v>0.32</v>
      </c>
    </row>
    <row r="1391" spans="1:13" x14ac:dyDescent="0.25">
      <c r="A1391">
        <v>1390</v>
      </c>
      <c r="B1391">
        <v>9.6999999999999993</v>
      </c>
      <c r="C1391">
        <v>3.4</v>
      </c>
      <c r="D1391">
        <v>8.6</v>
      </c>
      <c r="E1391">
        <v>0.2</v>
      </c>
      <c r="F1391">
        <v>2.1</v>
      </c>
      <c r="G1391">
        <v>3.53</v>
      </c>
      <c r="H1391" t="s">
        <v>10</v>
      </c>
      <c r="I1391">
        <v>15.399999999999999</v>
      </c>
      <c r="J1391" t="s">
        <v>14</v>
      </c>
      <c r="K1391">
        <v>4.12</v>
      </c>
      <c r="L1391" t="s">
        <v>52</v>
      </c>
      <c r="M1391" s="8">
        <v>0.63</v>
      </c>
    </row>
    <row r="1392" spans="1:13" x14ac:dyDescent="0.25">
      <c r="A1392">
        <v>1391</v>
      </c>
      <c r="B1392">
        <v>5.5</v>
      </c>
      <c r="C1392">
        <v>2</v>
      </c>
      <c r="D1392">
        <v>5.8</v>
      </c>
      <c r="E1392">
        <v>5.9</v>
      </c>
      <c r="F1392">
        <v>4.8</v>
      </c>
      <c r="G1392">
        <v>2.82</v>
      </c>
      <c r="H1392" t="s">
        <v>10</v>
      </c>
      <c r="I1392">
        <v>18.2</v>
      </c>
      <c r="J1392" t="s">
        <v>13</v>
      </c>
      <c r="K1392">
        <v>1.76</v>
      </c>
      <c r="L1392" t="s">
        <v>52</v>
      </c>
      <c r="M1392" s="8">
        <v>0.3</v>
      </c>
    </row>
    <row r="1393" spans="1:13" x14ac:dyDescent="0.25">
      <c r="A1393">
        <v>1392</v>
      </c>
      <c r="B1393">
        <v>6.8</v>
      </c>
      <c r="C1393">
        <v>2.6</v>
      </c>
      <c r="D1393">
        <v>5.6</v>
      </c>
      <c r="E1393">
        <v>2.6</v>
      </c>
      <c r="F1393">
        <v>6.4</v>
      </c>
      <c r="G1393">
        <v>2.77</v>
      </c>
      <c r="H1393" t="s">
        <v>10</v>
      </c>
      <c r="I1393">
        <v>18.399999999999999</v>
      </c>
      <c r="J1393" t="s">
        <v>13</v>
      </c>
      <c r="K1393">
        <v>2.3199999999999998</v>
      </c>
      <c r="L1393" t="s">
        <v>52</v>
      </c>
      <c r="M1393" s="8">
        <v>0.37</v>
      </c>
    </row>
    <row r="1394" spans="1:13" x14ac:dyDescent="0.25">
      <c r="A1394">
        <v>1393</v>
      </c>
      <c r="B1394">
        <v>6.4</v>
      </c>
      <c r="C1394">
        <v>3.6</v>
      </c>
      <c r="D1394">
        <v>5.2</v>
      </c>
      <c r="E1394">
        <v>5.5</v>
      </c>
      <c r="F1394">
        <v>3.3</v>
      </c>
      <c r="G1394">
        <v>2.86</v>
      </c>
      <c r="H1394" t="s">
        <v>10</v>
      </c>
      <c r="I1394">
        <v>18.8</v>
      </c>
      <c r="J1394" t="s">
        <v>13</v>
      </c>
      <c r="K1394">
        <v>1.49</v>
      </c>
      <c r="L1394" t="s">
        <v>51</v>
      </c>
      <c r="M1394" s="8">
        <v>0.34</v>
      </c>
    </row>
    <row r="1395" spans="1:13" x14ac:dyDescent="0.25">
      <c r="A1395">
        <v>1394</v>
      </c>
      <c r="B1395">
        <v>8.9</v>
      </c>
      <c r="C1395">
        <v>0.1</v>
      </c>
      <c r="D1395">
        <v>9.8000000000000007</v>
      </c>
      <c r="E1395">
        <v>2.7</v>
      </c>
      <c r="F1395">
        <v>2.5</v>
      </c>
      <c r="G1395">
        <v>3.51</v>
      </c>
      <c r="H1395" t="s">
        <v>10</v>
      </c>
      <c r="I1395">
        <v>14.2</v>
      </c>
      <c r="J1395" t="s">
        <v>14</v>
      </c>
      <c r="K1395">
        <v>3.76</v>
      </c>
      <c r="L1395" t="s">
        <v>52</v>
      </c>
      <c r="M1395" s="8">
        <v>0.63</v>
      </c>
    </row>
    <row r="1396" spans="1:13" x14ac:dyDescent="0.25">
      <c r="A1396">
        <v>1395</v>
      </c>
      <c r="B1396">
        <v>6.5</v>
      </c>
      <c r="C1396">
        <v>1.5</v>
      </c>
      <c r="D1396">
        <v>5.3</v>
      </c>
      <c r="E1396">
        <v>5.9</v>
      </c>
      <c r="F1396">
        <v>4.8</v>
      </c>
      <c r="G1396">
        <v>3</v>
      </c>
      <c r="H1396" t="s">
        <v>10</v>
      </c>
      <c r="I1396">
        <v>18.7</v>
      </c>
      <c r="J1396" t="s">
        <v>15</v>
      </c>
      <c r="K1396">
        <v>2.23</v>
      </c>
      <c r="L1396" t="s">
        <v>52</v>
      </c>
      <c r="M1396" s="8">
        <v>0.35</v>
      </c>
    </row>
    <row r="1397" spans="1:13" x14ac:dyDescent="0.25">
      <c r="A1397">
        <v>1396</v>
      </c>
      <c r="B1397">
        <v>7.2</v>
      </c>
      <c r="C1397">
        <v>3.8</v>
      </c>
      <c r="D1397">
        <v>6.2</v>
      </c>
      <c r="E1397">
        <v>3.2</v>
      </c>
      <c r="F1397">
        <v>3.6</v>
      </c>
      <c r="G1397">
        <v>3.02</v>
      </c>
      <c r="H1397" t="s">
        <v>8</v>
      </c>
      <c r="I1397">
        <v>17.8</v>
      </c>
      <c r="J1397" t="s">
        <v>15</v>
      </c>
      <c r="K1397">
        <v>1.85</v>
      </c>
      <c r="L1397" t="s">
        <v>52</v>
      </c>
      <c r="M1397" s="8">
        <v>0.4</v>
      </c>
    </row>
    <row r="1398" spans="1:13" x14ac:dyDescent="0.25">
      <c r="A1398">
        <v>1397</v>
      </c>
      <c r="B1398">
        <v>7.4</v>
      </c>
      <c r="C1398">
        <v>2.8</v>
      </c>
      <c r="D1398">
        <v>5.3</v>
      </c>
      <c r="E1398">
        <v>1.2</v>
      </c>
      <c r="F1398">
        <v>7.3</v>
      </c>
      <c r="G1398">
        <v>3.25</v>
      </c>
      <c r="H1398" t="s">
        <v>10</v>
      </c>
      <c r="I1398">
        <v>18.7</v>
      </c>
      <c r="J1398" t="s">
        <v>15</v>
      </c>
      <c r="K1398">
        <v>3.16</v>
      </c>
      <c r="L1398" t="s">
        <v>52</v>
      </c>
      <c r="M1398" s="8">
        <v>0.4</v>
      </c>
    </row>
    <row r="1399" spans="1:13" x14ac:dyDescent="0.25">
      <c r="A1399">
        <v>1398</v>
      </c>
      <c r="B1399">
        <v>5.9</v>
      </c>
      <c r="C1399">
        <v>2.2999999999999998</v>
      </c>
      <c r="D1399">
        <v>6.1</v>
      </c>
      <c r="E1399">
        <v>5.2</v>
      </c>
      <c r="F1399">
        <v>4.5</v>
      </c>
      <c r="G1399">
        <v>2.72</v>
      </c>
      <c r="H1399" t="s">
        <v>9</v>
      </c>
      <c r="I1399">
        <v>17.899999999999999</v>
      </c>
      <c r="J1399" t="s">
        <v>13</v>
      </c>
      <c r="K1399">
        <v>1.56</v>
      </c>
      <c r="L1399" t="s">
        <v>52</v>
      </c>
      <c r="M1399" s="8">
        <v>0.33</v>
      </c>
    </row>
    <row r="1400" spans="1:13" x14ac:dyDescent="0.25">
      <c r="A1400">
        <v>1399</v>
      </c>
      <c r="B1400">
        <v>9.6999999999999993</v>
      </c>
      <c r="C1400">
        <v>2.1</v>
      </c>
      <c r="D1400">
        <v>6.8</v>
      </c>
      <c r="E1400">
        <v>1.3</v>
      </c>
      <c r="F1400">
        <v>4.0999999999999996</v>
      </c>
      <c r="G1400">
        <v>3.55</v>
      </c>
      <c r="H1400" t="s">
        <v>10</v>
      </c>
      <c r="I1400">
        <v>17.2</v>
      </c>
      <c r="J1400" t="s">
        <v>14</v>
      </c>
      <c r="K1400">
        <v>3.79</v>
      </c>
      <c r="L1400" t="s">
        <v>52</v>
      </c>
      <c r="M1400" s="8">
        <v>0.56000000000000005</v>
      </c>
    </row>
    <row r="1401" spans="1:13" x14ac:dyDescent="0.25">
      <c r="A1401">
        <v>1400</v>
      </c>
      <c r="B1401">
        <v>9.6999999999999993</v>
      </c>
      <c r="C1401">
        <v>1.6</v>
      </c>
      <c r="D1401">
        <v>8.5</v>
      </c>
      <c r="E1401">
        <v>2.1</v>
      </c>
      <c r="F1401">
        <v>2.1</v>
      </c>
      <c r="G1401">
        <v>3.87</v>
      </c>
      <c r="H1401" t="s">
        <v>10</v>
      </c>
      <c r="I1401">
        <v>15.499999999999998</v>
      </c>
      <c r="J1401" t="s">
        <v>14</v>
      </c>
      <c r="K1401">
        <v>3.89</v>
      </c>
      <c r="L1401" t="s">
        <v>52</v>
      </c>
      <c r="M1401" s="8">
        <v>0.63</v>
      </c>
    </row>
    <row r="1402" spans="1:13" x14ac:dyDescent="0.25">
      <c r="A1402">
        <v>1401</v>
      </c>
      <c r="B1402">
        <v>7.6</v>
      </c>
      <c r="C1402">
        <v>1.1000000000000001</v>
      </c>
      <c r="D1402">
        <v>7.3</v>
      </c>
      <c r="E1402">
        <v>2.8</v>
      </c>
      <c r="F1402">
        <v>5.2</v>
      </c>
      <c r="G1402">
        <v>3.2</v>
      </c>
      <c r="H1402" t="s">
        <v>8</v>
      </c>
      <c r="I1402">
        <v>16.7</v>
      </c>
      <c r="J1402" t="s">
        <v>15</v>
      </c>
      <c r="K1402">
        <v>2.84</v>
      </c>
      <c r="L1402" t="s">
        <v>52</v>
      </c>
      <c r="M1402" s="8">
        <v>0.46</v>
      </c>
    </row>
    <row r="1403" spans="1:13" x14ac:dyDescent="0.25">
      <c r="A1403">
        <v>1402</v>
      </c>
      <c r="B1403">
        <v>6.6</v>
      </c>
      <c r="C1403">
        <v>0.2</v>
      </c>
      <c r="D1403">
        <v>7.5</v>
      </c>
      <c r="E1403">
        <v>3.3</v>
      </c>
      <c r="F1403">
        <v>6.4</v>
      </c>
      <c r="G1403">
        <v>3.02</v>
      </c>
      <c r="H1403" t="s">
        <v>8</v>
      </c>
      <c r="I1403">
        <v>16.5</v>
      </c>
      <c r="J1403" t="s">
        <v>15</v>
      </c>
      <c r="K1403">
        <v>3.02</v>
      </c>
      <c r="L1403" t="s">
        <v>52</v>
      </c>
      <c r="M1403" s="8">
        <v>0.4</v>
      </c>
    </row>
    <row r="1404" spans="1:13" x14ac:dyDescent="0.25">
      <c r="A1404">
        <v>1403</v>
      </c>
      <c r="B1404">
        <v>5.8</v>
      </c>
      <c r="C1404">
        <v>3</v>
      </c>
      <c r="D1404">
        <v>9.9</v>
      </c>
      <c r="E1404">
        <v>5</v>
      </c>
      <c r="F1404">
        <v>0.3</v>
      </c>
      <c r="G1404">
        <v>2.93</v>
      </c>
      <c r="H1404" t="s">
        <v>9</v>
      </c>
      <c r="I1404">
        <v>14.100000000000001</v>
      </c>
      <c r="J1404" t="s">
        <v>13</v>
      </c>
      <c r="K1404">
        <v>2.4500000000000002</v>
      </c>
      <c r="L1404" t="s">
        <v>52</v>
      </c>
      <c r="M1404" s="8">
        <v>0.41</v>
      </c>
    </row>
    <row r="1405" spans="1:13" x14ac:dyDescent="0.25">
      <c r="A1405">
        <v>1404</v>
      </c>
      <c r="B1405">
        <v>8.5</v>
      </c>
      <c r="C1405">
        <v>1.8</v>
      </c>
      <c r="D1405">
        <v>7.7</v>
      </c>
      <c r="E1405">
        <v>5.0999999999999996</v>
      </c>
      <c r="F1405">
        <v>0.9</v>
      </c>
      <c r="G1405">
        <v>3.23</v>
      </c>
      <c r="H1405" t="s">
        <v>10</v>
      </c>
      <c r="I1405">
        <v>16.3</v>
      </c>
      <c r="J1405" t="s">
        <v>15</v>
      </c>
      <c r="K1405">
        <v>3.46</v>
      </c>
      <c r="L1405" t="s">
        <v>52</v>
      </c>
      <c r="M1405" s="8">
        <v>0.52</v>
      </c>
    </row>
    <row r="1406" spans="1:13" x14ac:dyDescent="0.25">
      <c r="A1406">
        <v>1405</v>
      </c>
      <c r="B1406">
        <v>7.4</v>
      </c>
      <c r="C1406">
        <v>1.5</v>
      </c>
      <c r="D1406">
        <v>7.5</v>
      </c>
      <c r="E1406">
        <v>3.5</v>
      </c>
      <c r="F1406">
        <v>4.0999999999999996</v>
      </c>
      <c r="G1406">
        <v>3.33</v>
      </c>
      <c r="H1406" t="s">
        <v>8</v>
      </c>
      <c r="I1406">
        <v>16.5</v>
      </c>
      <c r="J1406" t="s">
        <v>15</v>
      </c>
      <c r="K1406">
        <v>2.4500000000000002</v>
      </c>
      <c r="L1406" t="s">
        <v>52</v>
      </c>
      <c r="M1406" s="8">
        <v>0.45</v>
      </c>
    </row>
    <row r="1407" spans="1:13" x14ac:dyDescent="0.25">
      <c r="A1407">
        <v>1406</v>
      </c>
      <c r="B1407">
        <v>5.5</v>
      </c>
      <c r="C1407">
        <v>2.4</v>
      </c>
      <c r="D1407">
        <v>5.6</v>
      </c>
      <c r="E1407">
        <v>0.5</v>
      </c>
      <c r="F1407">
        <v>10</v>
      </c>
      <c r="G1407">
        <v>3.11</v>
      </c>
      <c r="H1407" t="s">
        <v>10</v>
      </c>
      <c r="I1407">
        <v>18.399999999999999</v>
      </c>
      <c r="J1407" t="s">
        <v>15</v>
      </c>
      <c r="K1407">
        <v>4.1500000000000004</v>
      </c>
      <c r="L1407" t="s">
        <v>52</v>
      </c>
      <c r="M1407" s="8">
        <v>0.3</v>
      </c>
    </row>
    <row r="1408" spans="1:13" x14ac:dyDescent="0.25">
      <c r="A1408">
        <v>1407</v>
      </c>
      <c r="B1408">
        <v>7.6</v>
      </c>
      <c r="C1408">
        <v>1.6</v>
      </c>
      <c r="D1408">
        <v>7.9</v>
      </c>
      <c r="E1408">
        <v>0.5</v>
      </c>
      <c r="F1408">
        <v>6.4</v>
      </c>
      <c r="G1408">
        <v>2.89</v>
      </c>
      <c r="H1408" t="s">
        <v>8</v>
      </c>
      <c r="I1408">
        <v>16.100000000000001</v>
      </c>
      <c r="J1408" t="s">
        <v>13</v>
      </c>
      <c r="K1408">
        <v>3.5</v>
      </c>
      <c r="L1408" t="s">
        <v>52</v>
      </c>
      <c r="M1408" s="8">
        <v>0.47</v>
      </c>
    </row>
    <row r="1409" spans="1:13" x14ac:dyDescent="0.25">
      <c r="A1409">
        <v>1408</v>
      </c>
      <c r="B1409">
        <v>9.9</v>
      </c>
      <c r="C1409">
        <v>2.2000000000000002</v>
      </c>
      <c r="D1409">
        <v>8.4</v>
      </c>
      <c r="E1409">
        <v>1.1000000000000001</v>
      </c>
      <c r="F1409">
        <v>2.4</v>
      </c>
      <c r="G1409">
        <v>3.43</v>
      </c>
      <c r="H1409" t="s">
        <v>10</v>
      </c>
      <c r="I1409">
        <v>15.600000000000001</v>
      </c>
      <c r="J1409" t="s">
        <v>15</v>
      </c>
      <c r="K1409">
        <v>4.04</v>
      </c>
      <c r="L1409" t="s">
        <v>52</v>
      </c>
      <c r="M1409" s="8">
        <v>0.63</v>
      </c>
    </row>
    <row r="1410" spans="1:13" x14ac:dyDescent="0.25">
      <c r="A1410">
        <v>1409</v>
      </c>
      <c r="B1410">
        <v>5.5</v>
      </c>
      <c r="C1410">
        <v>3.9</v>
      </c>
      <c r="D1410">
        <v>6.4</v>
      </c>
      <c r="E1410">
        <v>2.5</v>
      </c>
      <c r="F1410">
        <v>5.7</v>
      </c>
      <c r="G1410">
        <v>2.8</v>
      </c>
      <c r="H1410" t="s">
        <v>9</v>
      </c>
      <c r="I1410">
        <v>17.600000000000001</v>
      </c>
      <c r="J1410" t="s">
        <v>13</v>
      </c>
      <c r="K1410">
        <v>1.5</v>
      </c>
      <c r="L1410" t="s">
        <v>51</v>
      </c>
      <c r="M1410" s="8">
        <v>0.31</v>
      </c>
    </row>
    <row r="1411" spans="1:13" x14ac:dyDescent="0.25">
      <c r="A1411">
        <v>1410</v>
      </c>
      <c r="B1411">
        <v>9.1</v>
      </c>
      <c r="C1411">
        <v>2.1</v>
      </c>
      <c r="D1411">
        <v>6.4</v>
      </c>
      <c r="E1411">
        <v>0.4</v>
      </c>
      <c r="F1411">
        <v>6</v>
      </c>
      <c r="G1411">
        <v>3.37</v>
      </c>
      <c r="H1411" t="s">
        <v>10</v>
      </c>
      <c r="I1411">
        <v>17.600000000000001</v>
      </c>
      <c r="J1411" t="s">
        <v>15</v>
      </c>
      <c r="K1411">
        <v>3.91</v>
      </c>
      <c r="L1411" t="s">
        <v>52</v>
      </c>
      <c r="M1411" s="8">
        <v>0.52</v>
      </c>
    </row>
    <row r="1412" spans="1:13" x14ac:dyDescent="0.25">
      <c r="A1412">
        <v>1411</v>
      </c>
      <c r="B1412">
        <v>5.8</v>
      </c>
      <c r="C1412">
        <v>3.6</v>
      </c>
      <c r="D1412">
        <v>8.4</v>
      </c>
      <c r="E1412">
        <v>1.5</v>
      </c>
      <c r="F1412">
        <v>4.7</v>
      </c>
      <c r="G1412">
        <v>2.91</v>
      </c>
      <c r="H1412" t="s">
        <v>9</v>
      </c>
      <c r="I1412">
        <v>15.600000000000001</v>
      </c>
      <c r="J1412" t="s">
        <v>13</v>
      </c>
      <c r="K1412">
        <v>1.83</v>
      </c>
      <c r="L1412" t="s">
        <v>52</v>
      </c>
      <c r="M1412" s="8">
        <v>0.37</v>
      </c>
    </row>
    <row r="1413" spans="1:13" x14ac:dyDescent="0.25">
      <c r="A1413">
        <v>1412</v>
      </c>
      <c r="B1413">
        <v>7.9</v>
      </c>
      <c r="C1413">
        <v>1.6</v>
      </c>
      <c r="D1413">
        <v>6.8</v>
      </c>
      <c r="E1413">
        <v>1.3</v>
      </c>
      <c r="F1413">
        <v>6.4</v>
      </c>
      <c r="G1413">
        <v>3.1</v>
      </c>
      <c r="H1413" t="s">
        <v>8</v>
      </c>
      <c r="I1413">
        <v>17.200000000000003</v>
      </c>
      <c r="J1413" t="s">
        <v>15</v>
      </c>
      <c r="K1413">
        <v>3.35</v>
      </c>
      <c r="L1413" t="s">
        <v>52</v>
      </c>
      <c r="M1413" s="8">
        <v>0.46</v>
      </c>
    </row>
    <row r="1414" spans="1:13" x14ac:dyDescent="0.25">
      <c r="A1414">
        <v>1413</v>
      </c>
      <c r="B1414">
        <v>8.3000000000000007</v>
      </c>
      <c r="C1414">
        <v>3.9</v>
      </c>
      <c r="D1414">
        <v>5.9</v>
      </c>
      <c r="E1414">
        <v>3.5</v>
      </c>
      <c r="F1414">
        <v>2.4</v>
      </c>
      <c r="G1414">
        <v>2.95</v>
      </c>
      <c r="H1414" t="s">
        <v>10</v>
      </c>
      <c r="I1414">
        <v>18.100000000000001</v>
      </c>
      <c r="J1414" t="s">
        <v>13</v>
      </c>
      <c r="K1414">
        <v>2.6</v>
      </c>
      <c r="L1414" t="s">
        <v>52</v>
      </c>
      <c r="M1414" s="8">
        <v>0.46</v>
      </c>
    </row>
    <row r="1415" spans="1:13" x14ac:dyDescent="0.25">
      <c r="A1415">
        <v>1414</v>
      </c>
      <c r="B1415">
        <v>6.3</v>
      </c>
      <c r="C1415">
        <v>3.3</v>
      </c>
      <c r="D1415">
        <v>7.4</v>
      </c>
      <c r="E1415">
        <v>3.3</v>
      </c>
      <c r="F1415">
        <v>3.7</v>
      </c>
      <c r="G1415">
        <v>2.52</v>
      </c>
      <c r="H1415" t="s">
        <v>8</v>
      </c>
      <c r="I1415">
        <v>16.599999999999998</v>
      </c>
      <c r="J1415" t="s">
        <v>13</v>
      </c>
      <c r="K1415">
        <v>1.45</v>
      </c>
      <c r="L1415" t="s">
        <v>51</v>
      </c>
      <c r="M1415" s="8">
        <v>0.38</v>
      </c>
    </row>
    <row r="1416" spans="1:13" x14ac:dyDescent="0.25">
      <c r="A1416">
        <v>1415</v>
      </c>
      <c r="B1416">
        <v>6.5</v>
      </c>
      <c r="C1416">
        <v>0.7</v>
      </c>
      <c r="D1416">
        <v>5.4</v>
      </c>
      <c r="E1416">
        <v>4.3</v>
      </c>
      <c r="F1416">
        <v>7.1</v>
      </c>
      <c r="G1416">
        <v>3.1</v>
      </c>
      <c r="H1416" t="s">
        <v>10</v>
      </c>
      <c r="I1416">
        <v>18.600000000000001</v>
      </c>
      <c r="J1416" t="s">
        <v>15</v>
      </c>
      <c r="K1416">
        <v>2.9</v>
      </c>
      <c r="L1416" t="s">
        <v>52</v>
      </c>
      <c r="M1416" s="8">
        <v>0.35</v>
      </c>
    </row>
    <row r="1417" spans="1:13" x14ac:dyDescent="0.25">
      <c r="A1417">
        <v>1416</v>
      </c>
      <c r="B1417">
        <v>7</v>
      </c>
      <c r="C1417">
        <v>1.7</v>
      </c>
      <c r="D1417">
        <v>7.3</v>
      </c>
      <c r="E1417">
        <v>2.2000000000000002</v>
      </c>
      <c r="F1417">
        <v>5.8</v>
      </c>
      <c r="G1417">
        <v>2.85</v>
      </c>
      <c r="H1417" t="s">
        <v>8</v>
      </c>
      <c r="I1417">
        <v>16.7</v>
      </c>
      <c r="J1417" t="s">
        <v>13</v>
      </c>
      <c r="K1417">
        <v>2.62</v>
      </c>
      <c r="L1417" t="s">
        <v>52</v>
      </c>
      <c r="M1417" s="8">
        <v>0.42</v>
      </c>
    </row>
    <row r="1418" spans="1:13" x14ac:dyDescent="0.25">
      <c r="A1418">
        <v>1417</v>
      </c>
      <c r="B1418">
        <v>5.5</v>
      </c>
      <c r="C1418">
        <v>1.2</v>
      </c>
      <c r="D1418">
        <v>8.3000000000000007</v>
      </c>
      <c r="E1418">
        <v>4</v>
      </c>
      <c r="F1418">
        <v>5</v>
      </c>
      <c r="G1418">
        <v>2.76</v>
      </c>
      <c r="H1418" t="s">
        <v>9</v>
      </c>
      <c r="I1418">
        <v>15.7</v>
      </c>
      <c r="J1418" t="s">
        <v>13</v>
      </c>
      <c r="K1418">
        <v>1.92</v>
      </c>
      <c r="L1418" t="s">
        <v>52</v>
      </c>
      <c r="M1418" s="8">
        <v>0.35</v>
      </c>
    </row>
    <row r="1419" spans="1:13" x14ac:dyDescent="0.25">
      <c r="A1419">
        <v>1418</v>
      </c>
      <c r="B1419">
        <v>6</v>
      </c>
      <c r="C1419">
        <v>0.8</v>
      </c>
      <c r="D1419">
        <v>5.0999999999999996</v>
      </c>
      <c r="E1419">
        <v>5.4</v>
      </c>
      <c r="F1419">
        <v>6.7</v>
      </c>
      <c r="G1419">
        <v>2.54</v>
      </c>
      <c r="H1419" t="s">
        <v>10</v>
      </c>
      <c r="I1419">
        <v>18.899999999999999</v>
      </c>
      <c r="J1419" t="s">
        <v>13</v>
      </c>
      <c r="K1419">
        <v>2.67</v>
      </c>
      <c r="L1419" t="s">
        <v>52</v>
      </c>
      <c r="M1419" s="8">
        <v>0.32</v>
      </c>
    </row>
    <row r="1420" spans="1:13" x14ac:dyDescent="0.25">
      <c r="A1420">
        <v>1419</v>
      </c>
      <c r="B1420">
        <v>6.1</v>
      </c>
      <c r="C1420">
        <v>0.9</v>
      </c>
      <c r="D1420">
        <v>6.4</v>
      </c>
      <c r="E1420">
        <v>0.8</v>
      </c>
      <c r="F1420">
        <v>9.8000000000000007</v>
      </c>
      <c r="G1420">
        <v>2.79</v>
      </c>
      <c r="H1420" t="s">
        <v>8</v>
      </c>
      <c r="I1420">
        <v>17.600000000000001</v>
      </c>
      <c r="J1420" t="s">
        <v>13</v>
      </c>
      <c r="K1420">
        <v>4.37</v>
      </c>
      <c r="L1420" t="s">
        <v>52</v>
      </c>
      <c r="M1420" s="8">
        <v>0.35</v>
      </c>
    </row>
    <row r="1421" spans="1:13" x14ac:dyDescent="0.25">
      <c r="A1421">
        <v>1420</v>
      </c>
      <c r="B1421">
        <v>5.7</v>
      </c>
      <c r="C1421">
        <v>2.6</v>
      </c>
      <c r="D1421">
        <v>6.7</v>
      </c>
      <c r="E1421">
        <v>4.2</v>
      </c>
      <c r="F1421">
        <v>4.8</v>
      </c>
      <c r="G1421">
        <v>2.9</v>
      </c>
      <c r="H1421" t="s">
        <v>9</v>
      </c>
      <c r="I1421">
        <v>17.3</v>
      </c>
      <c r="J1421" t="s">
        <v>13</v>
      </c>
      <c r="K1421">
        <v>1.3</v>
      </c>
      <c r="L1421" t="s">
        <v>51</v>
      </c>
      <c r="M1421" s="8">
        <v>0.33</v>
      </c>
    </row>
    <row r="1422" spans="1:13" x14ac:dyDescent="0.25">
      <c r="A1422">
        <v>1421</v>
      </c>
      <c r="B1422">
        <v>7.8</v>
      </c>
      <c r="C1422">
        <v>1</v>
      </c>
      <c r="D1422">
        <v>8.3000000000000007</v>
      </c>
      <c r="E1422">
        <v>0.7</v>
      </c>
      <c r="F1422">
        <v>6.2</v>
      </c>
      <c r="G1422">
        <v>2.69</v>
      </c>
      <c r="H1422" t="s">
        <v>8</v>
      </c>
      <c r="I1422">
        <v>15.7</v>
      </c>
      <c r="J1422" t="s">
        <v>13</v>
      </c>
      <c r="K1422">
        <v>3.61</v>
      </c>
      <c r="L1422" t="s">
        <v>52</v>
      </c>
      <c r="M1422" s="8">
        <v>0.5</v>
      </c>
    </row>
    <row r="1423" spans="1:13" x14ac:dyDescent="0.25">
      <c r="A1423">
        <v>1422</v>
      </c>
      <c r="B1423">
        <v>6.3</v>
      </c>
      <c r="C1423">
        <v>2.4</v>
      </c>
      <c r="D1423">
        <v>9.4</v>
      </c>
      <c r="E1423">
        <v>5.9</v>
      </c>
      <c r="F1423">
        <v>0</v>
      </c>
      <c r="G1423">
        <v>3.22</v>
      </c>
      <c r="H1423" t="s">
        <v>8</v>
      </c>
      <c r="I1423">
        <v>14.6</v>
      </c>
      <c r="J1423" t="s">
        <v>15</v>
      </c>
      <c r="K1423">
        <v>3</v>
      </c>
      <c r="L1423" t="s">
        <v>52</v>
      </c>
      <c r="M1423" s="8">
        <v>0.43</v>
      </c>
    </row>
    <row r="1424" spans="1:13" x14ac:dyDescent="0.25">
      <c r="A1424">
        <v>1423</v>
      </c>
      <c r="B1424">
        <v>8</v>
      </c>
      <c r="C1424">
        <v>1.6</v>
      </c>
      <c r="D1424">
        <v>6.1</v>
      </c>
      <c r="E1424">
        <v>1.5</v>
      </c>
      <c r="F1424">
        <v>6.8</v>
      </c>
      <c r="G1424">
        <v>2.75</v>
      </c>
      <c r="H1424" t="s">
        <v>8</v>
      </c>
      <c r="I1424">
        <v>17.899999999999999</v>
      </c>
      <c r="J1424" t="s">
        <v>13</v>
      </c>
      <c r="K1424">
        <v>3.41</v>
      </c>
      <c r="L1424" t="s">
        <v>52</v>
      </c>
      <c r="M1424" s="8">
        <v>0.45</v>
      </c>
    </row>
    <row r="1425" spans="1:13" x14ac:dyDescent="0.25">
      <c r="A1425">
        <v>1424</v>
      </c>
      <c r="B1425">
        <v>9.6</v>
      </c>
      <c r="C1425">
        <v>1.5</v>
      </c>
      <c r="D1425">
        <v>6.9</v>
      </c>
      <c r="E1425">
        <v>2.2999999999999998</v>
      </c>
      <c r="F1425">
        <v>3.7</v>
      </c>
      <c r="G1425">
        <v>3.37</v>
      </c>
      <c r="H1425" t="s">
        <v>10</v>
      </c>
      <c r="I1425">
        <v>17.099999999999998</v>
      </c>
      <c r="J1425" t="s">
        <v>15</v>
      </c>
      <c r="K1425">
        <v>3.66</v>
      </c>
      <c r="L1425" t="s">
        <v>52</v>
      </c>
      <c r="M1425" s="8">
        <v>0.56000000000000005</v>
      </c>
    </row>
    <row r="1426" spans="1:13" x14ac:dyDescent="0.25">
      <c r="A1426">
        <v>1425</v>
      </c>
      <c r="B1426">
        <v>9.1999999999999993</v>
      </c>
      <c r="C1426">
        <v>2.6</v>
      </c>
      <c r="D1426">
        <v>8.1</v>
      </c>
      <c r="E1426">
        <v>1.4</v>
      </c>
      <c r="F1426">
        <v>2.7</v>
      </c>
      <c r="G1426">
        <v>3.39</v>
      </c>
      <c r="H1426" t="s">
        <v>10</v>
      </c>
      <c r="I1426">
        <v>15.899999999999999</v>
      </c>
      <c r="J1426" t="s">
        <v>15</v>
      </c>
      <c r="K1426">
        <v>3.53</v>
      </c>
      <c r="L1426" t="s">
        <v>52</v>
      </c>
      <c r="M1426" s="8">
        <v>0.57999999999999996</v>
      </c>
    </row>
    <row r="1427" spans="1:13" x14ac:dyDescent="0.25">
      <c r="A1427">
        <v>1426</v>
      </c>
      <c r="B1427">
        <v>7</v>
      </c>
      <c r="C1427">
        <v>2</v>
      </c>
      <c r="D1427">
        <v>8.3000000000000007</v>
      </c>
      <c r="E1427">
        <v>0.1</v>
      </c>
      <c r="F1427">
        <v>6.6</v>
      </c>
      <c r="G1427">
        <v>3.27</v>
      </c>
      <c r="H1427" t="s">
        <v>8</v>
      </c>
      <c r="I1427">
        <v>15.7</v>
      </c>
      <c r="J1427" t="s">
        <v>15</v>
      </c>
      <c r="K1427">
        <v>3.41</v>
      </c>
      <c r="L1427" t="s">
        <v>52</v>
      </c>
      <c r="M1427" s="8">
        <v>0.45</v>
      </c>
    </row>
    <row r="1428" spans="1:13" x14ac:dyDescent="0.25">
      <c r="A1428">
        <v>1427</v>
      </c>
      <c r="B1428">
        <v>9.4</v>
      </c>
      <c r="C1428">
        <v>1.8</v>
      </c>
      <c r="D1428">
        <v>6.7</v>
      </c>
      <c r="E1428">
        <v>0.8</v>
      </c>
      <c r="F1428">
        <v>5.3</v>
      </c>
      <c r="G1428">
        <v>3.37</v>
      </c>
      <c r="H1428" t="s">
        <v>10</v>
      </c>
      <c r="I1428">
        <v>17.3</v>
      </c>
      <c r="J1428" t="s">
        <v>15</v>
      </c>
      <c r="K1428">
        <v>3.89</v>
      </c>
      <c r="L1428" t="s">
        <v>52</v>
      </c>
      <c r="M1428" s="8">
        <v>0.54</v>
      </c>
    </row>
    <row r="1429" spans="1:13" x14ac:dyDescent="0.25">
      <c r="A1429">
        <v>1428</v>
      </c>
      <c r="B1429">
        <v>7</v>
      </c>
      <c r="C1429">
        <v>2.7</v>
      </c>
      <c r="D1429">
        <v>7.1</v>
      </c>
      <c r="E1429">
        <v>5.8</v>
      </c>
      <c r="F1429">
        <v>1.4</v>
      </c>
      <c r="G1429">
        <v>2.4700000000000002</v>
      </c>
      <c r="H1429" t="s">
        <v>8</v>
      </c>
      <c r="I1429">
        <v>16.899999999999999</v>
      </c>
      <c r="J1429" t="s">
        <v>16</v>
      </c>
      <c r="K1429">
        <v>2.61</v>
      </c>
      <c r="L1429" t="s">
        <v>52</v>
      </c>
      <c r="M1429" s="8">
        <v>0.41</v>
      </c>
    </row>
    <row r="1430" spans="1:13" x14ac:dyDescent="0.25">
      <c r="A1430">
        <v>1429</v>
      </c>
      <c r="B1430">
        <v>8</v>
      </c>
      <c r="C1430">
        <v>3.2</v>
      </c>
      <c r="D1430">
        <v>5.5</v>
      </c>
      <c r="E1430">
        <v>2.4</v>
      </c>
      <c r="F1430">
        <v>4.9000000000000004</v>
      </c>
      <c r="G1430">
        <v>3.36</v>
      </c>
      <c r="H1430" t="s">
        <v>10</v>
      </c>
      <c r="I1430">
        <v>18.5</v>
      </c>
      <c r="J1430" t="s">
        <v>15</v>
      </c>
      <c r="K1430">
        <v>2.48</v>
      </c>
      <c r="L1430" t="s">
        <v>52</v>
      </c>
      <c r="M1430" s="8">
        <v>0.43</v>
      </c>
    </row>
    <row r="1431" spans="1:13" x14ac:dyDescent="0.25">
      <c r="A1431">
        <v>1430</v>
      </c>
      <c r="B1431">
        <v>9.3000000000000007</v>
      </c>
      <c r="C1431">
        <v>0.3</v>
      </c>
      <c r="D1431">
        <v>5.4</v>
      </c>
      <c r="E1431">
        <v>5.0999999999999996</v>
      </c>
      <c r="F1431">
        <v>3.9</v>
      </c>
      <c r="G1431">
        <v>3.02</v>
      </c>
      <c r="H1431" t="s">
        <v>10</v>
      </c>
      <c r="I1431">
        <v>18.600000000000001</v>
      </c>
      <c r="J1431" t="s">
        <v>15</v>
      </c>
      <c r="K1431">
        <v>3.71</v>
      </c>
      <c r="L1431" t="s">
        <v>52</v>
      </c>
      <c r="M1431" s="8">
        <v>0.5</v>
      </c>
    </row>
    <row r="1432" spans="1:13" x14ac:dyDescent="0.25">
      <c r="A1432">
        <v>1431</v>
      </c>
      <c r="B1432">
        <v>6.1</v>
      </c>
      <c r="C1432">
        <v>2.7</v>
      </c>
      <c r="D1432">
        <v>7.7</v>
      </c>
      <c r="E1432">
        <v>5</v>
      </c>
      <c r="F1432">
        <v>2.5</v>
      </c>
      <c r="G1432">
        <v>3.04</v>
      </c>
      <c r="H1432" t="s">
        <v>8</v>
      </c>
      <c r="I1432">
        <v>16.3</v>
      </c>
      <c r="J1432" t="s">
        <v>15</v>
      </c>
      <c r="K1432">
        <v>1.76</v>
      </c>
      <c r="L1432" t="s">
        <v>52</v>
      </c>
      <c r="M1432" s="8">
        <v>0.37</v>
      </c>
    </row>
    <row r="1433" spans="1:13" x14ac:dyDescent="0.25">
      <c r="A1433">
        <v>1432</v>
      </c>
      <c r="B1433">
        <v>7.1</v>
      </c>
      <c r="C1433">
        <v>1.3</v>
      </c>
      <c r="D1433">
        <v>8</v>
      </c>
      <c r="E1433">
        <v>5.6</v>
      </c>
      <c r="F1433">
        <v>2</v>
      </c>
      <c r="G1433">
        <v>3.08</v>
      </c>
      <c r="H1433" t="s">
        <v>8</v>
      </c>
      <c r="I1433">
        <v>16</v>
      </c>
      <c r="J1433" t="s">
        <v>15</v>
      </c>
      <c r="K1433">
        <v>2.8</v>
      </c>
      <c r="L1433" t="s">
        <v>52</v>
      </c>
      <c r="M1433" s="8">
        <v>0.44</v>
      </c>
    </row>
    <row r="1434" spans="1:13" x14ac:dyDescent="0.25">
      <c r="A1434">
        <v>1433</v>
      </c>
      <c r="B1434">
        <v>9.1999999999999993</v>
      </c>
      <c r="C1434">
        <v>4</v>
      </c>
      <c r="D1434">
        <v>5.0999999999999996</v>
      </c>
      <c r="E1434">
        <v>0.6</v>
      </c>
      <c r="F1434">
        <v>5.0999999999999996</v>
      </c>
      <c r="G1434">
        <v>3.62</v>
      </c>
      <c r="H1434" t="s">
        <v>10</v>
      </c>
      <c r="I1434">
        <v>18.899999999999999</v>
      </c>
      <c r="J1434" t="s">
        <v>14</v>
      </c>
      <c r="K1434">
        <v>3.55</v>
      </c>
      <c r="L1434" t="s">
        <v>52</v>
      </c>
      <c r="M1434" s="8">
        <v>0.49</v>
      </c>
    </row>
    <row r="1435" spans="1:13" x14ac:dyDescent="0.25">
      <c r="A1435">
        <v>1434</v>
      </c>
      <c r="B1435">
        <v>6.4</v>
      </c>
      <c r="C1435">
        <v>1</v>
      </c>
      <c r="D1435">
        <v>8.9</v>
      </c>
      <c r="E1435">
        <v>0.3</v>
      </c>
      <c r="F1435">
        <v>7.4</v>
      </c>
      <c r="G1435">
        <v>3.04</v>
      </c>
      <c r="H1435" t="s">
        <v>8</v>
      </c>
      <c r="I1435">
        <v>15.100000000000001</v>
      </c>
      <c r="J1435" t="s">
        <v>15</v>
      </c>
      <c r="K1435">
        <v>3.64</v>
      </c>
      <c r="L1435" t="s">
        <v>52</v>
      </c>
      <c r="M1435" s="8">
        <v>0.42</v>
      </c>
    </row>
    <row r="1436" spans="1:13" x14ac:dyDescent="0.25">
      <c r="A1436">
        <v>1435</v>
      </c>
      <c r="B1436">
        <v>6.8</v>
      </c>
      <c r="C1436">
        <v>2</v>
      </c>
      <c r="D1436">
        <v>7.8</v>
      </c>
      <c r="E1436">
        <v>4.4000000000000004</v>
      </c>
      <c r="F1436">
        <v>3</v>
      </c>
      <c r="G1436">
        <v>3.27</v>
      </c>
      <c r="H1436" t="s">
        <v>8</v>
      </c>
      <c r="I1436">
        <v>16.200000000000003</v>
      </c>
      <c r="J1436" t="s">
        <v>15</v>
      </c>
      <c r="K1436">
        <v>2.08</v>
      </c>
      <c r="L1436" t="s">
        <v>52</v>
      </c>
      <c r="M1436" s="8">
        <v>0.42</v>
      </c>
    </row>
    <row r="1437" spans="1:13" x14ac:dyDescent="0.25">
      <c r="A1437">
        <v>1436</v>
      </c>
      <c r="B1437">
        <v>7.9</v>
      </c>
      <c r="C1437">
        <v>2.2000000000000002</v>
      </c>
      <c r="D1437">
        <v>8.1999999999999993</v>
      </c>
      <c r="E1437">
        <v>1.5</v>
      </c>
      <c r="F1437">
        <v>4.2</v>
      </c>
      <c r="G1437">
        <v>2.87</v>
      </c>
      <c r="H1437" t="s">
        <v>8</v>
      </c>
      <c r="I1437">
        <v>15.8</v>
      </c>
      <c r="J1437" t="s">
        <v>13</v>
      </c>
      <c r="K1437">
        <v>2.87</v>
      </c>
      <c r="L1437" t="s">
        <v>52</v>
      </c>
      <c r="M1437" s="8">
        <v>0.5</v>
      </c>
    </row>
    <row r="1438" spans="1:13" x14ac:dyDescent="0.25">
      <c r="A1438">
        <v>1437</v>
      </c>
      <c r="B1438">
        <v>5.4</v>
      </c>
      <c r="C1438">
        <v>0.5</v>
      </c>
      <c r="D1438">
        <v>6.1</v>
      </c>
      <c r="E1438">
        <v>3</v>
      </c>
      <c r="F1438">
        <v>9</v>
      </c>
      <c r="G1438">
        <v>2.91</v>
      </c>
      <c r="H1438" t="s">
        <v>9</v>
      </c>
      <c r="I1438">
        <v>17.899999999999999</v>
      </c>
      <c r="J1438" t="s">
        <v>13</v>
      </c>
      <c r="K1438">
        <v>3.62</v>
      </c>
      <c r="L1438" t="s">
        <v>52</v>
      </c>
      <c r="M1438" s="8">
        <v>0.3</v>
      </c>
    </row>
    <row r="1439" spans="1:13" x14ac:dyDescent="0.25">
      <c r="A1439">
        <v>1438</v>
      </c>
      <c r="B1439">
        <v>8.9</v>
      </c>
      <c r="C1439">
        <v>1.4</v>
      </c>
      <c r="D1439">
        <v>7</v>
      </c>
      <c r="E1439">
        <v>2.4</v>
      </c>
      <c r="F1439">
        <v>4.3</v>
      </c>
      <c r="G1439">
        <v>3.5</v>
      </c>
      <c r="H1439" t="s">
        <v>10</v>
      </c>
      <c r="I1439">
        <v>17</v>
      </c>
      <c r="J1439" t="s">
        <v>14</v>
      </c>
      <c r="K1439">
        <v>3.33</v>
      </c>
      <c r="L1439" t="s">
        <v>52</v>
      </c>
      <c r="M1439" s="8">
        <v>0.52</v>
      </c>
    </row>
    <row r="1440" spans="1:13" x14ac:dyDescent="0.25">
      <c r="A1440">
        <v>1439</v>
      </c>
      <c r="B1440">
        <v>6</v>
      </c>
      <c r="C1440">
        <v>0.2</v>
      </c>
      <c r="D1440">
        <v>8</v>
      </c>
      <c r="E1440">
        <v>5.9</v>
      </c>
      <c r="F1440">
        <v>3.9</v>
      </c>
      <c r="G1440">
        <v>2.76</v>
      </c>
      <c r="H1440" t="s">
        <v>8</v>
      </c>
      <c r="I1440">
        <v>16</v>
      </c>
      <c r="J1440" t="s">
        <v>13</v>
      </c>
      <c r="K1440">
        <v>2.71</v>
      </c>
      <c r="L1440" t="s">
        <v>52</v>
      </c>
      <c r="M1440" s="8">
        <v>0.38</v>
      </c>
    </row>
    <row r="1441" spans="1:13" x14ac:dyDescent="0.25">
      <c r="A1441">
        <v>1440</v>
      </c>
      <c r="B1441">
        <v>9.1</v>
      </c>
      <c r="C1441">
        <v>2.8</v>
      </c>
      <c r="D1441">
        <v>9.6999999999999993</v>
      </c>
      <c r="E1441">
        <v>1</v>
      </c>
      <c r="F1441">
        <v>1.4</v>
      </c>
      <c r="G1441">
        <v>3.53</v>
      </c>
      <c r="H1441" t="s">
        <v>10</v>
      </c>
      <c r="I1441">
        <v>14.299999999999999</v>
      </c>
      <c r="J1441" t="s">
        <v>14</v>
      </c>
      <c r="K1441">
        <v>3.76</v>
      </c>
      <c r="L1441" t="s">
        <v>52</v>
      </c>
      <c r="M1441" s="8">
        <v>0.64</v>
      </c>
    </row>
    <row r="1442" spans="1:13" x14ac:dyDescent="0.25">
      <c r="A1442">
        <v>1441</v>
      </c>
      <c r="B1442">
        <v>8.3000000000000007</v>
      </c>
      <c r="C1442">
        <v>1.9</v>
      </c>
      <c r="D1442">
        <v>8.1999999999999993</v>
      </c>
      <c r="E1442">
        <v>2.5</v>
      </c>
      <c r="F1442">
        <v>3.1</v>
      </c>
      <c r="G1442">
        <v>3.25</v>
      </c>
      <c r="H1442" t="s">
        <v>10</v>
      </c>
      <c r="I1442">
        <v>15.8</v>
      </c>
      <c r="J1442" t="s">
        <v>15</v>
      </c>
      <c r="K1442">
        <v>2.94</v>
      </c>
      <c r="L1442" t="s">
        <v>52</v>
      </c>
      <c r="M1442" s="8">
        <v>0.53</v>
      </c>
    </row>
    <row r="1443" spans="1:13" x14ac:dyDescent="0.25">
      <c r="A1443">
        <v>1442</v>
      </c>
      <c r="B1443">
        <v>7.6</v>
      </c>
      <c r="C1443">
        <v>3.2</v>
      </c>
      <c r="D1443">
        <v>8.6999999999999993</v>
      </c>
      <c r="E1443">
        <v>3</v>
      </c>
      <c r="F1443">
        <v>1.5</v>
      </c>
      <c r="G1443">
        <v>2.86</v>
      </c>
      <c r="H1443" t="s">
        <v>8</v>
      </c>
      <c r="I1443">
        <v>15.3</v>
      </c>
      <c r="J1443" t="s">
        <v>13</v>
      </c>
      <c r="K1443">
        <v>2.63</v>
      </c>
      <c r="L1443" t="s">
        <v>52</v>
      </c>
      <c r="M1443" s="8">
        <v>0.5</v>
      </c>
    </row>
    <row r="1444" spans="1:13" x14ac:dyDescent="0.25">
      <c r="A1444">
        <v>1443</v>
      </c>
      <c r="B1444">
        <v>5.6</v>
      </c>
      <c r="C1444">
        <v>2.9</v>
      </c>
      <c r="D1444">
        <v>7.5</v>
      </c>
      <c r="E1444">
        <v>5.4</v>
      </c>
      <c r="F1444">
        <v>2.6</v>
      </c>
      <c r="G1444">
        <v>2.98</v>
      </c>
      <c r="H1444" t="s">
        <v>9</v>
      </c>
      <c r="I1444">
        <v>16.5</v>
      </c>
      <c r="J1444" t="s">
        <v>13</v>
      </c>
      <c r="K1444">
        <v>1.59</v>
      </c>
      <c r="L1444" t="s">
        <v>52</v>
      </c>
      <c r="M1444" s="8">
        <v>0.34</v>
      </c>
    </row>
    <row r="1445" spans="1:13" x14ac:dyDescent="0.25">
      <c r="A1445">
        <v>1444</v>
      </c>
      <c r="B1445">
        <v>5.7</v>
      </c>
      <c r="C1445">
        <v>3</v>
      </c>
      <c r="D1445">
        <v>5</v>
      </c>
      <c r="E1445">
        <v>1</v>
      </c>
      <c r="F1445">
        <v>9.3000000000000007</v>
      </c>
      <c r="G1445">
        <v>2.42</v>
      </c>
      <c r="H1445" t="s">
        <v>10</v>
      </c>
      <c r="I1445">
        <v>19</v>
      </c>
      <c r="J1445" t="s">
        <v>16</v>
      </c>
      <c r="K1445">
        <v>3.59</v>
      </c>
      <c r="L1445" t="s">
        <v>52</v>
      </c>
      <c r="M1445" s="8">
        <v>0.3</v>
      </c>
    </row>
    <row r="1446" spans="1:13" x14ac:dyDescent="0.25">
      <c r="A1446">
        <v>1445</v>
      </c>
      <c r="B1446">
        <v>7.9</v>
      </c>
      <c r="C1446">
        <v>2.9</v>
      </c>
      <c r="D1446">
        <v>9.6</v>
      </c>
      <c r="E1446">
        <v>2.5</v>
      </c>
      <c r="F1446">
        <v>1.1000000000000001</v>
      </c>
      <c r="G1446">
        <v>2.99</v>
      </c>
      <c r="H1446" t="s">
        <v>8</v>
      </c>
      <c r="I1446">
        <v>14.4</v>
      </c>
      <c r="J1446" t="s">
        <v>13</v>
      </c>
      <c r="K1446">
        <v>2.97</v>
      </c>
      <c r="L1446" t="s">
        <v>52</v>
      </c>
      <c r="M1446" s="8">
        <v>0.55000000000000004</v>
      </c>
    </row>
    <row r="1447" spans="1:13" x14ac:dyDescent="0.25">
      <c r="A1447">
        <v>1446</v>
      </c>
      <c r="B1447">
        <v>5</v>
      </c>
      <c r="C1447">
        <v>0.5</v>
      </c>
      <c r="D1447">
        <v>7.7</v>
      </c>
      <c r="E1447">
        <v>4.0999999999999996</v>
      </c>
      <c r="F1447">
        <v>6.7</v>
      </c>
      <c r="G1447">
        <v>3.07</v>
      </c>
      <c r="H1447" t="s">
        <v>9</v>
      </c>
      <c r="I1447">
        <v>16.3</v>
      </c>
      <c r="J1447" t="s">
        <v>15</v>
      </c>
      <c r="K1447">
        <v>2.62</v>
      </c>
      <c r="L1447" t="s">
        <v>52</v>
      </c>
      <c r="M1447" s="8">
        <v>0.31</v>
      </c>
    </row>
    <row r="1448" spans="1:13" x14ac:dyDescent="0.25">
      <c r="A1448">
        <v>1447</v>
      </c>
      <c r="B1448">
        <v>7.1</v>
      </c>
      <c r="C1448">
        <v>2.9</v>
      </c>
      <c r="D1448">
        <v>7.6</v>
      </c>
      <c r="E1448">
        <v>0.4</v>
      </c>
      <c r="F1448">
        <v>6</v>
      </c>
      <c r="G1448">
        <v>3.15</v>
      </c>
      <c r="H1448" t="s">
        <v>8</v>
      </c>
      <c r="I1448">
        <v>16.399999999999999</v>
      </c>
      <c r="J1448" t="s">
        <v>15</v>
      </c>
      <c r="K1448">
        <v>3.04</v>
      </c>
      <c r="L1448" t="s">
        <v>52</v>
      </c>
      <c r="M1448" s="8">
        <v>0.43</v>
      </c>
    </row>
    <row r="1449" spans="1:13" x14ac:dyDescent="0.25">
      <c r="A1449">
        <v>1448</v>
      </c>
      <c r="B1449">
        <v>8.6</v>
      </c>
      <c r="C1449">
        <v>3.6</v>
      </c>
      <c r="D1449">
        <v>5.6</v>
      </c>
      <c r="E1449">
        <v>5.9</v>
      </c>
      <c r="F1449">
        <v>0.3</v>
      </c>
      <c r="G1449">
        <v>3.21</v>
      </c>
      <c r="H1449" t="s">
        <v>10</v>
      </c>
      <c r="I1449">
        <v>18.400000000000002</v>
      </c>
      <c r="J1449" t="s">
        <v>15</v>
      </c>
      <c r="K1449">
        <v>3.52</v>
      </c>
      <c r="L1449" t="s">
        <v>52</v>
      </c>
      <c r="M1449" s="8">
        <v>0.47</v>
      </c>
    </row>
    <row r="1450" spans="1:13" x14ac:dyDescent="0.25">
      <c r="A1450">
        <v>1449</v>
      </c>
      <c r="B1450">
        <v>6</v>
      </c>
      <c r="C1450">
        <v>0</v>
      </c>
      <c r="D1450">
        <v>10</v>
      </c>
      <c r="E1450">
        <v>1.7</v>
      </c>
      <c r="F1450">
        <v>6.3</v>
      </c>
      <c r="G1450">
        <v>2.7</v>
      </c>
      <c r="H1450" t="s">
        <v>8</v>
      </c>
      <c r="I1450">
        <v>14</v>
      </c>
      <c r="J1450" t="s">
        <v>13</v>
      </c>
      <c r="K1450">
        <v>3.14</v>
      </c>
      <c r="L1450" t="s">
        <v>52</v>
      </c>
      <c r="M1450" s="8">
        <v>0.43</v>
      </c>
    </row>
    <row r="1451" spans="1:13" x14ac:dyDescent="0.25">
      <c r="A1451">
        <v>1450</v>
      </c>
      <c r="B1451">
        <v>7.9</v>
      </c>
      <c r="C1451">
        <v>3.6</v>
      </c>
      <c r="D1451">
        <v>6.6</v>
      </c>
      <c r="E1451">
        <v>4</v>
      </c>
      <c r="F1451">
        <v>1.9</v>
      </c>
      <c r="G1451">
        <v>3.29</v>
      </c>
      <c r="H1451" t="s">
        <v>8</v>
      </c>
      <c r="I1451">
        <v>17.399999999999999</v>
      </c>
      <c r="J1451" t="s">
        <v>15</v>
      </c>
      <c r="K1451">
        <v>2.54</v>
      </c>
      <c r="L1451" t="s">
        <v>52</v>
      </c>
      <c r="M1451" s="8">
        <v>0.45</v>
      </c>
    </row>
    <row r="1452" spans="1:13" x14ac:dyDescent="0.25">
      <c r="A1452">
        <v>1451</v>
      </c>
      <c r="B1452">
        <v>5.9</v>
      </c>
      <c r="C1452">
        <v>2.5</v>
      </c>
      <c r="D1452">
        <v>6.7</v>
      </c>
      <c r="E1452">
        <v>1.3</v>
      </c>
      <c r="F1452">
        <v>7.6</v>
      </c>
      <c r="G1452">
        <v>2.7</v>
      </c>
      <c r="H1452" t="s">
        <v>9</v>
      </c>
      <c r="I1452">
        <v>17.3</v>
      </c>
      <c r="J1452" t="s">
        <v>13</v>
      </c>
      <c r="K1452">
        <v>2.93</v>
      </c>
      <c r="L1452" t="s">
        <v>52</v>
      </c>
      <c r="M1452" s="8">
        <v>0.34</v>
      </c>
    </row>
    <row r="1453" spans="1:13" x14ac:dyDescent="0.25">
      <c r="A1453">
        <v>1452</v>
      </c>
      <c r="B1453">
        <v>9.5</v>
      </c>
      <c r="C1453">
        <v>1.6</v>
      </c>
      <c r="D1453">
        <v>6.2</v>
      </c>
      <c r="E1453">
        <v>2.7</v>
      </c>
      <c r="F1453">
        <v>4</v>
      </c>
      <c r="G1453">
        <v>3.32</v>
      </c>
      <c r="H1453" t="s">
        <v>10</v>
      </c>
      <c r="I1453">
        <v>17.8</v>
      </c>
      <c r="J1453" t="s">
        <v>15</v>
      </c>
      <c r="K1453">
        <v>3.51</v>
      </c>
      <c r="L1453" t="s">
        <v>52</v>
      </c>
      <c r="M1453" s="8">
        <v>0.53</v>
      </c>
    </row>
    <row r="1454" spans="1:13" x14ac:dyDescent="0.25">
      <c r="A1454">
        <v>1453</v>
      </c>
      <c r="B1454">
        <v>6.6</v>
      </c>
      <c r="C1454">
        <v>3</v>
      </c>
      <c r="D1454">
        <v>9.9</v>
      </c>
      <c r="E1454">
        <v>2</v>
      </c>
      <c r="F1454">
        <v>2.5</v>
      </c>
      <c r="G1454">
        <v>3.03</v>
      </c>
      <c r="H1454" t="s">
        <v>8</v>
      </c>
      <c r="I1454">
        <v>14.1</v>
      </c>
      <c r="J1454" t="s">
        <v>15</v>
      </c>
      <c r="K1454">
        <v>2.09</v>
      </c>
      <c r="L1454" t="s">
        <v>52</v>
      </c>
      <c r="M1454" s="8">
        <v>0.47</v>
      </c>
    </row>
    <row r="1455" spans="1:13" x14ac:dyDescent="0.25">
      <c r="A1455">
        <v>1454</v>
      </c>
      <c r="B1455">
        <v>5.8</v>
      </c>
      <c r="C1455">
        <v>2.8</v>
      </c>
      <c r="D1455">
        <v>7.6</v>
      </c>
      <c r="E1455">
        <v>3.9</v>
      </c>
      <c r="F1455">
        <v>3.9</v>
      </c>
      <c r="G1455">
        <v>3.09</v>
      </c>
      <c r="H1455" t="s">
        <v>9</v>
      </c>
      <c r="I1455">
        <v>16.399999999999999</v>
      </c>
      <c r="J1455" t="s">
        <v>15</v>
      </c>
      <c r="K1455">
        <v>1.25</v>
      </c>
      <c r="L1455" t="s">
        <v>51</v>
      </c>
      <c r="M1455" s="8">
        <v>0.35</v>
      </c>
    </row>
    <row r="1456" spans="1:13" x14ac:dyDescent="0.25">
      <c r="A1456">
        <v>1455</v>
      </c>
      <c r="B1456">
        <v>9.4</v>
      </c>
      <c r="C1456">
        <v>1.8</v>
      </c>
      <c r="D1456">
        <v>9.5</v>
      </c>
      <c r="E1456">
        <v>2.5</v>
      </c>
      <c r="F1456">
        <v>0.8</v>
      </c>
      <c r="G1456">
        <v>3.91</v>
      </c>
      <c r="H1456" t="s">
        <v>10</v>
      </c>
      <c r="I1456">
        <v>14.500000000000002</v>
      </c>
      <c r="J1456" t="s">
        <v>14</v>
      </c>
      <c r="K1456">
        <v>3.91</v>
      </c>
      <c r="L1456" t="s">
        <v>52</v>
      </c>
      <c r="M1456" s="8">
        <v>0.65</v>
      </c>
    </row>
    <row r="1457" spans="1:13" x14ac:dyDescent="0.25">
      <c r="A1457">
        <v>1456</v>
      </c>
      <c r="B1457">
        <v>6.6</v>
      </c>
      <c r="C1457">
        <v>3.9</v>
      </c>
      <c r="D1457">
        <v>8.3000000000000007</v>
      </c>
      <c r="E1457">
        <v>0.2</v>
      </c>
      <c r="F1457">
        <v>5</v>
      </c>
      <c r="G1457">
        <v>2.93</v>
      </c>
      <c r="H1457" t="s">
        <v>8</v>
      </c>
      <c r="I1457">
        <v>15.7</v>
      </c>
      <c r="J1457" t="s">
        <v>13</v>
      </c>
      <c r="K1457">
        <v>2.72</v>
      </c>
      <c r="L1457" t="s">
        <v>52</v>
      </c>
      <c r="M1457" s="8">
        <v>0.42</v>
      </c>
    </row>
    <row r="1458" spans="1:13" x14ac:dyDescent="0.25">
      <c r="A1458">
        <v>1457</v>
      </c>
      <c r="B1458">
        <v>6.6</v>
      </c>
      <c r="C1458">
        <v>2.5</v>
      </c>
      <c r="D1458">
        <v>5.3</v>
      </c>
      <c r="E1458">
        <v>0.1</v>
      </c>
      <c r="F1458">
        <v>9.5</v>
      </c>
      <c r="G1458">
        <v>2.6</v>
      </c>
      <c r="H1458" t="s">
        <v>10</v>
      </c>
      <c r="I1458">
        <v>18.7</v>
      </c>
      <c r="J1458" t="s">
        <v>13</v>
      </c>
      <c r="K1458">
        <v>4.1900000000000004</v>
      </c>
      <c r="L1458" t="s">
        <v>52</v>
      </c>
      <c r="M1458" s="8">
        <v>0.35</v>
      </c>
    </row>
    <row r="1459" spans="1:13" x14ac:dyDescent="0.25">
      <c r="A1459">
        <v>1458</v>
      </c>
      <c r="B1459">
        <v>7.2</v>
      </c>
      <c r="C1459">
        <v>1.1000000000000001</v>
      </c>
      <c r="D1459">
        <v>5.8</v>
      </c>
      <c r="E1459">
        <v>4.0999999999999996</v>
      </c>
      <c r="F1459">
        <v>5.8</v>
      </c>
      <c r="G1459">
        <v>2.96</v>
      </c>
      <c r="H1459" t="s">
        <v>10</v>
      </c>
      <c r="I1459">
        <v>18.2</v>
      </c>
      <c r="J1459" t="s">
        <v>13</v>
      </c>
      <c r="K1459">
        <v>2.63</v>
      </c>
      <c r="L1459" t="s">
        <v>52</v>
      </c>
      <c r="M1459" s="8">
        <v>0.4</v>
      </c>
    </row>
    <row r="1460" spans="1:13" x14ac:dyDescent="0.25">
      <c r="A1460">
        <v>1459</v>
      </c>
      <c r="B1460">
        <v>7.6</v>
      </c>
      <c r="C1460">
        <v>0.8</v>
      </c>
      <c r="D1460">
        <v>6.6</v>
      </c>
      <c r="E1460">
        <v>3.6</v>
      </c>
      <c r="F1460">
        <v>5.4</v>
      </c>
      <c r="G1460">
        <v>3.3</v>
      </c>
      <c r="H1460" t="s">
        <v>8</v>
      </c>
      <c r="I1460">
        <v>17.399999999999999</v>
      </c>
      <c r="J1460" t="s">
        <v>15</v>
      </c>
      <c r="K1460">
        <v>2.88</v>
      </c>
      <c r="L1460" t="s">
        <v>52</v>
      </c>
      <c r="M1460" s="8">
        <v>0.44</v>
      </c>
    </row>
    <row r="1461" spans="1:13" x14ac:dyDescent="0.25">
      <c r="A1461">
        <v>1460</v>
      </c>
      <c r="B1461">
        <v>8.6</v>
      </c>
      <c r="C1461">
        <v>2.7</v>
      </c>
      <c r="D1461">
        <v>7.4</v>
      </c>
      <c r="E1461">
        <v>3.4</v>
      </c>
      <c r="F1461">
        <v>1.9</v>
      </c>
      <c r="G1461">
        <v>3.45</v>
      </c>
      <c r="H1461" t="s">
        <v>10</v>
      </c>
      <c r="I1461">
        <v>16.600000000000001</v>
      </c>
      <c r="J1461" t="s">
        <v>15</v>
      </c>
      <c r="K1461">
        <v>3.03</v>
      </c>
      <c r="L1461" t="s">
        <v>52</v>
      </c>
      <c r="M1461" s="8">
        <v>0.52</v>
      </c>
    </row>
    <row r="1462" spans="1:13" x14ac:dyDescent="0.25">
      <c r="A1462">
        <v>1461</v>
      </c>
      <c r="B1462">
        <v>5.2</v>
      </c>
      <c r="C1462">
        <v>2.5</v>
      </c>
      <c r="D1462">
        <v>8.9</v>
      </c>
      <c r="E1462">
        <v>3</v>
      </c>
      <c r="F1462">
        <v>4.4000000000000004</v>
      </c>
      <c r="G1462">
        <v>2.5099999999999998</v>
      </c>
      <c r="H1462" t="s">
        <v>9</v>
      </c>
      <c r="I1462">
        <v>15.1</v>
      </c>
      <c r="J1462" t="s">
        <v>13</v>
      </c>
      <c r="K1462">
        <v>1.24</v>
      </c>
      <c r="L1462" t="s">
        <v>51</v>
      </c>
      <c r="M1462" s="8">
        <v>0.34</v>
      </c>
    </row>
    <row r="1463" spans="1:13" x14ac:dyDescent="0.25">
      <c r="A1463">
        <v>1462</v>
      </c>
      <c r="B1463">
        <v>8.1999999999999993</v>
      </c>
      <c r="C1463">
        <v>2.8</v>
      </c>
      <c r="D1463">
        <v>9.4</v>
      </c>
      <c r="E1463">
        <v>1.2</v>
      </c>
      <c r="F1463">
        <v>2.4</v>
      </c>
      <c r="G1463">
        <v>3.06</v>
      </c>
      <c r="H1463" t="s">
        <v>10</v>
      </c>
      <c r="I1463">
        <v>14.6</v>
      </c>
      <c r="J1463" t="s">
        <v>15</v>
      </c>
      <c r="K1463">
        <v>3.11</v>
      </c>
      <c r="L1463" t="s">
        <v>52</v>
      </c>
      <c r="M1463" s="8">
        <v>0.56000000000000005</v>
      </c>
    </row>
    <row r="1464" spans="1:13" x14ac:dyDescent="0.25">
      <c r="A1464">
        <v>1463</v>
      </c>
      <c r="B1464">
        <v>8.8000000000000007</v>
      </c>
      <c r="C1464">
        <v>2.2000000000000002</v>
      </c>
      <c r="D1464">
        <v>9.4</v>
      </c>
      <c r="E1464">
        <v>1.9</v>
      </c>
      <c r="F1464">
        <v>1.7</v>
      </c>
      <c r="G1464">
        <v>3.85</v>
      </c>
      <c r="H1464" t="s">
        <v>10</v>
      </c>
      <c r="I1464">
        <v>14.6</v>
      </c>
      <c r="J1464" t="s">
        <v>14</v>
      </c>
      <c r="K1464">
        <v>3.44</v>
      </c>
      <c r="L1464" t="s">
        <v>52</v>
      </c>
      <c r="M1464" s="8">
        <v>0.6</v>
      </c>
    </row>
    <row r="1465" spans="1:13" x14ac:dyDescent="0.25">
      <c r="A1465">
        <v>1464</v>
      </c>
      <c r="B1465">
        <v>8.6999999999999993</v>
      </c>
      <c r="C1465">
        <v>3.9</v>
      </c>
      <c r="D1465">
        <v>5.4</v>
      </c>
      <c r="E1465">
        <v>0.3</v>
      </c>
      <c r="F1465">
        <v>5.7</v>
      </c>
      <c r="G1465">
        <v>3.42</v>
      </c>
      <c r="H1465" t="s">
        <v>10</v>
      </c>
      <c r="I1465">
        <v>18.600000000000001</v>
      </c>
      <c r="J1465" t="s">
        <v>15</v>
      </c>
      <c r="K1465">
        <v>3.51</v>
      </c>
      <c r="L1465" t="s">
        <v>52</v>
      </c>
      <c r="M1465" s="8">
        <v>0.47</v>
      </c>
    </row>
    <row r="1466" spans="1:13" x14ac:dyDescent="0.25">
      <c r="A1466">
        <v>1465</v>
      </c>
      <c r="B1466">
        <v>9.6999999999999993</v>
      </c>
      <c r="C1466">
        <v>2.1</v>
      </c>
      <c r="D1466">
        <v>8.1</v>
      </c>
      <c r="E1466">
        <v>2</v>
      </c>
      <c r="F1466">
        <v>2.1</v>
      </c>
      <c r="G1466">
        <v>3.49</v>
      </c>
      <c r="H1466" t="s">
        <v>10</v>
      </c>
      <c r="I1466">
        <v>15.899999999999999</v>
      </c>
      <c r="J1466" t="s">
        <v>15</v>
      </c>
      <c r="K1466">
        <v>3.82</v>
      </c>
      <c r="L1466" t="s">
        <v>52</v>
      </c>
      <c r="M1466" s="8">
        <v>0.61</v>
      </c>
    </row>
    <row r="1467" spans="1:13" x14ac:dyDescent="0.25">
      <c r="A1467">
        <v>1466</v>
      </c>
      <c r="B1467">
        <v>8.6999999999999993</v>
      </c>
      <c r="C1467">
        <v>1.2</v>
      </c>
      <c r="D1467">
        <v>6.5</v>
      </c>
      <c r="E1467">
        <v>5</v>
      </c>
      <c r="F1467">
        <v>2.6</v>
      </c>
      <c r="G1467">
        <v>3.25</v>
      </c>
      <c r="H1467" t="s">
        <v>10</v>
      </c>
      <c r="I1467">
        <v>17.5</v>
      </c>
      <c r="J1467" t="s">
        <v>15</v>
      </c>
      <c r="K1467">
        <v>3.28</v>
      </c>
      <c r="L1467" t="s">
        <v>52</v>
      </c>
      <c r="M1467" s="8">
        <v>0.5</v>
      </c>
    </row>
    <row r="1468" spans="1:13" x14ac:dyDescent="0.25">
      <c r="A1468">
        <v>1467</v>
      </c>
      <c r="B1468">
        <v>5.4</v>
      </c>
      <c r="C1468">
        <v>3.5</v>
      </c>
      <c r="D1468">
        <v>6.3</v>
      </c>
      <c r="E1468">
        <v>3.6</v>
      </c>
      <c r="F1468">
        <v>5.2</v>
      </c>
      <c r="G1468">
        <v>2.85</v>
      </c>
      <c r="H1468" t="s">
        <v>9</v>
      </c>
      <c r="I1468">
        <v>17.7</v>
      </c>
      <c r="J1468" t="s">
        <v>13</v>
      </c>
      <c r="K1468">
        <v>1.01</v>
      </c>
      <c r="L1468" t="s">
        <v>51</v>
      </c>
      <c r="M1468" s="8">
        <v>0.31</v>
      </c>
    </row>
    <row r="1469" spans="1:13" x14ac:dyDescent="0.25">
      <c r="A1469">
        <v>1468</v>
      </c>
      <c r="B1469">
        <v>7.1</v>
      </c>
      <c r="C1469">
        <v>2.8</v>
      </c>
      <c r="D1469">
        <v>6.7</v>
      </c>
      <c r="E1469">
        <v>1.7</v>
      </c>
      <c r="F1469">
        <v>5.7</v>
      </c>
      <c r="G1469">
        <v>3.16</v>
      </c>
      <c r="H1469" t="s">
        <v>8</v>
      </c>
      <c r="I1469">
        <v>17.299999999999997</v>
      </c>
      <c r="J1469" t="s">
        <v>15</v>
      </c>
      <c r="K1469">
        <v>2.5</v>
      </c>
      <c r="L1469" t="s">
        <v>52</v>
      </c>
      <c r="M1469" s="8">
        <v>0.41</v>
      </c>
    </row>
    <row r="1470" spans="1:13" x14ac:dyDescent="0.25">
      <c r="A1470">
        <v>1469</v>
      </c>
      <c r="B1470">
        <v>10</v>
      </c>
      <c r="C1470">
        <v>3</v>
      </c>
      <c r="D1470">
        <v>8.1999999999999993</v>
      </c>
      <c r="E1470">
        <v>1</v>
      </c>
      <c r="F1470">
        <v>1.8</v>
      </c>
      <c r="G1470">
        <v>3.81</v>
      </c>
      <c r="H1470" t="s">
        <v>10</v>
      </c>
      <c r="I1470">
        <v>15.8</v>
      </c>
      <c r="J1470" t="s">
        <v>14</v>
      </c>
      <c r="K1470">
        <v>4.12</v>
      </c>
      <c r="L1470" t="s">
        <v>52</v>
      </c>
      <c r="M1470" s="8">
        <v>0.63</v>
      </c>
    </row>
    <row r="1471" spans="1:13" x14ac:dyDescent="0.25">
      <c r="A1471">
        <v>1470</v>
      </c>
      <c r="B1471">
        <v>7.7</v>
      </c>
      <c r="C1471">
        <v>3.4</v>
      </c>
      <c r="D1471">
        <v>5.2</v>
      </c>
      <c r="E1471">
        <v>2.2000000000000002</v>
      </c>
      <c r="F1471">
        <v>5.5</v>
      </c>
      <c r="G1471">
        <v>3.22</v>
      </c>
      <c r="H1471" t="s">
        <v>10</v>
      </c>
      <c r="I1471">
        <v>18.8</v>
      </c>
      <c r="J1471" t="s">
        <v>15</v>
      </c>
      <c r="K1471">
        <v>2.42</v>
      </c>
      <c r="L1471" t="s">
        <v>52</v>
      </c>
      <c r="M1471" s="8">
        <v>0.41</v>
      </c>
    </row>
    <row r="1472" spans="1:13" x14ac:dyDescent="0.25">
      <c r="A1472">
        <v>1471</v>
      </c>
      <c r="B1472">
        <v>6.2</v>
      </c>
      <c r="C1472">
        <v>1.8</v>
      </c>
      <c r="D1472">
        <v>5.4</v>
      </c>
      <c r="E1472">
        <v>5.7</v>
      </c>
      <c r="F1472">
        <v>4.9000000000000004</v>
      </c>
      <c r="G1472">
        <v>2.98</v>
      </c>
      <c r="H1472" t="s">
        <v>10</v>
      </c>
      <c r="I1472">
        <v>18.600000000000001</v>
      </c>
      <c r="J1472" t="s">
        <v>13</v>
      </c>
      <c r="K1472">
        <v>1.97</v>
      </c>
      <c r="L1472" t="s">
        <v>52</v>
      </c>
      <c r="M1472" s="8">
        <v>0.33</v>
      </c>
    </row>
    <row r="1473" spans="1:13" x14ac:dyDescent="0.25">
      <c r="A1473">
        <v>1472</v>
      </c>
      <c r="B1473">
        <v>7.8</v>
      </c>
      <c r="C1473">
        <v>3.7</v>
      </c>
      <c r="D1473">
        <v>5</v>
      </c>
      <c r="E1473">
        <v>4.5</v>
      </c>
      <c r="F1473">
        <v>3</v>
      </c>
      <c r="G1473">
        <v>3.16</v>
      </c>
      <c r="H1473" t="s">
        <v>10</v>
      </c>
      <c r="I1473">
        <v>19</v>
      </c>
      <c r="J1473" t="s">
        <v>15</v>
      </c>
      <c r="K1473">
        <v>2.12</v>
      </c>
      <c r="L1473" t="s">
        <v>52</v>
      </c>
      <c r="M1473" s="8">
        <v>0.41</v>
      </c>
    </row>
    <row r="1474" spans="1:13" x14ac:dyDescent="0.25">
      <c r="A1474">
        <v>1473</v>
      </c>
      <c r="B1474">
        <v>9.5</v>
      </c>
      <c r="C1474">
        <v>0.6</v>
      </c>
      <c r="D1474">
        <v>5.5</v>
      </c>
      <c r="E1474">
        <v>2.5</v>
      </c>
      <c r="F1474">
        <v>5.9</v>
      </c>
      <c r="G1474">
        <v>3.44</v>
      </c>
      <c r="H1474" t="s">
        <v>10</v>
      </c>
      <c r="I1474">
        <v>18.5</v>
      </c>
      <c r="J1474" t="s">
        <v>15</v>
      </c>
      <c r="K1474">
        <v>3.92</v>
      </c>
      <c r="L1474" t="s">
        <v>52</v>
      </c>
      <c r="M1474" s="8">
        <v>0.51</v>
      </c>
    </row>
    <row r="1475" spans="1:13" x14ac:dyDescent="0.25">
      <c r="A1475">
        <v>1474</v>
      </c>
      <c r="B1475">
        <v>7.6</v>
      </c>
      <c r="C1475">
        <v>0.6</v>
      </c>
      <c r="D1475">
        <v>5</v>
      </c>
      <c r="E1475">
        <v>4.9000000000000004</v>
      </c>
      <c r="F1475">
        <v>5.9</v>
      </c>
      <c r="G1475">
        <v>3.29</v>
      </c>
      <c r="H1475" t="s">
        <v>10</v>
      </c>
      <c r="I1475">
        <v>19</v>
      </c>
      <c r="J1475" t="s">
        <v>15</v>
      </c>
      <c r="K1475">
        <v>2.98</v>
      </c>
      <c r="L1475" t="s">
        <v>52</v>
      </c>
      <c r="M1475" s="8">
        <v>0.4</v>
      </c>
    </row>
    <row r="1476" spans="1:13" x14ac:dyDescent="0.25">
      <c r="A1476">
        <v>1475</v>
      </c>
      <c r="B1476">
        <v>5.4</v>
      </c>
      <c r="C1476">
        <v>2.5</v>
      </c>
      <c r="D1476">
        <v>9.6</v>
      </c>
      <c r="E1476">
        <v>1.3</v>
      </c>
      <c r="F1476">
        <v>5.2</v>
      </c>
      <c r="G1476">
        <v>2.69</v>
      </c>
      <c r="H1476" t="s">
        <v>9</v>
      </c>
      <c r="I1476">
        <v>14.400000000000002</v>
      </c>
      <c r="J1476" t="s">
        <v>13</v>
      </c>
      <c r="K1476">
        <v>2.02</v>
      </c>
      <c r="L1476" t="s">
        <v>52</v>
      </c>
      <c r="M1476" s="8">
        <v>0.38</v>
      </c>
    </row>
    <row r="1477" spans="1:13" x14ac:dyDescent="0.25">
      <c r="A1477">
        <v>1476</v>
      </c>
      <c r="B1477">
        <v>8</v>
      </c>
      <c r="C1477">
        <v>0.7</v>
      </c>
      <c r="D1477">
        <v>8.6999999999999993</v>
      </c>
      <c r="E1477">
        <v>1.8</v>
      </c>
      <c r="F1477">
        <v>4.8</v>
      </c>
      <c r="G1477">
        <v>3.25</v>
      </c>
      <c r="H1477" t="s">
        <v>8</v>
      </c>
      <c r="I1477">
        <v>15.3</v>
      </c>
      <c r="J1477" t="s">
        <v>15</v>
      </c>
      <c r="K1477">
        <v>3.28</v>
      </c>
      <c r="L1477" t="s">
        <v>52</v>
      </c>
      <c r="M1477" s="8">
        <v>0.52</v>
      </c>
    </row>
    <row r="1478" spans="1:13" x14ac:dyDescent="0.25">
      <c r="A1478">
        <v>1477</v>
      </c>
      <c r="B1478">
        <v>7.3</v>
      </c>
      <c r="C1478">
        <v>2.4</v>
      </c>
      <c r="D1478">
        <v>5.9</v>
      </c>
      <c r="E1478">
        <v>4.4000000000000004</v>
      </c>
      <c r="F1478">
        <v>4</v>
      </c>
      <c r="G1478">
        <v>3.3</v>
      </c>
      <c r="H1478" t="s">
        <v>10</v>
      </c>
      <c r="I1478">
        <v>18.100000000000001</v>
      </c>
      <c r="J1478" t="s">
        <v>15</v>
      </c>
      <c r="K1478">
        <v>2.04</v>
      </c>
      <c r="L1478" t="s">
        <v>52</v>
      </c>
      <c r="M1478" s="8">
        <v>0.4</v>
      </c>
    </row>
    <row r="1479" spans="1:13" x14ac:dyDescent="0.25">
      <c r="A1479">
        <v>1478</v>
      </c>
      <c r="B1479">
        <v>5.8</v>
      </c>
      <c r="C1479">
        <v>2.8</v>
      </c>
      <c r="D1479">
        <v>5.6</v>
      </c>
      <c r="E1479">
        <v>2.6</v>
      </c>
      <c r="F1479">
        <v>7.2</v>
      </c>
      <c r="G1479">
        <v>2.62</v>
      </c>
      <c r="H1479" t="s">
        <v>10</v>
      </c>
      <c r="I1479">
        <v>18.399999999999999</v>
      </c>
      <c r="J1479" t="s">
        <v>13</v>
      </c>
      <c r="K1479">
        <v>2.27</v>
      </c>
      <c r="L1479" t="s">
        <v>52</v>
      </c>
      <c r="M1479" s="8">
        <v>0.32</v>
      </c>
    </row>
    <row r="1480" spans="1:13" x14ac:dyDescent="0.25">
      <c r="A1480">
        <v>1479</v>
      </c>
      <c r="B1480">
        <v>6.2</v>
      </c>
      <c r="C1480">
        <v>3</v>
      </c>
      <c r="D1480">
        <v>6.3</v>
      </c>
      <c r="E1480">
        <v>5.3</v>
      </c>
      <c r="F1480">
        <v>3.2</v>
      </c>
      <c r="G1480">
        <v>2.91</v>
      </c>
      <c r="H1480" t="s">
        <v>8</v>
      </c>
      <c r="I1480">
        <v>17.7</v>
      </c>
      <c r="J1480" t="s">
        <v>13</v>
      </c>
      <c r="K1480">
        <v>1.58</v>
      </c>
      <c r="L1480" t="s">
        <v>52</v>
      </c>
      <c r="M1480" s="8">
        <v>0.35</v>
      </c>
    </row>
    <row r="1481" spans="1:13" x14ac:dyDescent="0.25">
      <c r="A1481">
        <v>1480</v>
      </c>
      <c r="B1481">
        <v>8.1</v>
      </c>
      <c r="C1481">
        <v>0.4</v>
      </c>
      <c r="D1481">
        <v>7</v>
      </c>
      <c r="E1481">
        <v>4.3</v>
      </c>
      <c r="F1481">
        <v>4.2</v>
      </c>
      <c r="G1481">
        <v>3.24</v>
      </c>
      <c r="H1481" t="s">
        <v>10</v>
      </c>
      <c r="I1481">
        <v>17</v>
      </c>
      <c r="J1481" t="s">
        <v>15</v>
      </c>
      <c r="K1481">
        <v>3.14</v>
      </c>
      <c r="L1481" t="s">
        <v>52</v>
      </c>
      <c r="M1481" s="8">
        <v>0.48</v>
      </c>
    </row>
    <row r="1482" spans="1:13" x14ac:dyDescent="0.25">
      <c r="A1482">
        <v>1481</v>
      </c>
      <c r="B1482">
        <v>8.3000000000000007</v>
      </c>
      <c r="C1482">
        <v>2.5</v>
      </c>
      <c r="D1482">
        <v>6.4</v>
      </c>
      <c r="E1482">
        <v>2.2999999999999998</v>
      </c>
      <c r="F1482">
        <v>4.5</v>
      </c>
      <c r="G1482">
        <v>3.31</v>
      </c>
      <c r="H1482" t="s">
        <v>10</v>
      </c>
      <c r="I1482">
        <v>17.600000000000001</v>
      </c>
      <c r="J1482" t="s">
        <v>15</v>
      </c>
      <c r="K1482">
        <v>2.78</v>
      </c>
      <c r="L1482" t="s">
        <v>52</v>
      </c>
      <c r="M1482" s="8">
        <v>0.47</v>
      </c>
    </row>
    <row r="1483" spans="1:13" x14ac:dyDescent="0.25">
      <c r="A1483">
        <v>1482</v>
      </c>
      <c r="B1483">
        <v>7.5</v>
      </c>
      <c r="C1483">
        <v>2.8</v>
      </c>
      <c r="D1483">
        <v>6.2</v>
      </c>
      <c r="E1483">
        <v>1.9</v>
      </c>
      <c r="F1483">
        <v>5.6</v>
      </c>
      <c r="G1483">
        <v>3.02</v>
      </c>
      <c r="H1483" t="s">
        <v>8</v>
      </c>
      <c r="I1483">
        <v>17.8</v>
      </c>
      <c r="J1483" t="s">
        <v>15</v>
      </c>
      <c r="K1483">
        <v>2.57</v>
      </c>
      <c r="L1483" t="s">
        <v>52</v>
      </c>
      <c r="M1483" s="8">
        <v>0.42</v>
      </c>
    </row>
    <row r="1484" spans="1:13" x14ac:dyDescent="0.25">
      <c r="A1484">
        <v>1483</v>
      </c>
      <c r="B1484">
        <v>6.7</v>
      </c>
      <c r="C1484">
        <v>0.1</v>
      </c>
      <c r="D1484">
        <v>6.7</v>
      </c>
      <c r="E1484">
        <v>4.8</v>
      </c>
      <c r="F1484">
        <v>5.7</v>
      </c>
      <c r="G1484">
        <v>3.01</v>
      </c>
      <c r="H1484" t="s">
        <v>8</v>
      </c>
      <c r="I1484">
        <v>17.3</v>
      </c>
      <c r="J1484" t="s">
        <v>15</v>
      </c>
      <c r="K1484">
        <v>2.92</v>
      </c>
      <c r="L1484" t="s">
        <v>52</v>
      </c>
      <c r="M1484" s="8">
        <v>0.39</v>
      </c>
    </row>
    <row r="1485" spans="1:13" x14ac:dyDescent="0.25">
      <c r="A1485">
        <v>1484</v>
      </c>
      <c r="B1485">
        <v>7.3</v>
      </c>
      <c r="C1485">
        <v>0.1</v>
      </c>
      <c r="D1485">
        <v>9.4</v>
      </c>
      <c r="E1485">
        <v>0.1</v>
      </c>
      <c r="F1485">
        <v>7.1</v>
      </c>
      <c r="G1485">
        <v>3.29</v>
      </c>
      <c r="H1485" t="s">
        <v>8</v>
      </c>
      <c r="I1485">
        <v>14.599999999999998</v>
      </c>
      <c r="J1485" t="s">
        <v>15</v>
      </c>
      <c r="K1485">
        <v>4.0999999999999996</v>
      </c>
      <c r="L1485" t="s">
        <v>52</v>
      </c>
      <c r="M1485" s="8">
        <v>0.5</v>
      </c>
    </row>
    <row r="1486" spans="1:13" x14ac:dyDescent="0.25">
      <c r="A1486">
        <v>1485</v>
      </c>
      <c r="B1486">
        <v>9.6999999999999993</v>
      </c>
      <c r="C1486">
        <v>2</v>
      </c>
      <c r="D1486">
        <v>6.7</v>
      </c>
      <c r="E1486">
        <v>5.2</v>
      </c>
      <c r="F1486">
        <v>0.4</v>
      </c>
      <c r="G1486">
        <v>3.47</v>
      </c>
      <c r="H1486" t="s">
        <v>10</v>
      </c>
      <c r="I1486">
        <v>17.299999999999997</v>
      </c>
      <c r="J1486" t="s">
        <v>15</v>
      </c>
      <c r="K1486">
        <v>4.0999999999999996</v>
      </c>
      <c r="L1486" t="s">
        <v>52</v>
      </c>
      <c r="M1486" s="8">
        <v>0.56000000000000005</v>
      </c>
    </row>
    <row r="1487" spans="1:13" x14ac:dyDescent="0.25">
      <c r="A1487">
        <v>1486</v>
      </c>
      <c r="B1487">
        <v>7.7</v>
      </c>
      <c r="C1487">
        <v>0.9</v>
      </c>
      <c r="D1487">
        <v>7.1</v>
      </c>
      <c r="E1487">
        <v>3.9</v>
      </c>
      <c r="F1487">
        <v>4.4000000000000004</v>
      </c>
      <c r="G1487">
        <v>3.08</v>
      </c>
      <c r="H1487" t="s">
        <v>8</v>
      </c>
      <c r="I1487">
        <v>16.899999999999999</v>
      </c>
      <c r="J1487" t="s">
        <v>15</v>
      </c>
      <c r="K1487">
        <v>2.78</v>
      </c>
      <c r="L1487" t="s">
        <v>52</v>
      </c>
      <c r="M1487" s="8">
        <v>0.46</v>
      </c>
    </row>
    <row r="1488" spans="1:13" x14ac:dyDescent="0.25">
      <c r="A1488">
        <v>1487</v>
      </c>
      <c r="B1488">
        <v>8.6</v>
      </c>
      <c r="C1488">
        <v>0</v>
      </c>
      <c r="D1488">
        <v>9.6999999999999993</v>
      </c>
      <c r="E1488">
        <v>0.9</v>
      </c>
      <c r="F1488">
        <v>4.8</v>
      </c>
      <c r="G1488">
        <v>3.14</v>
      </c>
      <c r="H1488" t="s">
        <v>10</v>
      </c>
      <c r="I1488">
        <v>14.3</v>
      </c>
      <c r="J1488" t="s">
        <v>15</v>
      </c>
      <c r="K1488">
        <v>3.94</v>
      </c>
      <c r="L1488" t="s">
        <v>52</v>
      </c>
      <c r="M1488" s="8">
        <v>0.6</v>
      </c>
    </row>
    <row r="1489" spans="1:13" x14ac:dyDescent="0.25">
      <c r="A1489">
        <v>1488</v>
      </c>
      <c r="B1489">
        <v>5.2</v>
      </c>
      <c r="C1489">
        <v>0.5</v>
      </c>
      <c r="D1489">
        <v>9.9</v>
      </c>
      <c r="E1489">
        <v>1.9</v>
      </c>
      <c r="F1489">
        <v>6.5</v>
      </c>
      <c r="G1489">
        <v>2.61</v>
      </c>
      <c r="H1489" t="s">
        <v>9</v>
      </c>
      <c r="I1489">
        <v>14.1</v>
      </c>
      <c r="J1489" t="s">
        <v>13</v>
      </c>
      <c r="K1489">
        <v>2.8</v>
      </c>
      <c r="L1489" t="s">
        <v>52</v>
      </c>
      <c r="M1489" s="8">
        <v>0.37</v>
      </c>
    </row>
    <row r="1490" spans="1:13" x14ac:dyDescent="0.25">
      <c r="A1490">
        <v>1489</v>
      </c>
      <c r="B1490">
        <v>5.6</v>
      </c>
      <c r="C1490">
        <v>0.4</v>
      </c>
      <c r="D1490">
        <v>8.6</v>
      </c>
      <c r="E1490">
        <v>5.0999999999999996</v>
      </c>
      <c r="F1490">
        <v>4.3</v>
      </c>
      <c r="G1490">
        <v>2.81</v>
      </c>
      <c r="H1490" t="s">
        <v>9</v>
      </c>
      <c r="I1490">
        <v>15.399999999999999</v>
      </c>
      <c r="J1490" t="s">
        <v>13</v>
      </c>
      <c r="K1490">
        <v>2.36</v>
      </c>
      <c r="L1490" t="s">
        <v>52</v>
      </c>
      <c r="M1490" s="8">
        <v>0.36</v>
      </c>
    </row>
    <row r="1491" spans="1:13" x14ac:dyDescent="0.25">
      <c r="A1491">
        <v>1490</v>
      </c>
      <c r="B1491">
        <v>6.1</v>
      </c>
      <c r="C1491">
        <v>2.1</v>
      </c>
      <c r="D1491">
        <v>6.3</v>
      </c>
      <c r="E1491">
        <v>5.6</v>
      </c>
      <c r="F1491">
        <v>3.9</v>
      </c>
      <c r="G1491">
        <v>2.73</v>
      </c>
      <c r="H1491" t="s">
        <v>8</v>
      </c>
      <c r="I1491">
        <v>17.7</v>
      </c>
      <c r="J1491" t="s">
        <v>13</v>
      </c>
      <c r="K1491">
        <v>1.81</v>
      </c>
      <c r="L1491" t="s">
        <v>52</v>
      </c>
      <c r="M1491" s="8">
        <v>0.34</v>
      </c>
    </row>
    <row r="1492" spans="1:13" x14ac:dyDescent="0.25">
      <c r="A1492">
        <v>1491</v>
      </c>
      <c r="B1492">
        <v>9.5</v>
      </c>
      <c r="C1492">
        <v>2.2999999999999998</v>
      </c>
      <c r="D1492">
        <v>6.8</v>
      </c>
      <c r="E1492">
        <v>2.1</v>
      </c>
      <c r="F1492">
        <v>3.3</v>
      </c>
      <c r="G1492">
        <v>3.74</v>
      </c>
      <c r="H1492" t="s">
        <v>10</v>
      </c>
      <c r="I1492">
        <v>17.2</v>
      </c>
      <c r="J1492" t="s">
        <v>14</v>
      </c>
      <c r="K1492">
        <v>3.51</v>
      </c>
      <c r="L1492" t="s">
        <v>52</v>
      </c>
      <c r="M1492" s="8">
        <v>0.55000000000000004</v>
      </c>
    </row>
    <row r="1493" spans="1:13" x14ac:dyDescent="0.25">
      <c r="A1493">
        <v>1492</v>
      </c>
      <c r="B1493">
        <v>7.3</v>
      </c>
      <c r="C1493">
        <v>3.4</v>
      </c>
      <c r="D1493">
        <v>9.6999999999999993</v>
      </c>
      <c r="E1493">
        <v>1.2</v>
      </c>
      <c r="F1493">
        <v>2.4</v>
      </c>
      <c r="G1493">
        <v>2.97</v>
      </c>
      <c r="H1493" t="s">
        <v>8</v>
      </c>
      <c r="I1493">
        <v>14.299999999999999</v>
      </c>
      <c r="J1493" t="s">
        <v>13</v>
      </c>
      <c r="K1493">
        <v>2.64</v>
      </c>
      <c r="L1493" t="s">
        <v>52</v>
      </c>
      <c r="M1493" s="8">
        <v>0.51</v>
      </c>
    </row>
    <row r="1494" spans="1:13" x14ac:dyDescent="0.25">
      <c r="A1494">
        <v>1493</v>
      </c>
      <c r="B1494">
        <v>7.8</v>
      </c>
      <c r="C1494">
        <v>0.4</v>
      </c>
      <c r="D1494">
        <v>6</v>
      </c>
      <c r="E1494">
        <v>2.5</v>
      </c>
      <c r="F1494">
        <v>7.3</v>
      </c>
      <c r="G1494">
        <v>3.24</v>
      </c>
      <c r="H1494" t="s">
        <v>8</v>
      </c>
      <c r="I1494">
        <v>18</v>
      </c>
      <c r="J1494" t="s">
        <v>15</v>
      </c>
      <c r="K1494">
        <v>3.63</v>
      </c>
      <c r="L1494" t="s">
        <v>52</v>
      </c>
      <c r="M1494" s="8">
        <v>0.43</v>
      </c>
    </row>
    <row r="1495" spans="1:13" x14ac:dyDescent="0.25">
      <c r="A1495">
        <v>1494</v>
      </c>
      <c r="B1495">
        <v>5.8</v>
      </c>
      <c r="C1495">
        <v>1.8</v>
      </c>
      <c r="D1495">
        <v>8</v>
      </c>
      <c r="E1495">
        <v>4.2</v>
      </c>
      <c r="F1495">
        <v>4.2</v>
      </c>
      <c r="G1495">
        <v>2.82</v>
      </c>
      <c r="H1495" t="s">
        <v>9</v>
      </c>
      <c r="I1495">
        <v>16</v>
      </c>
      <c r="J1495" t="s">
        <v>13</v>
      </c>
      <c r="K1495">
        <v>1.65</v>
      </c>
      <c r="L1495" t="s">
        <v>52</v>
      </c>
      <c r="M1495" s="8">
        <v>0.36</v>
      </c>
    </row>
    <row r="1496" spans="1:13" x14ac:dyDescent="0.25">
      <c r="A1496">
        <v>1495</v>
      </c>
      <c r="B1496">
        <v>6.9</v>
      </c>
      <c r="C1496">
        <v>3.5</v>
      </c>
      <c r="D1496">
        <v>7.8</v>
      </c>
      <c r="E1496">
        <v>2.5</v>
      </c>
      <c r="F1496">
        <v>3.3</v>
      </c>
      <c r="G1496">
        <v>3.02</v>
      </c>
      <c r="H1496" t="s">
        <v>8</v>
      </c>
      <c r="I1496">
        <v>16.2</v>
      </c>
      <c r="J1496" t="s">
        <v>15</v>
      </c>
      <c r="K1496">
        <v>1.95</v>
      </c>
      <c r="L1496" t="s">
        <v>52</v>
      </c>
      <c r="M1496" s="8">
        <v>0.43</v>
      </c>
    </row>
    <row r="1497" spans="1:13" x14ac:dyDescent="0.25">
      <c r="A1497">
        <v>1496</v>
      </c>
      <c r="B1497">
        <v>9.1</v>
      </c>
      <c r="C1497">
        <v>2.5</v>
      </c>
      <c r="D1497">
        <v>9.1999999999999993</v>
      </c>
      <c r="E1497">
        <v>1.6</v>
      </c>
      <c r="F1497">
        <v>1.6</v>
      </c>
      <c r="G1497">
        <v>3.22</v>
      </c>
      <c r="H1497" t="s">
        <v>10</v>
      </c>
      <c r="I1497">
        <v>14.799999999999999</v>
      </c>
      <c r="J1497" t="s">
        <v>15</v>
      </c>
      <c r="K1497">
        <v>3.62</v>
      </c>
      <c r="L1497" t="s">
        <v>52</v>
      </c>
      <c r="M1497" s="8">
        <v>0.61</v>
      </c>
    </row>
    <row r="1498" spans="1:13" x14ac:dyDescent="0.25">
      <c r="A1498">
        <v>1497</v>
      </c>
      <c r="B1498">
        <v>5.6</v>
      </c>
      <c r="C1498">
        <v>0.1</v>
      </c>
      <c r="D1498">
        <v>6.5</v>
      </c>
      <c r="E1498">
        <v>4.2</v>
      </c>
      <c r="F1498">
        <v>7.6</v>
      </c>
      <c r="G1498">
        <v>2.71</v>
      </c>
      <c r="H1498" t="s">
        <v>9</v>
      </c>
      <c r="I1498">
        <v>17.5</v>
      </c>
      <c r="J1498" t="s">
        <v>13</v>
      </c>
      <c r="K1498">
        <v>3.17</v>
      </c>
      <c r="L1498" t="s">
        <v>52</v>
      </c>
      <c r="M1498" s="8">
        <v>0.32</v>
      </c>
    </row>
    <row r="1499" spans="1:13" x14ac:dyDescent="0.25">
      <c r="A1499">
        <v>1498</v>
      </c>
      <c r="B1499">
        <v>7.5</v>
      </c>
      <c r="C1499">
        <v>1.7</v>
      </c>
      <c r="D1499">
        <v>7.1</v>
      </c>
      <c r="E1499">
        <v>1.4</v>
      </c>
      <c r="F1499">
        <v>6.3</v>
      </c>
      <c r="G1499">
        <v>3.32</v>
      </c>
      <c r="H1499" t="s">
        <v>8</v>
      </c>
      <c r="I1499">
        <v>16.899999999999999</v>
      </c>
      <c r="J1499" t="s">
        <v>15</v>
      </c>
      <c r="K1499">
        <v>3.13</v>
      </c>
      <c r="L1499" t="s">
        <v>52</v>
      </c>
      <c r="M1499" s="8">
        <v>0.44</v>
      </c>
    </row>
    <row r="1500" spans="1:13" x14ac:dyDescent="0.25">
      <c r="A1500">
        <v>1499</v>
      </c>
      <c r="B1500">
        <v>5.7</v>
      </c>
      <c r="C1500">
        <v>0.8</v>
      </c>
      <c r="D1500">
        <v>5.3</v>
      </c>
      <c r="E1500">
        <v>1.2</v>
      </c>
      <c r="F1500">
        <v>11</v>
      </c>
      <c r="G1500">
        <v>2.74</v>
      </c>
      <c r="H1500" t="s">
        <v>10</v>
      </c>
      <c r="I1500">
        <v>18.7</v>
      </c>
      <c r="J1500" t="s">
        <v>13</v>
      </c>
      <c r="K1500">
        <v>4.7699999999999996</v>
      </c>
      <c r="L1500" t="s">
        <v>52</v>
      </c>
      <c r="M1500" s="8">
        <v>0.3</v>
      </c>
    </row>
    <row r="1501" spans="1:13" x14ac:dyDescent="0.25">
      <c r="A1501">
        <v>1500</v>
      </c>
      <c r="B1501">
        <v>6.8</v>
      </c>
      <c r="C1501">
        <v>0</v>
      </c>
      <c r="D1501">
        <v>9.1999999999999993</v>
      </c>
      <c r="E1501">
        <v>0.2</v>
      </c>
      <c r="F1501">
        <v>7.8</v>
      </c>
      <c r="G1501">
        <v>2.8</v>
      </c>
      <c r="H1501" t="s">
        <v>8</v>
      </c>
      <c r="I1501">
        <v>14.8</v>
      </c>
      <c r="J1501" t="s">
        <v>13</v>
      </c>
      <c r="K1501">
        <v>4.18</v>
      </c>
      <c r="L1501" t="s">
        <v>52</v>
      </c>
      <c r="M1501" s="8">
        <v>0.46</v>
      </c>
    </row>
    <row r="1502" spans="1:13" x14ac:dyDescent="0.25">
      <c r="A1502">
        <v>1501</v>
      </c>
      <c r="B1502">
        <v>9.6999999999999993</v>
      </c>
      <c r="C1502">
        <v>3.6</v>
      </c>
      <c r="D1502">
        <v>7.7</v>
      </c>
      <c r="E1502">
        <v>1.6</v>
      </c>
      <c r="F1502">
        <v>1.4</v>
      </c>
      <c r="G1502">
        <v>3.22</v>
      </c>
      <c r="H1502" t="s">
        <v>10</v>
      </c>
      <c r="I1502">
        <v>16.299999999999997</v>
      </c>
      <c r="J1502" t="s">
        <v>15</v>
      </c>
      <c r="K1502">
        <v>3.88</v>
      </c>
      <c r="L1502" t="s">
        <v>52</v>
      </c>
      <c r="M1502" s="8">
        <v>0.6</v>
      </c>
    </row>
    <row r="1503" spans="1:13" x14ac:dyDescent="0.25">
      <c r="A1503">
        <v>1502</v>
      </c>
      <c r="B1503">
        <v>8.1999999999999993</v>
      </c>
      <c r="C1503">
        <v>0.2</v>
      </c>
      <c r="D1503">
        <v>5.3</v>
      </c>
      <c r="E1503">
        <v>2.7</v>
      </c>
      <c r="F1503">
        <v>7.6</v>
      </c>
      <c r="G1503">
        <v>3.55</v>
      </c>
      <c r="H1503" t="s">
        <v>10</v>
      </c>
      <c r="I1503">
        <v>18.699999999999996</v>
      </c>
      <c r="J1503" t="s">
        <v>14</v>
      </c>
      <c r="K1503">
        <v>3.87</v>
      </c>
      <c r="L1503" t="s">
        <v>52</v>
      </c>
      <c r="M1503" s="8">
        <v>0.44</v>
      </c>
    </row>
    <row r="1504" spans="1:13" x14ac:dyDescent="0.25">
      <c r="A1504">
        <v>1503</v>
      </c>
      <c r="B1504">
        <v>7.7</v>
      </c>
      <c r="C1504">
        <v>3.6</v>
      </c>
      <c r="D1504">
        <v>5.5</v>
      </c>
      <c r="E1504">
        <v>4.9000000000000004</v>
      </c>
      <c r="F1504">
        <v>2.2999999999999998</v>
      </c>
      <c r="G1504">
        <v>3.06</v>
      </c>
      <c r="H1504" t="s">
        <v>10</v>
      </c>
      <c r="I1504">
        <v>18.500000000000004</v>
      </c>
      <c r="J1504" t="s">
        <v>15</v>
      </c>
      <c r="K1504">
        <v>2.31</v>
      </c>
      <c r="L1504" t="s">
        <v>52</v>
      </c>
      <c r="M1504" s="8">
        <v>0.42</v>
      </c>
    </row>
    <row r="1505" spans="1:13" x14ac:dyDescent="0.25">
      <c r="A1505">
        <v>1504</v>
      </c>
      <c r="B1505">
        <v>6.6</v>
      </c>
      <c r="C1505">
        <v>1.6</v>
      </c>
      <c r="D1505">
        <v>5.8</v>
      </c>
      <c r="E1505">
        <v>3</v>
      </c>
      <c r="F1505">
        <v>7</v>
      </c>
      <c r="G1505">
        <v>2.73</v>
      </c>
      <c r="H1505" t="s">
        <v>10</v>
      </c>
      <c r="I1505">
        <v>18.2</v>
      </c>
      <c r="J1505" t="s">
        <v>13</v>
      </c>
      <c r="K1505">
        <v>2.67</v>
      </c>
      <c r="L1505" t="s">
        <v>52</v>
      </c>
      <c r="M1505" s="8">
        <v>0.36</v>
      </c>
    </row>
    <row r="1506" spans="1:13" x14ac:dyDescent="0.25">
      <c r="A1506">
        <v>1505</v>
      </c>
      <c r="B1506">
        <v>9</v>
      </c>
      <c r="C1506">
        <v>1.8</v>
      </c>
      <c r="D1506">
        <v>7.5</v>
      </c>
      <c r="E1506">
        <v>4.8</v>
      </c>
      <c r="F1506">
        <v>0.9</v>
      </c>
      <c r="G1506">
        <v>3.33</v>
      </c>
      <c r="H1506" t="s">
        <v>10</v>
      </c>
      <c r="I1506">
        <v>16.5</v>
      </c>
      <c r="J1506" t="s">
        <v>15</v>
      </c>
      <c r="K1506">
        <v>3.65</v>
      </c>
      <c r="L1506" t="s">
        <v>52</v>
      </c>
      <c r="M1506" s="8">
        <v>0.55000000000000004</v>
      </c>
    </row>
    <row r="1507" spans="1:13" x14ac:dyDescent="0.25">
      <c r="A1507">
        <v>1506</v>
      </c>
      <c r="B1507">
        <v>6.3</v>
      </c>
      <c r="C1507">
        <v>3.5</v>
      </c>
      <c r="D1507">
        <v>7.9</v>
      </c>
      <c r="E1507">
        <v>1.3</v>
      </c>
      <c r="F1507">
        <v>5</v>
      </c>
      <c r="G1507">
        <v>3.32</v>
      </c>
      <c r="H1507" t="s">
        <v>8</v>
      </c>
      <c r="I1507">
        <v>16.100000000000001</v>
      </c>
      <c r="J1507" t="s">
        <v>15</v>
      </c>
      <c r="K1507">
        <v>2.15</v>
      </c>
      <c r="L1507" t="s">
        <v>52</v>
      </c>
      <c r="M1507" s="8">
        <v>0.39</v>
      </c>
    </row>
    <row r="1508" spans="1:13" x14ac:dyDescent="0.25">
      <c r="A1508">
        <v>1507</v>
      </c>
      <c r="B1508">
        <v>6.3</v>
      </c>
      <c r="C1508">
        <v>3.2</v>
      </c>
      <c r="D1508">
        <v>5.2</v>
      </c>
      <c r="E1508">
        <v>6</v>
      </c>
      <c r="F1508">
        <v>3.3</v>
      </c>
      <c r="G1508">
        <v>3</v>
      </c>
      <c r="H1508" t="s">
        <v>10</v>
      </c>
      <c r="I1508">
        <v>18.8</v>
      </c>
      <c r="J1508" t="s">
        <v>15</v>
      </c>
      <c r="K1508">
        <v>1.68</v>
      </c>
      <c r="L1508" t="s">
        <v>52</v>
      </c>
      <c r="M1508" s="8">
        <v>0.34</v>
      </c>
    </row>
    <row r="1509" spans="1:13" x14ac:dyDescent="0.25">
      <c r="A1509">
        <v>1508</v>
      </c>
      <c r="B1509">
        <v>7</v>
      </c>
      <c r="C1509">
        <v>2</v>
      </c>
      <c r="D1509">
        <v>9.4</v>
      </c>
      <c r="E1509">
        <v>2.2999999999999998</v>
      </c>
      <c r="F1509">
        <v>3.3</v>
      </c>
      <c r="G1509">
        <v>2.98</v>
      </c>
      <c r="H1509" t="s">
        <v>8</v>
      </c>
      <c r="I1509">
        <v>14.600000000000001</v>
      </c>
      <c r="J1509" t="s">
        <v>13</v>
      </c>
      <c r="K1509">
        <v>2.2999999999999998</v>
      </c>
      <c r="L1509" t="s">
        <v>52</v>
      </c>
      <c r="M1509" s="8">
        <v>0.48</v>
      </c>
    </row>
    <row r="1510" spans="1:13" x14ac:dyDescent="0.25">
      <c r="A1510">
        <v>1509</v>
      </c>
      <c r="B1510">
        <v>7.7</v>
      </c>
      <c r="C1510">
        <v>0.2</v>
      </c>
      <c r="D1510">
        <v>5</v>
      </c>
      <c r="E1510">
        <v>1.5</v>
      </c>
      <c r="F1510">
        <v>9.6</v>
      </c>
      <c r="G1510">
        <v>3</v>
      </c>
      <c r="H1510" t="s">
        <v>10</v>
      </c>
      <c r="I1510">
        <v>19</v>
      </c>
      <c r="J1510" t="s">
        <v>15</v>
      </c>
      <c r="K1510">
        <v>4.5999999999999996</v>
      </c>
      <c r="L1510" t="s">
        <v>52</v>
      </c>
      <c r="M1510" s="8">
        <v>0.41</v>
      </c>
    </row>
    <row r="1511" spans="1:13" x14ac:dyDescent="0.25">
      <c r="A1511">
        <v>1510</v>
      </c>
      <c r="B1511">
        <v>5.6</v>
      </c>
      <c r="C1511">
        <v>1.6</v>
      </c>
      <c r="D1511">
        <v>8.1999999999999993</v>
      </c>
      <c r="E1511">
        <v>4.3</v>
      </c>
      <c r="F1511">
        <v>4.3</v>
      </c>
      <c r="G1511">
        <v>2.91</v>
      </c>
      <c r="H1511" t="s">
        <v>9</v>
      </c>
      <c r="I1511">
        <v>15.8</v>
      </c>
      <c r="J1511" t="s">
        <v>13</v>
      </c>
      <c r="K1511">
        <v>1.68</v>
      </c>
      <c r="L1511" t="s">
        <v>52</v>
      </c>
      <c r="M1511" s="8">
        <v>0.35</v>
      </c>
    </row>
    <row r="1512" spans="1:13" x14ac:dyDescent="0.25">
      <c r="A1512">
        <v>1511</v>
      </c>
      <c r="B1512">
        <v>5.9</v>
      </c>
      <c r="C1512">
        <v>0.3</v>
      </c>
      <c r="D1512">
        <v>9.6999999999999993</v>
      </c>
      <c r="E1512">
        <v>1.6</v>
      </c>
      <c r="F1512">
        <v>6.5</v>
      </c>
      <c r="G1512">
        <v>2.76</v>
      </c>
      <c r="H1512" t="s">
        <v>9</v>
      </c>
      <c r="I1512">
        <v>14.3</v>
      </c>
      <c r="J1512" t="s">
        <v>13</v>
      </c>
      <c r="K1512">
        <v>3.09</v>
      </c>
      <c r="L1512" t="s">
        <v>52</v>
      </c>
      <c r="M1512" s="8">
        <v>0.41</v>
      </c>
    </row>
    <row r="1513" spans="1:13" x14ac:dyDescent="0.25">
      <c r="A1513">
        <v>1512</v>
      </c>
      <c r="B1513">
        <v>9.1</v>
      </c>
      <c r="C1513">
        <v>3.1</v>
      </c>
      <c r="D1513">
        <v>8</v>
      </c>
      <c r="E1513">
        <v>1.3</v>
      </c>
      <c r="F1513">
        <v>2.5</v>
      </c>
      <c r="G1513">
        <v>3.46</v>
      </c>
      <c r="H1513" t="s">
        <v>10</v>
      </c>
      <c r="I1513">
        <v>16</v>
      </c>
      <c r="J1513" t="s">
        <v>15</v>
      </c>
      <c r="K1513">
        <v>3.48</v>
      </c>
      <c r="L1513" t="s">
        <v>52</v>
      </c>
      <c r="M1513" s="8">
        <v>0.56999999999999995</v>
      </c>
    </row>
    <row r="1514" spans="1:13" x14ac:dyDescent="0.25">
      <c r="A1514">
        <v>1513</v>
      </c>
      <c r="B1514">
        <v>6.3</v>
      </c>
      <c r="C1514">
        <v>0.5</v>
      </c>
      <c r="D1514">
        <v>7.5</v>
      </c>
      <c r="E1514">
        <v>3.5</v>
      </c>
      <c r="F1514">
        <v>6.2</v>
      </c>
      <c r="G1514">
        <v>2.87</v>
      </c>
      <c r="H1514" t="s">
        <v>8</v>
      </c>
      <c r="I1514">
        <v>16.5</v>
      </c>
      <c r="J1514" t="s">
        <v>13</v>
      </c>
      <c r="K1514">
        <v>2.74</v>
      </c>
      <c r="L1514" t="s">
        <v>52</v>
      </c>
      <c r="M1514" s="8">
        <v>0.38</v>
      </c>
    </row>
    <row r="1515" spans="1:13" x14ac:dyDescent="0.25">
      <c r="A1515">
        <v>1514</v>
      </c>
      <c r="B1515">
        <v>6.8</v>
      </c>
      <c r="C1515">
        <v>2.6</v>
      </c>
      <c r="D1515">
        <v>9.5</v>
      </c>
      <c r="E1515">
        <v>0.8</v>
      </c>
      <c r="F1515">
        <v>4.3</v>
      </c>
      <c r="G1515">
        <v>2.58</v>
      </c>
      <c r="H1515" t="s">
        <v>8</v>
      </c>
      <c r="I1515">
        <v>14.5</v>
      </c>
      <c r="J1515" t="s">
        <v>13</v>
      </c>
      <c r="K1515">
        <v>2.5499999999999998</v>
      </c>
      <c r="L1515" t="s">
        <v>52</v>
      </c>
      <c r="M1515" s="8">
        <v>0.47</v>
      </c>
    </row>
    <row r="1516" spans="1:13" x14ac:dyDescent="0.25">
      <c r="A1516">
        <v>1515</v>
      </c>
      <c r="B1516">
        <v>6.9</v>
      </c>
      <c r="C1516">
        <v>0.6</v>
      </c>
      <c r="D1516">
        <v>8.1</v>
      </c>
      <c r="E1516">
        <v>4.4000000000000004</v>
      </c>
      <c r="F1516">
        <v>4</v>
      </c>
      <c r="G1516">
        <v>3</v>
      </c>
      <c r="H1516" t="s">
        <v>8</v>
      </c>
      <c r="I1516">
        <v>15.9</v>
      </c>
      <c r="J1516" t="s">
        <v>15</v>
      </c>
      <c r="K1516">
        <v>2.59</v>
      </c>
      <c r="L1516" t="s">
        <v>52</v>
      </c>
      <c r="M1516" s="8">
        <v>0.43</v>
      </c>
    </row>
    <row r="1517" spans="1:13" x14ac:dyDescent="0.25">
      <c r="A1517">
        <v>1516</v>
      </c>
      <c r="B1517">
        <v>9.8000000000000007</v>
      </c>
      <c r="C1517">
        <v>0.3</v>
      </c>
      <c r="D1517">
        <v>8</v>
      </c>
      <c r="E1517">
        <v>0.3</v>
      </c>
      <c r="F1517">
        <v>5.6</v>
      </c>
      <c r="G1517">
        <v>3.53</v>
      </c>
      <c r="H1517" t="s">
        <v>10</v>
      </c>
      <c r="I1517">
        <v>16</v>
      </c>
      <c r="J1517" t="s">
        <v>14</v>
      </c>
      <c r="K1517">
        <v>4.5999999999999996</v>
      </c>
      <c r="L1517" t="s">
        <v>52</v>
      </c>
      <c r="M1517" s="8">
        <v>0.61</v>
      </c>
    </row>
    <row r="1518" spans="1:13" x14ac:dyDescent="0.25">
      <c r="A1518">
        <v>1517</v>
      </c>
      <c r="B1518">
        <v>9.5</v>
      </c>
      <c r="C1518">
        <v>2.1</v>
      </c>
      <c r="D1518">
        <v>8.3000000000000007</v>
      </c>
      <c r="E1518">
        <v>3.4</v>
      </c>
      <c r="F1518">
        <v>0.7</v>
      </c>
      <c r="G1518">
        <v>3.35</v>
      </c>
      <c r="H1518" t="s">
        <v>10</v>
      </c>
      <c r="I1518">
        <v>15.7</v>
      </c>
      <c r="J1518" t="s">
        <v>15</v>
      </c>
      <c r="K1518">
        <v>3.88</v>
      </c>
      <c r="L1518" t="s">
        <v>52</v>
      </c>
      <c r="M1518" s="8">
        <v>0.61</v>
      </c>
    </row>
    <row r="1519" spans="1:13" x14ac:dyDescent="0.25">
      <c r="A1519">
        <v>1518</v>
      </c>
      <c r="B1519">
        <v>5.6</v>
      </c>
      <c r="C1519">
        <v>1.9</v>
      </c>
      <c r="D1519">
        <v>8</v>
      </c>
      <c r="E1519">
        <v>0.2</v>
      </c>
      <c r="F1519">
        <v>8.3000000000000007</v>
      </c>
      <c r="G1519">
        <v>2.99</v>
      </c>
      <c r="H1519" t="s">
        <v>9</v>
      </c>
      <c r="I1519">
        <v>16</v>
      </c>
      <c r="J1519" t="s">
        <v>13</v>
      </c>
      <c r="K1519">
        <v>3.65</v>
      </c>
      <c r="L1519" t="s">
        <v>52</v>
      </c>
      <c r="M1519" s="8">
        <v>0.35</v>
      </c>
    </row>
    <row r="1520" spans="1:13" x14ac:dyDescent="0.25">
      <c r="A1520">
        <v>1519</v>
      </c>
      <c r="B1520">
        <v>6.4</v>
      </c>
      <c r="C1520">
        <v>0.1</v>
      </c>
      <c r="D1520">
        <v>7.1</v>
      </c>
      <c r="E1520">
        <v>5.4</v>
      </c>
      <c r="F1520">
        <v>5</v>
      </c>
      <c r="G1520">
        <v>2.72</v>
      </c>
      <c r="H1520" t="s">
        <v>8</v>
      </c>
      <c r="I1520">
        <v>16.899999999999999</v>
      </c>
      <c r="J1520" t="s">
        <v>13</v>
      </c>
      <c r="K1520">
        <v>2.81</v>
      </c>
      <c r="L1520" t="s">
        <v>52</v>
      </c>
      <c r="M1520" s="8">
        <v>0.38</v>
      </c>
    </row>
    <row r="1521" spans="1:13" x14ac:dyDescent="0.25">
      <c r="A1521">
        <v>1520</v>
      </c>
      <c r="B1521">
        <v>9.6</v>
      </c>
      <c r="C1521">
        <v>3</v>
      </c>
      <c r="D1521">
        <v>8.6999999999999993</v>
      </c>
      <c r="E1521">
        <v>1.9</v>
      </c>
      <c r="F1521">
        <v>0.8</v>
      </c>
      <c r="G1521">
        <v>3.45</v>
      </c>
      <c r="H1521" t="s">
        <v>10</v>
      </c>
      <c r="I1521">
        <v>15.3</v>
      </c>
      <c r="J1521" t="s">
        <v>15</v>
      </c>
      <c r="K1521">
        <v>3.95</v>
      </c>
      <c r="L1521" t="s">
        <v>52</v>
      </c>
      <c r="M1521" s="8">
        <v>0.63</v>
      </c>
    </row>
    <row r="1522" spans="1:13" x14ac:dyDescent="0.25">
      <c r="A1522">
        <v>1521</v>
      </c>
      <c r="B1522">
        <v>6</v>
      </c>
      <c r="C1522">
        <v>0.8</v>
      </c>
      <c r="D1522">
        <v>8.4</v>
      </c>
      <c r="E1522">
        <v>1.3</v>
      </c>
      <c r="F1522">
        <v>7.5</v>
      </c>
      <c r="G1522">
        <v>3.19</v>
      </c>
      <c r="H1522" t="s">
        <v>8</v>
      </c>
      <c r="I1522">
        <v>15.6</v>
      </c>
      <c r="J1522" t="s">
        <v>15</v>
      </c>
      <c r="K1522">
        <v>3.35</v>
      </c>
      <c r="L1522" t="s">
        <v>52</v>
      </c>
      <c r="M1522" s="8">
        <v>0.38</v>
      </c>
    </row>
    <row r="1523" spans="1:13" x14ac:dyDescent="0.25">
      <c r="A1523">
        <v>1522</v>
      </c>
      <c r="B1523">
        <v>8.9</v>
      </c>
      <c r="C1523">
        <v>1.8</v>
      </c>
      <c r="D1523">
        <v>9</v>
      </c>
      <c r="E1523">
        <v>3.6</v>
      </c>
      <c r="F1523">
        <v>0.7</v>
      </c>
      <c r="G1523">
        <v>3.27</v>
      </c>
      <c r="H1523" t="s">
        <v>10</v>
      </c>
      <c r="I1523">
        <v>15</v>
      </c>
      <c r="J1523" t="s">
        <v>15</v>
      </c>
      <c r="K1523">
        <v>3.64</v>
      </c>
      <c r="L1523" t="s">
        <v>52</v>
      </c>
      <c r="M1523" s="8">
        <v>0.59</v>
      </c>
    </row>
    <row r="1524" spans="1:13" x14ac:dyDescent="0.25">
      <c r="A1524">
        <v>1523</v>
      </c>
      <c r="B1524">
        <v>8.3000000000000007</v>
      </c>
      <c r="C1524">
        <v>0.9</v>
      </c>
      <c r="D1524">
        <v>6.4</v>
      </c>
      <c r="E1524">
        <v>1.9</v>
      </c>
      <c r="F1524">
        <v>6.5</v>
      </c>
      <c r="G1524">
        <v>3.18</v>
      </c>
      <c r="H1524" t="s">
        <v>10</v>
      </c>
      <c r="I1524">
        <v>17.600000000000001</v>
      </c>
      <c r="J1524" t="s">
        <v>15</v>
      </c>
      <c r="K1524">
        <v>3.56</v>
      </c>
      <c r="L1524" t="s">
        <v>52</v>
      </c>
      <c r="M1524" s="8">
        <v>0.47</v>
      </c>
    </row>
    <row r="1525" spans="1:13" x14ac:dyDescent="0.25">
      <c r="A1525">
        <v>1524</v>
      </c>
      <c r="B1525">
        <v>6</v>
      </c>
      <c r="C1525">
        <v>1.8</v>
      </c>
      <c r="D1525">
        <v>9.5</v>
      </c>
      <c r="E1525">
        <v>0.6</v>
      </c>
      <c r="F1525">
        <v>6.1</v>
      </c>
      <c r="G1525">
        <v>2.78</v>
      </c>
      <c r="H1525" t="s">
        <v>8</v>
      </c>
      <c r="I1525">
        <v>14.5</v>
      </c>
      <c r="J1525" t="s">
        <v>13</v>
      </c>
      <c r="K1525">
        <v>2.84</v>
      </c>
      <c r="L1525" t="s">
        <v>52</v>
      </c>
      <c r="M1525" s="8">
        <v>0.41</v>
      </c>
    </row>
    <row r="1526" spans="1:13" x14ac:dyDescent="0.25">
      <c r="A1526">
        <v>1525</v>
      </c>
      <c r="B1526">
        <v>8.6</v>
      </c>
      <c r="C1526">
        <v>2.7</v>
      </c>
      <c r="D1526">
        <v>5.5</v>
      </c>
      <c r="E1526">
        <v>5.5</v>
      </c>
      <c r="F1526">
        <v>1.7</v>
      </c>
      <c r="G1526">
        <v>2.9</v>
      </c>
      <c r="H1526" t="s">
        <v>10</v>
      </c>
      <c r="I1526">
        <v>18.5</v>
      </c>
      <c r="J1526" t="s">
        <v>13</v>
      </c>
      <c r="K1526">
        <v>3.1</v>
      </c>
      <c r="L1526" t="s">
        <v>52</v>
      </c>
      <c r="M1526" s="8">
        <v>0.46</v>
      </c>
    </row>
    <row r="1527" spans="1:13" x14ac:dyDescent="0.25">
      <c r="A1527">
        <v>1526</v>
      </c>
      <c r="B1527">
        <v>8.8000000000000007</v>
      </c>
      <c r="C1527">
        <v>1</v>
      </c>
      <c r="D1527">
        <v>8.5</v>
      </c>
      <c r="E1527">
        <v>0.2</v>
      </c>
      <c r="F1527">
        <v>5.5</v>
      </c>
      <c r="G1527">
        <v>3.52</v>
      </c>
      <c r="H1527" t="s">
        <v>10</v>
      </c>
      <c r="I1527">
        <v>15.5</v>
      </c>
      <c r="J1527" t="s">
        <v>14</v>
      </c>
      <c r="K1527">
        <v>4.03</v>
      </c>
      <c r="L1527" t="s">
        <v>52</v>
      </c>
      <c r="M1527" s="8">
        <v>0.56999999999999995</v>
      </c>
    </row>
    <row r="1528" spans="1:13" x14ac:dyDescent="0.25">
      <c r="A1528">
        <v>1527</v>
      </c>
      <c r="B1528">
        <v>9.1999999999999993</v>
      </c>
      <c r="C1528">
        <v>1.8</v>
      </c>
      <c r="D1528">
        <v>8.1999999999999993</v>
      </c>
      <c r="E1528">
        <v>1.1000000000000001</v>
      </c>
      <c r="F1528">
        <v>3.7</v>
      </c>
      <c r="G1528">
        <v>3.6</v>
      </c>
      <c r="H1528" t="s">
        <v>10</v>
      </c>
      <c r="I1528">
        <v>15.8</v>
      </c>
      <c r="J1528" t="s">
        <v>14</v>
      </c>
      <c r="K1528">
        <v>3.67</v>
      </c>
      <c r="L1528" t="s">
        <v>52</v>
      </c>
      <c r="M1528" s="8">
        <v>0.57999999999999996</v>
      </c>
    </row>
    <row r="1529" spans="1:13" x14ac:dyDescent="0.25">
      <c r="A1529">
        <v>1528</v>
      </c>
      <c r="B1529">
        <v>7.4</v>
      </c>
      <c r="C1529">
        <v>2.5</v>
      </c>
      <c r="D1529">
        <v>7.3</v>
      </c>
      <c r="E1529">
        <v>5.4</v>
      </c>
      <c r="F1529">
        <v>1.4</v>
      </c>
      <c r="G1529">
        <v>3.25</v>
      </c>
      <c r="H1529" t="s">
        <v>8</v>
      </c>
      <c r="I1529">
        <v>16.7</v>
      </c>
      <c r="J1529" t="s">
        <v>15</v>
      </c>
      <c r="K1529">
        <v>2.73</v>
      </c>
      <c r="L1529" t="s">
        <v>52</v>
      </c>
      <c r="M1529" s="8">
        <v>0.44</v>
      </c>
    </row>
    <row r="1530" spans="1:13" x14ac:dyDescent="0.25">
      <c r="A1530">
        <v>1529</v>
      </c>
      <c r="B1530">
        <v>7.5</v>
      </c>
      <c r="C1530">
        <v>3.4</v>
      </c>
      <c r="D1530">
        <v>9</v>
      </c>
      <c r="E1530">
        <v>1.7</v>
      </c>
      <c r="F1530">
        <v>2.4</v>
      </c>
      <c r="G1530">
        <v>3.03</v>
      </c>
      <c r="H1530" t="s">
        <v>8</v>
      </c>
      <c r="I1530">
        <v>15</v>
      </c>
      <c r="J1530" t="s">
        <v>15</v>
      </c>
      <c r="K1530">
        <v>2.6</v>
      </c>
      <c r="L1530" t="s">
        <v>52</v>
      </c>
      <c r="M1530" s="8">
        <v>0.5</v>
      </c>
    </row>
    <row r="1531" spans="1:13" x14ac:dyDescent="0.25">
      <c r="A1531">
        <v>1530</v>
      </c>
      <c r="B1531">
        <v>9.1</v>
      </c>
      <c r="C1531">
        <v>0.9</v>
      </c>
      <c r="D1531">
        <v>7.6</v>
      </c>
      <c r="E1531">
        <v>4.8</v>
      </c>
      <c r="F1531">
        <v>1.6</v>
      </c>
      <c r="G1531">
        <v>3.08</v>
      </c>
      <c r="H1531" t="s">
        <v>10</v>
      </c>
      <c r="I1531">
        <v>16.400000000000002</v>
      </c>
      <c r="J1531" t="s">
        <v>15</v>
      </c>
      <c r="K1531">
        <v>3.74</v>
      </c>
      <c r="L1531" t="s">
        <v>52</v>
      </c>
      <c r="M1531" s="8">
        <v>0.55000000000000004</v>
      </c>
    </row>
    <row r="1532" spans="1:13" x14ac:dyDescent="0.25">
      <c r="A1532">
        <v>1531</v>
      </c>
      <c r="B1532">
        <v>6.8</v>
      </c>
      <c r="C1532">
        <v>2.6</v>
      </c>
      <c r="D1532">
        <v>6.2</v>
      </c>
      <c r="E1532">
        <v>0.7</v>
      </c>
      <c r="F1532">
        <v>7.7</v>
      </c>
      <c r="G1532">
        <v>3</v>
      </c>
      <c r="H1532" t="s">
        <v>8</v>
      </c>
      <c r="I1532">
        <v>17.8</v>
      </c>
      <c r="J1532" t="s">
        <v>15</v>
      </c>
      <c r="K1532">
        <v>3.35</v>
      </c>
      <c r="L1532" t="s">
        <v>52</v>
      </c>
      <c r="M1532" s="8">
        <v>0.38</v>
      </c>
    </row>
    <row r="1533" spans="1:13" x14ac:dyDescent="0.25">
      <c r="A1533">
        <v>1532</v>
      </c>
      <c r="B1533">
        <v>6.4</v>
      </c>
      <c r="C1533">
        <v>3.4</v>
      </c>
      <c r="D1533">
        <v>6.7</v>
      </c>
      <c r="E1533">
        <v>5.8</v>
      </c>
      <c r="F1533">
        <v>1.7</v>
      </c>
      <c r="G1533">
        <v>2.98</v>
      </c>
      <c r="H1533" t="s">
        <v>8</v>
      </c>
      <c r="I1533">
        <v>17.3</v>
      </c>
      <c r="J1533" t="s">
        <v>13</v>
      </c>
      <c r="K1533">
        <v>2.1800000000000002</v>
      </c>
      <c r="L1533" t="s">
        <v>52</v>
      </c>
      <c r="M1533" s="8">
        <v>0.37</v>
      </c>
    </row>
    <row r="1534" spans="1:13" x14ac:dyDescent="0.25">
      <c r="A1534">
        <v>1533</v>
      </c>
      <c r="B1534">
        <v>9.9</v>
      </c>
      <c r="C1534">
        <v>1.1000000000000001</v>
      </c>
      <c r="D1534">
        <v>5.2</v>
      </c>
      <c r="E1534">
        <v>4.2</v>
      </c>
      <c r="F1534">
        <v>3.6</v>
      </c>
      <c r="G1534">
        <v>3.3</v>
      </c>
      <c r="H1534" t="s">
        <v>10</v>
      </c>
      <c r="I1534">
        <v>18.8</v>
      </c>
      <c r="J1534" t="s">
        <v>15</v>
      </c>
      <c r="K1534">
        <v>3.72</v>
      </c>
      <c r="L1534" t="s">
        <v>52</v>
      </c>
      <c r="M1534" s="8">
        <v>0.53</v>
      </c>
    </row>
    <row r="1535" spans="1:13" x14ac:dyDescent="0.25">
      <c r="A1535">
        <v>1534</v>
      </c>
      <c r="B1535">
        <v>8.5</v>
      </c>
      <c r="C1535">
        <v>0.1</v>
      </c>
      <c r="D1535">
        <v>9.4</v>
      </c>
      <c r="E1535">
        <v>0.8</v>
      </c>
      <c r="F1535">
        <v>5.2</v>
      </c>
      <c r="G1535">
        <v>3.25</v>
      </c>
      <c r="H1535" t="s">
        <v>10</v>
      </c>
      <c r="I1535">
        <v>14.600000000000001</v>
      </c>
      <c r="J1535" t="s">
        <v>15</v>
      </c>
      <c r="K1535">
        <v>3.94</v>
      </c>
      <c r="L1535" t="s">
        <v>52</v>
      </c>
      <c r="M1535" s="8">
        <v>0.57999999999999996</v>
      </c>
    </row>
    <row r="1536" spans="1:13" x14ac:dyDescent="0.25">
      <c r="A1536">
        <v>1535</v>
      </c>
      <c r="B1536">
        <v>5.6</v>
      </c>
      <c r="C1536">
        <v>0.7</v>
      </c>
      <c r="D1536">
        <v>9.8000000000000007</v>
      </c>
      <c r="E1536">
        <v>4.2</v>
      </c>
      <c r="F1536">
        <v>3.7</v>
      </c>
      <c r="G1536">
        <v>2.75</v>
      </c>
      <c r="H1536" t="s">
        <v>9</v>
      </c>
      <c r="I1536">
        <v>14.2</v>
      </c>
      <c r="J1536" t="s">
        <v>13</v>
      </c>
      <c r="K1536">
        <v>2.06</v>
      </c>
      <c r="L1536" t="s">
        <v>52</v>
      </c>
      <c r="M1536" s="8">
        <v>0.39</v>
      </c>
    </row>
    <row r="1537" spans="1:13" x14ac:dyDescent="0.25">
      <c r="A1537">
        <v>1536</v>
      </c>
      <c r="B1537">
        <v>6.7</v>
      </c>
      <c r="C1537">
        <v>0.9</v>
      </c>
      <c r="D1537">
        <v>7.4</v>
      </c>
      <c r="E1537">
        <v>3.3</v>
      </c>
      <c r="F1537">
        <v>5.7</v>
      </c>
      <c r="G1537">
        <v>3.26</v>
      </c>
      <c r="H1537" t="s">
        <v>8</v>
      </c>
      <c r="I1537">
        <v>16.600000000000001</v>
      </c>
      <c r="J1537" t="s">
        <v>15</v>
      </c>
      <c r="K1537">
        <v>2.59</v>
      </c>
      <c r="L1537" t="s">
        <v>52</v>
      </c>
      <c r="M1537" s="8">
        <v>0.4</v>
      </c>
    </row>
    <row r="1538" spans="1:13" x14ac:dyDescent="0.25">
      <c r="A1538">
        <v>1537</v>
      </c>
      <c r="B1538">
        <v>8.1999999999999993</v>
      </c>
      <c r="C1538">
        <v>1</v>
      </c>
      <c r="D1538">
        <v>9.6999999999999993</v>
      </c>
      <c r="E1538">
        <v>0.9</v>
      </c>
      <c r="F1538">
        <v>4.2</v>
      </c>
      <c r="G1538">
        <v>2.81</v>
      </c>
      <c r="H1538" t="s">
        <v>10</v>
      </c>
      <c r="I1538">
        <v>14.3</v>
      </c>
      <c r="J1538" t="s">
        <v>13</v>
      </c>
      <c r="K1538">
        <v>3.44</v>
      </c>
      <c r="L1538" t="s">
        <v>52</v>
      </c>
      <c r="M1538" s="8">
        <v>0.56999999999999995</v>
      </c>
    </row>
    <row r="1539" spans="1:13" x14ac:dyDescent="0.25">
      <c r="A1539">
        <v>1538</v>
      </c>
      <c r="B1539">
        <v>7.2</v>
      </c>
      <c r="C1539">
        <v>2.2999999999999998</v>
      </c>
      <c r="D1539">
        <v>7.2</v>
      </c>
      <c r="E1539">
        <v>2.5</v>
      </c>
      <c r="F1539">
        <v>4.8</v>
      </c>
      <c r="G1539">
        <v>3.03</v>
      </c>
      <c r="H1539" t="s">
        <v>8</v>
      </c>
      <c r="I1539">
        <v>16.8</v>
      </c>
      <c r="J1539" t="s">
        <v>15</v>
      </c>
      <c r="K1539">
        <v>2.2999999999999998</v>
      </c>
      <c r="L1539" t="s">
        <v>52</v>
      </c>
      <c r="M1539" s="8">
        <v>0.43</v>
      </c>
    </row>
    <row r="1540" spans="1:13" x14ac:dyDescent="0.25">
      <c r="A1540">
        <v>1539</v>
      </c>
      <c r="B1540">
        <v>8.6999999999999993</v>
      </c>
      <c r="C1540">
        <v>2.7</v>
      </c>
      <c r="D1540">
        <v>9.1999999999999993</v>
      </c>
      <c r="E1540">
        <v>0.8</v>
      </c>
      <c r="F1540">
        <v>2.6</v>
      </c>
      <c r="G1540">
        <v>3.58</v>
      </c>
      <c r="H1540" t="s">
        <v>10</v>
      </c>
      <c r="I1540">
        <v>14.799999999999999</v>
      </c>
      <c r="J1540" t="s">
        <v>14</v>
      </c>
      <c r="K1540">
        <v>3.45</v>
      </c>
      <c r="L1540" t="s">
        <v>52</v>
      </c>
      <c r="M1540" s="8">
        <v>0.59</v>
      </c>
    </row>
    <row r="1541" spans="1:13" x14ac:dyDescent="0.25">
      <c r="A1541">
        <v>1540</v>
      </c>
      <c r="B1541">
        <v>6.8</v>
      </c>
      <c r="C1541">
        <v>1.9</v>
      </c>
      <c r="D1541">
        <v>6.6</v>
      </c>
      <c r="E1541">
        <v>0.9</v>
      </c>
      <c r="F1541">
        <v>7.8</v>
      </c>
      <c r="G1541">
        <v>3.38</v>
      </c>
      <c r="H1541" t="s">
        <v>8</v>
      </c>
      <c r="I1541">
        <v>17.399999999999999</v>
      </c>
      <c r="J1541" t="s">
        <v>15</v>
      </c>
      <c r="K1541">
        <v>3.45</v>
      </c>
      <c r="L1541" t="s">
        <v>52</v>
      </c>
      <c r="M1541" s="8">
        <v>0.39</v>
      </c>
    </row>
    <row r="1542" spans="1:13" x14ac:dyDescent="0.25">
      <c r="A1542">
        <v>1541</v>
      </c>
      <c r="B1542">
        <v>6.1</v>
      </c>
      <c r="C1542">
        <v>0.4</v>
      </c>
      <c r="D1542">
        <v>8.4</v>
      </c>
      <c r="E1542">
        <v>4</v>
      </c>
      <c r="F1542">
        <v>5.0999999999999996</v>
      </c>
      <c r="G1542">
        <v>2.88</v>
      </c>
      <c r="H1542" t="s">
        <v>8</v>
      </c>
      <c r="I1542">
        <v>15.6</v>
      </c>
      <c r="J1542" t="s">
        <v>13</v>
      </c>
      <c r="K1542">
        <v>2.4900000000000002</v>
      </c>
      <c r="L1542" t="s">
        <v>52</v>
      </c>
      <c r="M1542" s="8">
        <v>0.39</v>
      </c>
    </row>
    <row r="1543" spans="1:13" x14ac:dyDescent="0.25">
      <c r="A1543">
        <v>1542</v>
      </c>
      <c r="B1543">
        <v>7.9</v>
      </c>
      <c r="C1543">
        <v>3.9</v>
      </c>
      <c r="D1543">
        <v>7.7</v>
      </c>
      <c r="E1543">
        <v>4.0999999999999996</v>
      </c>
      <c r="F1543">
        <v>0.4</v>
      </c>
      <c r="G1543">
        <v>3.4</v>
      </c>
      <c r="H1543" t="s">
        <v>8</v>
      </c>
      <c r="I1543">
        <v>16.3</v>
      </c>
      <c r="J1543" t="s">
        <v>15</v>
      </c>
      <c r="K1543">
        <v>3.06</v>
      </c>
      <c r="L1543" t="s">
        <v>52</v>
      </c>
      <c r="M1543" s="8">
        <v>0.48</v>
      </c>
    </row>
    <row r="1544" spans="1:13" x14ac:dyDescent="0.25">
      <c r="A1544">
        <v>1543</v>
      </c>
      <c r="B1544">
        <v>5.4</v>
      </c>
      <c r="C1544">
        <v>0.8</v>
      </c>
      <c r="D1544">
        <v>7.2</v>
      </c>
      <c r="E1544">
        <v>3.5</v>
      </c>
      <c r="F1544">
        <v>7.1</v>
      </c>
      <c r="G1544">
        <v>2.71</v>
      </c>
      <c r="H1544" t="s">
        <v>9</v>
      </c>
      <c r="I1544">
        <v>16.799999999999997</v>
      </c>
      <c r="J1544" t="s">
        <v>13</v>
      </c>
      <c r="K1544">
        <v>2.7</v>
      </c>
      <c r="L1544" t="s">
        <v>52</v>
      </c>
      <c r="M1544" s="8">
        <v>0.32</v>
      </c>
    </row>
    <row r="1545" spans="1:13" x14ac:dyDescent="0.25">
      <c r="A1545">
        <v>1544</v>
      </c>
      <c r="B1545">
        <v>9</v>
      </c>
      <c r="C1545">
        <v>2.4</v>
      </c>
      <c r="D1545">
        <v>6</v>
      </c>
      <c r="E1545">
        <v>3</v>
      </c>
      <c r="F1545">
        <v>3.6</v>
      </c>
      <c r="G1545">
        <v>3.32</v>
      </c>
      <c r="H1545" t="s">
        <v>10</v>
      </c>
      <c r="I1545">
        <v>18</v>
      </c>
      <c r="J1545" t="s">
        <v>15</v>
      </c>
      <c r="K1545">
        <v>3.04</v>
      </c>
      <c r="L1545" t="s">
        <v>52</v>
      </c>
      <c r="M1545" s="8">
        <v>0.5</v>
      </c>
    </row>
    <row r="1546" spans="1:13" x14ac:dyDescent="0.25">
      <c r="A1546">
        <v>1545</v>
      </c>
      <c r="B1546">
        <v>8.6999999999999993</v>
      </c>
      <c r="C1546">
        <v>3.1</v>
      </c>
      <c r="D1546">
        <v>7.5</v>
      </c>
      <c r="E1546">
        <v>1.4</v>
      </c>
      <c r="F1546">
        <v>3.3</v>
      </c>
      <c r="G1546">
        <v>2.99</v>
      </c>
      <c r="H1546" t="s">
        <v>10</v>
      </c>
      <c r="I1546">
        <v>16.5</v>
      </c>
      <c r="J1546" t="s">
        <v>13</v>
      </c>
      <c r="K1546">
        <v>3.17</v>
      </c>
      <c r="L1546" t="s">
        <v>52</v>
      </c>
      <c r="M1546" s="8">
        <v>0.53</v>
      </c>
    </row>
    <row r="1547" spans="1:13" x14ac:dyDescent="0.25">
      <c r="A1547">
        <v>1546</v>
      </c>
      <c r="B1547">
        <v>8.6999999999999993</v>
      </c>
      <c r="C1547">
        <v>1</v>
      </c>
      <c r="D1547">
        <v>5.9</v>
      </c>
      <c r="E1547">
        <v>3.2</v>
      </c>
      <c r="F1547">
        <v>5.2</v>
      </c>
      <c r="G1547">
        <v>3.17</v>
      </c>
      <c r="H1547" t="s">
        <v>10</v>
      </c>
      <c r="I1547">
        <v>18.099999999999998</v>
      </c>
      <c r="J1547" t="s">
        <v>15</v>
      </c>
      <c r="K1547">
        <v>3.27</v>
      </c>
      <c r="L1547" t="s">
        <v>52</v>
      </c>
      <c r="M1547" s="8">
        <v>0.48</v>
      </c>
    </row>
    <row r="1548" spans="1:13" x14ac:dyDescent="0.25">
      <c r="A1548">
        <v>1547</v>
      </c>
      <c r="B1548">
        <v>6.4</v>
      </c>
      <c r="C1548">
        <v>2.5</v>
      </c>
      <c r="D1548">
        <v>5.6</v>
      </c>
      <c r="E1548">
        <v>3.9</v>
      </c>
      <c r="F1548">
        <v>5.6</v>
      </c>
      <c r="G1548">
        <v>2.89</v>
      </c>
      <c r="H1548" t="s">
        <v>10</v>
      </c>
      <c r="I1548">
        <v>18.399999999999999</v>
      </c>
      <c r="J1548" t="s">
        <v>13</v>
      </c>
      <c r="K1548">
        <v>1.75</v>
      </c>
      <c r="L1548" t="s">
        <v>52</v>
      </c>
      <c r="M1548" s="8">
        <v>0.35</v>
      </c>
    </row>
    <row r="1549" spans="1:13" x14ac:dyDescent="0.25">
      <c r="A1549">
        <v>1548</v>
      </c>
      <c r="B1549">
        <v>8.9</v>
      </c>
      <c r="C1549">
        <v>2.4</v>
      </c>
      <c r="D1549">
        <v>9.9</v>
      </c>
      <c r="E1549">
        <v>1</v>
      </c>
      <c r="F1549">
        <v>1.8</v>
      </c>
      <c r="G1549">
        <v>3.44</v>
      </c>
      <c r="H1549" t="s">
        <v>10</v>
      </c>
      <c r="I1549">
        <v>14.100000000000001</v>
      </c>
      <c r="J1549" t="s">
        <v>15</v>
      </c>
      <c r="K1549">
        <v>3.63</v>
      </c>
      <c r="L1549" t="s">
        <v>52</v>
      </c>
      <c r="M1549" s="8">
        <v>0.63</v>
      </c>
    </row>
    <row r="1550" spans="1:13" x14ac:dyDescent="0.25">
      <c r="A1550">
        <v>1549</v>
      </c>
      <c r="B1550">
        <v>8.4</v>
      </c>
      <c r="C1550">
        <v>0.3</v>
      </c>
      <c r="D1550">
        <v>7</v>
      </c>
      <c r="E1550">
        <v>5.8</v>
      </c>
      <c r="F1550">
        <v>2.5</v>
      </c>
      <c r="G1550">
        <v>2.9</v>
      </c>
      <c r="H1550" t="s">
        <v>10</v>
      </c>
      <c r="I1550">
        <v>17</v>
      </c>
      <c r="J1550" t="s">
        <v>13</v>
      </c>
      <c r="K1550">
        <v>3.57</v>
      </c>
      <c r="L1550" t="s">
        <v>52</v>
      </c>
      <c r="M1550" s="8">
        <v>0.49</v>
      </c>
    </row>
    <row r="1551" spans="1:13" x14ac:dyDescent="0.25">
      <c r="A1551">
        <v>1550</v>
      </c>
      <c r="B1551">
        <v>5.6</v>
      </c>
      <c r="C1551">
        <v>2.8</v>
      </c>
      <c r="D1551">
        <v>8.1999999999999993</v>
      </c>
      <c r="E1551">
        <v>2.2000000000000002</v>
      </c>
      <c r="F1551">
        <v>5.2</v>
      </c>
      <c r="G1551">
        <v>2.91</v>
      </c>
      <c r="H1551" t="s">
        <v>9</v>
      </c>
      <c r="I1551">
        <v>15.799999999999997</v>
      </c>
      <c r="J1551" t="s">
        <v>13</v>
      </c>
      <c r="K1551">
        <v>1.7</v>
      </c>
      <c r="L1551" t="s">
        <v>52</v>
      </c>
      <c r="M1551" s="8">
        <v>0.35</v>
      </c>
    </row>
    <row r="1552" spans="1:13" x14ac:dyDescent="0.25">
      <c r="A1552">
        <v>1551</v>
      </c>
      <c r="B1552">
        <v>9.8000000000000007</v>
      </c>
      <c r="C1552">
        <v>0.1</v>
      </c>
      <c r="D1552">
        <v>6.5</v>
      </c>
      <c r="E1552">
        <v>5.5</v>
      </c>
      <c r="F1552">
        <v>2.1</v>
      </c>
      <c r="G1552">
        <v>3.24</v>
      </c>
      <c r="H1552" t="s">
        <v>10</v>
      </c>
      <c r="I1552">
        <v>17.5</v>
      </c>
      <c r="J1552" t="s">
        <v>15</v>
      </c>
      <c r="K1552">
        <v>4.25</v>
      </c>
      <c r="L1552" t="s">
        <v>52</v>
      </c>
      <c r="M1552" s="8">
        <v>0.56000000000000005</v>
      </c>
    </row>
    <row r="1553" spans="1:13" x14ac:dyDescent="0.25">
      <c r="A1553">
        <v>1552</v>
      </c>
      <c r="B1553">
        <v>7.7</v>
      </c>
      <c r="C1553">
        <v>3.3</v>
      </c>
      <c r="D1553">
        <v>5.5</v>
      </c>
      <c r="E1553">
        <v>5.7</v>
      </c>
      <c r="F1553">
        <v>1.8</v>
      </c>
      <c r="G1553">
        <v>2.99</v>
      </c>
      <c r="H1553" t="s">
        <v>10</v>
      </c>
      <c r="I1553">
        <v>18.5</v>
      </c>
      <c r="J1553" t="s">
        <v>13</v>
      </c>
      <c r="K1553">
        <v>2.6</v>
      </c>
      <c r="L1553" t="s">
        <v>52</v>
      </c>
      <c r="M1553" s="8">
        <v>0.42</v>
      </c>
    </row>
    <row r="1554" spans="1:13" x14ac:dyDescent="0.25">
      <c r="A1554">
        <v>1553</v>
      </c>
      <c r="B1554">
        <v>9</v>
      </c>
      <c r="C1554">
        <v>0.7</v>
      </c>
      <c r="D1554">
        <v>8.6</v>
      </c>
      <c r="E1554">
        <v>2.2000000000000002</v>
      </c>
      <c r="F1554">
        <v>3.5</v>
      </c>
      <c r="G1554">
        <v>3.62</v>
      </c>
      <c r="H1554" t="s">
        <v>10</v>
      </c>
      <c r="I1554">
        <v>15.399999999999999</v>
      </c>
      <c r="J1554" t="s">
        <v>14</v>
      </c>
      <c r="K1554">
        <v>3.62</v>
      </c>
      <c r="L1554" t="s">
        <v>52</v>
      </c>
      <c r="M1554" s="8">
        <v>0.57999999999999996</v>
      </c>
    </row>
    <row r="1555" spans="1:13" x14ac:dyDescent="0.25">
      <c r="A1555">
        <v>1554</v>
      </c>
      <c r="B1555">
        <v>9.8000000000000007</v>
      </c>
      <c r="C1555">
        <v>0.5</v>
      </c>
      <c r="D1555">
        <v>7.1</v>
      </c>
      <c r="E1555">
        <v>2.9</v>
      </c>
      <c r="F1555">
        <v>3.7</v>
      </c>
      <c r="G1555">
        <v>3.38</v>
      </c>
      <c r="H1555" t="s">
        <v>10</v>
      </c>
      <c r="I1555">
        <v>16.900000000000002</v>
      </c>
      <c r="J1555" t="s">
        <v>15</v>
      </c>
      <c r="K1555">
        <v>3.96</v>
      </c>
      <c r="L1555" t="s">
        <v>52</v>
      </c>
      <c r="M1555" s="8">
        <v>0.57999999999999996</v>
      </c>
    </row>
    <row r="1556" spans="1:13" x14ac:dyDescent="0.25">
      <c r="A1556">
        <v>1555</v>
      </c>
      <c r="B1556">
        <v>6.9</v>
      </c>
      <c r="C1556">
        <v>1.5</v>
      </c>
      <c r="D1556">
        <v>5.3</v>
      </c>
      <c r="E1556">
        <v>4.0999999999999996</v>
      </c>
      <c r="F1556">
        <v>6.2</v>
      </c>
      <c r="G1556">
        <v>2.77</v>
      </c>
      <c r="H1556" t="s">
        <v>10</v>
      </c>
      <c r="I1556">
        <v>18.7</v>
      </c>
      <c r="J1556" t="s">
        <v>13</v>
      </c>
      <c r="K1556">
        <v>2.4300000000000002</v>
      </c>
      <c r="L1556" t="s">
        <v>52</v>
      </c>
      <c r="M1556" s="8">
        <v>0.37</v>
      </c>
    </row>
    <row r="1557" spans="1:13" x14ac:dyDescent="0.25">
      <c r="A1557">
        <v>1556</v>
      </c>
      <c r="B1557">
        <v>9.1</v>
      </c>
      <c r="C1557">
        <v>3.2</v>
      </c>
      <c r="D1557">
        <v>7.4</v>
      </c>
      <c r="E1557">
        <v>1.3</v>
      </c>
      <c r="F1557">
        <v>3</v>
      </c>
      <c r="G1557">
        <v>3.31</v>
      </c>
      <c r="H1557" t="s">
        <v>10</v>
      </c>
      <c r="I1557">
        <v>16.600000000000001</v>
      </c>
      <c r="J1557" t="s">
        <v>15</v>
      </c>
      <c r="K1557">
        <v>3.41</v>
      </c>
      <c r="L1557" t="s">
        <v>52</v>
      </c>
      <c r="M1557" s="8">
        <v>0.55000000000000004</v>
      </c>
    </row>
    <row r="1558" spans="1:13" x14ac:dyDescent="0.25">
      <c r="A1558">
        <v>1557</v>
      </c>
      <c r="B1558">
        <v>8.1999999999999993</v>
      </c>
      <c r="C1558">
        <v>1.2</v>
      </c>
      <c r="D1558">
        <v>6.2</v>
      </c>
      <c r="E1558">
        <v>4.4000000000000004</v>
      </c>
      <c r="F1558">
        <v>4</v>
      </c>
      <c r="G1558">
        <v>3.08</v>
      </c>
      <c r="H1558" t="s">
        <v>10</v>
      </c>
      <c r="I1558">
        <v>17.799999999999997</v>
      </c>
      <c r="J1558" t="s">
        <v>15</v>
      </c>
      <c r="K1558">
        <v>2.88</v>
      </c>
      <c r="L1558" t="s">
        <v>52</v>
      </c>
      <c r="M1558" s="8">
        <v>0.46</v>
      </c>
    </row>
    <row r="1559" spans="1:13" x14ac:dyDescent="0.25">
      <c r="A1559">
        <v>1558</v>
      </c>
      <c r="B1559">
        <v>6.2</v>
      </c>
      <c r="C1559">
        <v>3.7</v>
      </c>
      <c r="D1559">
        <v>7.6</v>
      </c>
      <c r="E1559">
        <v>2.2000000000000002</v>
      </c>
      <c r="F1559">
        <v>4.3</v>
      </c>
      <c r="G1559">
        <v>2.84</v>
      </c>
      <c r="H1559" t="s">
        <v>8</v>
      </c>
      <c r="I1559">
        <v>16.400000000000002</v>
      </c>
      <c r="J1559" t="s">
        <v>13</v>
      </c>
      <c r="K1559">
        <v>1.66</v>
      </c>
      <c r="L1559" t="s">
        <v>52</v>
      </c>
      <c r="M1559" s="8">
        <v>0.38</v>
      </c>
    </row>
    <row r="1560" spans="1:13" x14ac:dyDescent="0.25">
      <c r="A1560">
        <v>1559</v>
      </c>
      <c r="B1560">
        <v>9.4</v>
      </c>
      <c r="C1560">
        <v>1.6</v>
      </c>
      <c r="D1560">
        <v>6.7</v>
      </c>
      <c r="E1560">
        <v>1.2</v>
      </c>
      <c r="F1560">
        <v>5.0999999999999996</v>
      </c>
      <c r="G1560">
        <v>3.11</v>
      </c>
      <c r="H1560" t="s">
        <v>10</v>
      </c>
      <c r="I1560">
        <v>17.299999999999997</v>
      </c>
      <c r="J1560" t="s">
        <v>15</v>
      </c>
      <c r="K1560">
        <v>3.81</v>
      </c>
      <c r="L1560" t="s">
        <v>52</v>
      </c>
      <c r="M1560" s="8">
        <v>0.54</v>
      </c>
    </row>
    <row r="1561" spans="1:13" x14ac:dyDescent="0.25">
      <c r="A1561">
        <v>1560</v>
      </c>
      <c r="B1561">
        <v>8.4</v>
      </c>
      <c r="C1561">
        <v>1.2</v>
      </c>
      <c r="D1561">
        <v>7.9</v>
      </c>
      <c r="E1561">
        <v>0.4</v>
      </c>
      <c r="F1561">
        <v>6.1</v>
      </c>
      <c r="G1561">
        <v>3.06</v>
      </c>
      <c r="H1561" t="s">
        <v>10</v>
      </c>
      <c r="I1561">
        <v>16.100000000000001</v>
      </c>
      <c r="J1561" t="s">
        <v>15</v>
      </c>
      <c r="K1561">
        <v>3.85</v>
      </c>
      <c r="L1561" t="s">
        <v>52</v>
      </c>
      <c r="M1561" s="8">
        <v>0.52</v>
      </c>
    </row>
    <row r="1562" spans="1:13" x14ac:dyDescent="0.25">
      <c r="A1562">
        <v>1561</v>
      </c>
      <c r="B1562">
        <v>6</v>
      </c>
      <c r="C1562">
        <v>1.6</v>
      </c>
      <c r="D1562">
        <v>9.6999999999999993</v>
      </c>
      <c r="E1562">
        <v>2.2999999999999998</v>
      </c>
      <c r="F1562">
        <v>4.4000000000000004</v>
      </c>
      <c r="G1562">
        <v>2.66</v>
      </c>
      <c r="H1562" t="s">
        <v>8</v>
      </c>
      <c r="I1562">
        <v>14.299999999999999</v>
      </c>
      <c r="J1562" t="s">
        <v>13</v>
      </c>
      <c r="K1562">
        <v>2.0099999999999998</v>
      </c>
      <c r="L1562" t="s">
        <v>52</v>
      </c>
      <c r="M1562" s="8">
        <v>0.42</v>
      </c>
    </row>
    <row r="1563" spans="1:13" x14ac:dyDescent="0.25">
      <c r="A1563">
        <v>1562</v>
      </c>
      <c r="B1563">
        <v>5.6</v>
      </c>
      <c r="C1563">
        <v>0.2</v>
      </c>
      <c r="D1563">
        <v>6.5</v>
      </c>
      <c r="E1563">
        <v>0.9</v>
      </c>
      <c r="F1563">
        <v>10.8</v>
      </c>
      <c r="G1563">
        <v>3</v>
      </c>
      <c r="H1563" t="s">
        <v>9</v>
      </c>
      <c r="I1563">
        <v>17.5</v>
      </c>
      <c r="J1563" t="s">
        <v>15</v>
      </c>
      <c r="K1563">
        <v>4.91</v>
      </c>
      <c r="L1563" t="s">
        <v>52</v>
      </c>
      <c r="M1563" s="8">
        <v>0.32</v>
      </c>
    </row>
    <row r="1564" spans="1:13" x14ac:dyDescent="0.25">
      <c r="A1564">
        <v>1563</v>
      </c>
      <c r="B1564">
        <v>5.9</v>
      </c>
      <c r="C1564">
        <v>3</v>
      </c>
      <c r="D1564">
        <v>5.0999999999999996</v>
      </c>
      <c r="E1564">
        <v>3.3</v>
      </c>
      <c r="F1564">
        <v>6.7</v>
      </c>
      <c r="G1564">
        <v>2.91</v>
      </c>
      <c r="H1564" t="s">
        <v>10</v>
      </c>
      <c r="I1564">
        <v>18.899999999999999</v>
      </c>
      <c r="J1564" t="s">
        <v>13</v>
      </c>
      <c r="K1564">
        <v>1.85</v>
      </c>
      <c r="L1564" t="s">
        <v>52</v>
      </c>
      <c r="M1564" s="8">
        <v>0.31</v>
      </c>
    </row>
    <row r="1565" spans="1:13" x14ac:dyDescent="0.25">
      <c r="A1565">
        <v>1564</v>
      </c>
      <c r="B1565">
        <v>7.8</v>
      </c>
      <c r="C1565">
        <v>1.3</v>
      </c>
      <c r="D1565">
        <v>6.5</v>
      </c>
      <c r="E1565">
        <v>4.4000000000000004</v>
      </c>
      <c r="F1565">
        <v>4</v>
      </c>
      <c r="G1565">
        <v>2.69</v>
      </c>
      <c r="H1565" t="s">
        <v>8</v>
      </c>
      <c r="I1565">
        <v>17.5</v>
      </c>
      <c r="J1565" t="s">
        <v>13</v>
      </c>
      <c r="K1565">
        <v>2.67</v>
      </c>
      <c r="L1565" t="s">
        <v>52</v>
      </c>
      <c r="M1565" s="8">
        <v>0.45</v>
      </c>
    </row>
    <row r="1566" spans="1:13" x14ac:dyDescent="0.25">
      <c r="A1566">
        <v>1565</v>
      </c>
      <c r="B1566">
        <v>9.4</v>
      </c>
      <c r="C1566">
        <v>0.8</v>
      </c>
      <c r="D1566">
        <v>5.5</v>
      </c>
      <c r="E1566">
        <v>5.4</v>
      </c>
      <c r="F1566">
        <v>2.9</v>
      </c>
      <c r="G1566">
        <v>3.55</v>
      </c>
      <c r="H1566" t="s">
        <v>10</v>
      </c>
      <c r="I1566">
        <v>18.5</v>
      </c>
      <c r="J1566" t="s">
        <v>14</v>
      </c>
      <c r="K1566">
        <v>3.7</v>
      </c>
      <c r="L1566" t="s">
        <v>52</v>
      </c>
      <c r="M1566" s="8">
        <v>0.51</v>
      </c>
    </row>
    <row r="1567" spans="1:13" x14ac:dyDescent="0.25">
      <c r="A1567">
        <v>1566</v>
      </c>
      <c r="B1567">
        <v>6.8</v>
      </c>
      <c r="C1567">
        <v>0.5</v>
      </c>
      <c r="D1567">
        <v>7.9</v>
      </c>
      <c r="E1567">
        <v>3.2</v>
      </c>
      <c r="F1567">
        <v>5.6</v>
      </c>
      <c r="G1567">
        <v>2.61</v>
      </c>
      <c r="H1567" t="s">
        <v>8</v>
      </c>
      <c r="I1567">
        <v>16.100000000000001</v>
      </c>
      <c r="J1567" t="s">
        <v>13</v>
      </c>
      <c r="K1567">
        <v>2.79</v>
      </c>
      <c r="L1567" t="s">
        <v>52</v>
      </c>
      <c r="M1567" s="8">
        <v>0.42</v>
      </c>
    </row>
    <row r="1568" spans="1:13" x14ac:dyDescent="0.25">
      <c r="A1568">
        <v>1567</v>
      </c>
      <c r="B1568">
        <v>6</v>
      </c>
      <c r="C1568">
        <v>1.8</v>
      </c>
      <c r="D1568">
        <v>9</v>
      </c>
      <c r="E1568">
        <v>3.5</v>
      </c>
      <c r="F1568">
        <v>3.7</v>
      </c>
      <c r="G1568">
        <v>2.92</v>
      </c>
      <c r="H1568" t="s">
        <v>8</v>
      </c>
      <c r="I1568">
        <v>15</v>
      </c>
      <c r="J1568" t="s">
        <v>13</v>
      </c>
      <c r="K1568">
        <v>1.73</v>
      </c>
      <c r="L1568" t="s">
        <v>52</v>
      </c>
      <c r="M1568" s="8">
        <v>0.4</v>
      </c>
    </row>
    <row r="1569" spans="1:13" x14ac:dyDescent="0.25">
      <c r="A1569">
        <v>1568</v>
      </c>
      <c r="B1569">
        <v>8.5</v>
      </c>
      <c r="C1569">
        <v>3.2</v>
      </c>
      <c r="D1569">
        <v>8.1</v>
      </c>
      <c r="E1569">
        <v>0.6</v>
      </c>
      <c r="F1569">
        <v>3.6</v>
      </c>
      <c r="G1569">
        <v>3.09</v>
      </c>
      <c r="H1569" t="s">
        <v>10</v>
      </c>
      <c r="I1569">
        <v>15.899999999999999</v>
      </c>
      <c r="J1569" t="s">
        <v>15</v>
      </c>
      <c r="K1569">
        <v>3.3</v>
      </c>
      <c r="L1569" t="s">
        <v>52</v>
      </c>
      <c r="M1569" s="8">
        <v>0.53</v>
      </c>
    </row>
    <row r="1570" spans="1:13" x14ac:dyDescent="0.25">
      <c r="A1570">
        <v>1569</v>
      </c>
      <c r="B1570">
        <v>8.6</v>
      </c>
      <c r="C1570">
        <v>2.7</v>
      </c>
      <c r="D1570">
        <v>5.0999999999999996</v>
      </c>
      <c r="E1570">
        <v>2.5</v>
      </c>
      <c r="F1570">
        <v>5.0999999999999996</v>
      </c>
      <c r="G1570">
        <v>3.54</v>
      </c>
      <c r="H1570" t="s">
        <v>10</v>
      </c>
      <c r="I1570">
        <v>18.899999999999999</v>
      </c>
      <c r="J1570" t="s">
        <v>14</v>
      </c>
      <c r="K1570">
        <v>2.84</v>
      </c>
      <c r="L1570" t="s">
        <v>52</v>
      </c>
      <c r="M1570" s="8">
        <v>0.46</v>
      </c>
    </row>
    <row r="1571" spans="1:13" x14ac:dyDescent="0.25">
      <c r="A1571">
        <v>1570</v>
      </c>
      <c r="B1571">
        <v>6.1</v>
      </c>
      <c r="C1571">
        <v>2.4</v>
      </c>
      <c r="D1571">
        <v>9.6</v>
      </c>
      <c r="E1571">
        <v>4.7</v>
      </c>
      <c r="F1571">
        <v>1.2</v>
      </c>
      <c r="G1571">
        <v>2.67</v>
      </c>
      <c r="H1571" t="s">
        <v>8</v>
      </c>
      <c r="I1571">
        <v>14.399999999999999</v>
      </c>
      <c r="J1571" t="s">
        <v>13</v>
      </c>
      <c r="K1571">
        <v>2.21</v>
      </c>
      <c r="L1571" t="s">
        <v>52</v>
      </c>
      <c r="M1571" s="8">
        <v>0.42</v>
      </c>
    </row>
    <row r="1572" spans="1:13" x14ac:dyDescent="0.25">
      <c r="A1572">
        <v>1571</v>
      </c>
      <c r="B1572">
        <v>9.6</v>
      </c>
      <c r="C1572">
        <v>3.9</v>
      </c>
      <c r="D1572">
        <v>5.0999999999999996</v>
      </c>
      <c r="E1572">
        <v>3.4</v>
      </c>
      <c r="F1572">
        <v>2</v>
      </c>
      <c r="G1572">
        <v>3.65</v>
      </c>
      <c r="H1572" t="s">
        <v>10</v>
      </c>
      <c r="I1572">
        <v>18.899999999999999</v>
      </c>
      <c r="J1572" t="s">
        <v>14</v>
      </c>
      <c r="K1572">
        <v>3.35</v>
      </c>
      <c r="L1572" t="s">
        <v>52</v>
      </c>
      <c r="M1572" s="8">
        <v>0.51</v>
      </c>
    </row>
    <row r="1573" spans="1:13" x14ac:dyDescent="0.25">
      <c r="A1573">
        <v>1572</v>
      </c>
      <c r="B1573">
        <v>6.3</v>
      </c>
      <c r="C1573">
        <v>3.9</v>
      </c>
      <c r="D1573">
        <v>8.1</v>
      </c>
      <c r="E1573">
        <v>4.5</v>
      </c>
      <c r="F1573">
        <v>1.2</v>
      </c>
      <c r="G1573">
        <v>2.89</v>
      </c>
      <c r="H1573" t="s">
        <v>8</v>
      </c>
      <c r="I1573">
        <v>15.899999999999999</v>
      </c>
      <c r="J1573" t="s">
        <v>13</v>
      </c>
      <c r="K1573">
        <v>2.11</v>
      </c>
      <c r="L1573" t="s">
        <v>52</v>
      </c>
      <c r="M1573" s="8">
        <v>0.4</v>
      </c>
    </row>
    <row r="1574" spans="1:13" x14ac:dyDescent="0.25">
      <c r="A1574">
        <v>1573</v>
      </c>
      <c r="B1574">
        <v>5.4</v>
      </c>
      <c r="C1574">
        <v>0.7</v>
      </c>
      <c r="D1574">
        <v>8.8000000000000007</v>
      </c>
      <c r="E1574">
        <v>0.1</v>
      </c>
      <c r="F1574">
        <v>9</v>
      </c>
      <c r="G1574">
        <v>2.57</v>
      </c>
      <c r="H1574" t="s">
        <v>9</v>
      </c>
      <c r="I1574">
        <v>15.2</v>
      </c>
      <c r="J1574" t="s">
        <v>13</v>
      </c>
      <c r="K1574">
        <v>4.2</v>
      </c>
      <c r="L1574" t="s">
        <v>52</v>
      </c>
      <c r="M1574" s="8">
        <v>0.36</v>
      </c>
    </row>
    <row r="1575" spans="1:13" x14ac:dyDescent="0.25">
      <c r="A1575">
        <v>1574</v>
      </c>
      <c r="B1575">
        <v>8.1</v>
      </c>
      <c r="C1575">
        <v>2.8</v>
      </c>
      <c r="D1575">
        <v>6.7</v>
      </c>
      <c r="E1575">
        <v>0.6</v>
      </c>
      <c r="F1575">
        <v>5.8</v>
      </c>
      <c r="G1575">
        <v>3.5</v>
      </c>
      <c r="H1575" t="s">
        <v>10</v>
      </c>
      <c r="I1575">
        <v>17.299999999999997</v>
      </c>
      <c r="J1575" t="s">
        <v>14</v>
      </c>
      <c r="K1575">
        <v>3.3</v>
      </c>
      <c r="L1575" t="s">
        <v>52</v>
      </c>
      <c r="M1575" s="8">
        <v>0.47</v>
      </c>
    </row>
    <row r="1576" spans="1:13" x14ac:dyDescent="0.25">
      <c r="A1576">
        <v>1575</v>
      </c>
      <c r="B1576">
        <v>5.3</v>
      </c>
      <c r="C1576">
        <v>2.4</v>
      </c>
      <c r="D1576">
        <v>7.6</v>
      </c>
      <c r="E1576">
        <v>4.5</v>
      </c>
      <c r="F1576">
        <v>4.2</v>
      </c>
      <c r="G1576">
        <v>2.25</v>
      </c>
      <c r="H1576" t="s">
        <v>9</v>
      </c>
      <c r="I1576">
        <v>16.399999999999999</v>
      </c>
      <c r="J1576" t="s">
        <v>16</v>
      </c>
      <c r="K1576">
        <v>1.22</v>
      </c>
      <c r="L1576" t="s">
        <v>51</v>
      </c>
      <c r="M1576" s="8">
        <v>0.32</v>
      </c>
    </row>
    <row r="1577" spans="1:13" x14ac:dyDescent="0.25">
      <c r="A1577">
        <v>1576</v>
      </c>
      <c r="B1577">
        <v>7</v>
      </c>
      <c r="C1577">
        <v>0.1</v>
      </c>
      <c r="D1577">
        <v>6.7</v>
      </c>
      <c r="E1577">
        <v>5.9</v>
      </c>
      <c r="F1577">
        <v>4.3</v>
      </c>
      <c r="G1577">
        <v>3.12</v>
      </c>
      <c r="H1577" t="s">
        <v>8</v>
      </c>
      <c r="I1577">
        <v>17.3</v>
      </c>
      <c r="J1577" t="s">
        <v>15</v>
      </c>
      <c r="K1577">
        <v>3.03</v>
      </c>
      <c r="L1577" t="s">
        <v>52</v>
      </c>
      <c r="M1577" s="8">
        <v>0.4</v>
      </c>
    </row>
    <row r="1578" spans="1:13" x14ac:dyDescent="0.25">
      <c r="A1578">
        <v>1577</v>
      </c>
      <c r="B1578">
        <v>9.4</v>
      </c>
      <c r="C1578">
        <v>1.3</v>
      </c>
      <c r="D1578">
        <v>7.9</v>
      </c>
      <c r="E1578">
        <v>4.5999999999999996</v>
      </c>
      <c r="F1578">
        <v>0.8</v>
      </c>
      <c r="G1578">
        <v>3.34</v>
      </c>
      <c r="H1578" t="s">
        <v>10</v>
      </c>
      <c r="I1578">
        <v>16.100000000000001</v>
      </c>
      <c r="J1578" t="s">
        <v>15</v>
      </c>
      <c r="K1578">
        <v>3.96</v>
      </c>
      <c r="L1578" t="s">
        <v>52</v>
      </c>
      <c r="M1578" s="8">
        <v>0.57999999999999996</v>
      </c>
    </row>
    <row r="1579" spans="1:13" x14ac:dyDescent="0.25">
      <c r="A1579">
        <v>1578</v>
      </c>
      <c r="B1579">
        <v>5.4</v>
      </c>
      <c r="C1579">
        <v>2</v>
      </c>
      <c r="D1579">
        <v>9.8000000000000007</v>
      </c>
      <c r="E1579">
        <v>4.2</v>
      </c>
      <c r="F1579">
        <v>2.6</v>
      </c>
      <c r="G1579">
        <v>2.8</v>
      </c>
      <c r="H1579" t="s">
        <v>9</v>
      </c>
      <c r="I1579">
        <v>14.200000000000001</v>
      </c>
      <c r="J1579" t="s">
        <v>13</v>
      </c>
      <c r="K1579">
        <v>1.54</v>
      </c>
      <c r="L1579" t="s">
        <v>52</v>
      </c>
      <c r="M1579" s="8">
        <v>0.38</v>
      </c>
    </row>
    <row r="1580" spans="1:13" x14ac:dyDescent="0.25">
      <c r="A1580">
        <v>1579</v>
      </c>
      <c r="B1580">
        <v>5.4</v>
      </c>
      <c r="C1580">
        <v>0.8</v>
      </c>
      <c r="D1580">
        <v>8.9</v>
      </c>
      <c r="E1580">
        <v>5</v>
      </c>
      <c r="F1580">
        <v>3.9</v>
      </c>
      <c r="G1580">
        <v>3.12</v>
      </c>
      <c r="H1580" t="s">
        <v>9</v>
      </c>
      <c r="I1580">
        <v>15.1</v>
      </c>
      <c r="J1580" t="s">
        <v>15</v>
      </c>
      <c r="K1580">
        <v>2.08</v>
      </c>
      <c r="L1580" t="s">
        <v>52</v>
      </c>
      <c r="M1580" s="8">
        <v>0.36</v>
      </c>
    </row>
    <row r="1581" spans="1:13" x14ac:dyDescent="0.25">
      <c r="A1581">
        <v>1580</v>
      </c>
      <c r="B1581">
        <v>5.0999999999999996</v>
      </c>
      <c r="C1581">
        <v>3.3</v>
      </c>
      <c r="D1581">
        <v>8.9</v>
      </c>
      <c r="E1581">
        <v>1.6</v>
      </c>
      <c r="F1581">
        <v>5.0999999999999996</v>
      </c>
      <c r="G1581">
        <v>3.02</v>
      </c>
      <c r="H1581" t="s">
        <v>9</v>
      </c>
      <c r="I1581">
        <v>15.099999999999998</v>
      </c>
      <c r="J1581" t="s">
        <v>15</v>
      </c>
      <c r="K1581">
        <v>1.68</v>
      </c>
      <c r="L1581" t="s">
        <v>52</v>
      </c>
      <c r="M1581" s="8">
        <v>0.34</v>
      </c>
    </row>
    <row r="1582" spans="1:13" x14ac:dyDescent="0.25">
      <c r="A1582">
        <v>1581</v>
      </c>
      <c r="B1582">
        <v>8.5</v>
      </c>
      <c r="C1582">
        <v>0.9</v>
      </c>
      <c r="D1582">
        <v>5.2</v>
      </c>
      <c r="E1582">
        <v>1.2</v>
      </c>
      <c r="F1582">
        <v>8.1999999999999993</v>
      </c>
      <c r="G1582">
        <v>3.17</v>
      </c>
      <c r="H1582" t="s">
        <v>10</v>
      </c>
      <c r="I1582">
        <v>18.799999999999997</v>
      </c>
      <c r="J1582" t="s">
        <v>15</v>
      </c>
      <c r="K1582">
        <v>4.22</v>
      </c>
      <c r="L1582" t="s">
        <v>52</v>
      </c>
      <c r="M1582" s="8">
        <v>0.45</v>
      </c>
    </row>
    <row r="1583" spans="1:13" x14ac:dyDescent="0.25">
      <c r="A1583">
        <v>1582</v>
      </c>
      <c r="B1583">
        <v>7.1</v>
      </c>
      <c r="C1583">
        <v>2</v>
      </c>
      <c r="D1583">
        <v>7.4</v>
      </c>
      <c r="E1583">
        <v>1.6</v>
      </c>
      <c r="F1583">
        <v>5.9</v>
      </c>
      <c r="G1583">
        <v>2.86</v>
      </c>
      <c r="H1583" t="s">
        <v>8</v>
      </c>
      <c r="I1583">
        <v>16.600000000000001</v>
      </c>
      <c r="J1583" t="s">
        <v>13</v>
      </c>
      <c r="K1583">
        <v>2.76</v>
      </c>
      <c r="L1583" t="s">
        <v>52</v>
      </c>
      <c r="M1583" s="8">
        <v>0.43</v>
      </c>
    </row>
    <row r="1584" spans="1:13" x14ac:dyDescent="0.25">
      <c r="A1584">
        <v>1583</v>
      </c>
      <c r="B1584">
        <v>5.0999999999999996</v>
      </c>
      <c r="C1584">
        <v>2.4</v>
      </c>
      <c r="D1584">
        <v>7</v>
      </c>
      <c r="E1584">
        <v>1.8</v>
      </c>
      <c r="F1584">
        <v>7.7</v>
      </c>
      <c r="G1584">
        <v>2.84</v>
      </c>
      <c r="H1584" t="s">
        <v>9</v>
      </c>
      <c r="I1584">
        <v>17</v>
      </c>
      <c r="J1584" t="s">
        <v>13</v>
      </c>
      <c r="K1584">
        <v>2.71</v>
      </c>
      <c r="L1584" t="s">
        <v>52</v>
      </c>
      <c r="M1584" s="8">
        <v>0.3</v>
      </c>
    </row>
    <row r="1585" spans="1:13" x14ac:dyDescent="0.25">
      <c r="A1585">
        <v>1584</v>
      </c>
      <c r="B1585">
        <v>9.3000000000000007</v>
      </c>
      <c r="C1585">
        <v>2</v>
      </c>
      <c r="D1585">
        <v>5.7</v>
      </c>
      <c r="E1585">
        <v>4.2</v>
      </c>
      <c r="F1585">
        <v>2.8</v>
      </c>
      <c r="G1585">
        <v>3.51</v>
      </c>
      <c r="H1585" t="s">
        <v>10</v>
      </c>
      <c r="I1585">
        <v>18.3</v>
      </c>
      <c r="J1585" t="s">
        <v>14</v>
      </c>
      <c r="K1585">
        <v>3.28</v>
      </c>
      <c r="L1585" t="s">
        <v>52</v>
      </c>
      <c r="M1585" s="8">
        <v>0.51</v>
      </c>
    </row>
    <row r="1586" spans="1:13" x14ac:dyDescent="0.25">
      <c r="A1586">
        <v>1585</v>
      </c>
      <c r="B1586">
        <v>6</v>
      </c>
      <c r="C1586">
        <v>1.8</v>
      </c>
      <c r="D1586">
        <v>5.3</v>
      </c>
      <c r="E1586">
        <v>5</v>
      </c>
      <c r="F1586">
        <v>5.9</v>
      </c>
      <c r="G1586">
        <v>2.88</v>
      </c>
      <c r="H1586" t="s">
        <v>10</v>
      </c>
      <c r="I1586">
        <v>18.700000000000003</v>
      </c>
      <c r="J1586" t="s">
        <v>13</v>
      </c>
      <c r="K1586">
        <v>1.97</v>
      </c>
      <c r="L1586" t="s">
        <v>52</v>
      </c>
      <c r="M1586" s="8">
        <v>0.32</v>
      </c>
    </row>
    <row r="1587" spans="1:13" x14ac:dyDescent="0.25">
      <c r="A1587">
        <v>1586</v>
      </c>
      <c r="B1587">
        <v>8.6999999999999993</v>
      </c>
      <c r="C1587">
        <v>2.5</v>
      </c>
      <c r="D1587">
        <v>9</v>
      </c>
      <c r="E1587">
        <v>1.6</v>
      </c>
      <c r="F1587">
        <v>2.2000000000000002</v>
      </c>
      <c r="G1587">
        <v>3.53</v>
      </c>
      <c r="H1587" t="s">
        <v>10</v>
      </c>
      <c r="I1587">
        <v>15</v>
      </c>
      <c r="J1587" t="s">
        <v>14</v>
      </c>
      <c r="K1587">
        <v>3.32</v>
      </c>
      <c r="L1587" t="s">
        <v>52</v>
      </c>
      <c r="M1587" s="8">
        <v>0.57999999999999996</v>
      </c>
    </row>
    <row r="1588" spans="1:13" x14ac:dyDescent="0.25">
      <c r="A1588">
        <v>1587</v>
      </c>
      <c r="B1588">
        <v>8.9</v>
      </c>
      <c r="C1588">
        <v>1.8</v>
      </c>
      <c r="D1588">
        <v>9.6999999999999993</v>
      </c>
      <c r="E1588">
        <v>1.8</v>
      </c>
      <c r="F1588">
        <v>1.8</v>
      </c>
      <c r="G1588">
        <v>3.63</v>
      </c>
      <c r="H1588" t="s">
        <v>10</v>
      </c>
      <c r="I1588">
        <v>14.300000000000002</v>
      </c>
      <c r="J1588" t="s">
        <v>14</v>
      </c>
      <c r="K1588">
        <v>3.55</v>
      </c>
      <c r="L1588" t="s">
        <v>52</v>
      </c>
      <c r="M1588" s="8">
        <v>0.62</v>
      </c>
    </row>
    <row r="1589" spans="1:13" x14ac:dyDescent="0.25">
      <c r="A1589">
        <v>1588</v>
      </c>
      <c r="B1589">
        <v>9.1</v>
      </c>
      <c r="C1589">
        <v>2.2000000000000002</v>
      </c>
      <c r="D1589">
        <v>5.9</v>
      </c>
      <c r="E1589">
        <v>2.8</v>
      </c>
      <c r="F1589">
        <v>4</v>
      </c>
      <c r="G1589">
        <v>3.33</v>
      </c>
      <c r="H1589" t="s">
        <v>10</v>
      </c>
      <c r="I1589">
        <v>18.100000000000001</v>
      </c>
      <c r="J1589" t="s">
        <v>15</v>
      </c>
      <c r="K1589">
        <v>3.14</v>
      </c>
      <c r="L1589" t="s">
        <v>52</v>
      </c>
      <c r="M1589" s="8">
        <v>0.5</v>
      </c>
    </row>
    <row r="1590" spans="1:13" x14ac:dyDescent="0.25">
      <c r="A1590">
        <v>1589</v>
      </c>
      <c r="B1590">
        <v>9.8000000000000007</v>
      </c>
      <c r="C1590">
        <v>3</v>
      </c>
      <c r="D1590">
        <v>9.1</v>
      </c>
      <c r="E1590">
        <v>0.1</v>
      </c>
      <c r="F1590">
        <v>2</v>
      </c>
      <c r="G1590">
        <v>3.9</v>
      </c>
      <c r="H1590" t="s">
        <v>10</v>
      </c>
      <c r="I1590">
        <v>14.9</v>
      </c>
      <c r="J1590" t="s">
        <v>14</v>
      </c>
      <c r="K1590">
        <v>4.22</v>
      </c>
      <c r="L1590" t="s">
        <v>52</v>
      </c>
      <c r="M1590" s="8">
        <v>0.66</v>
      </c>
    </row>
    <row r="1591" spans="1:13" x14ac:dyDescent="0.25">
      <c r="A1591">
        <v>1590</v>
      </c>
      <c r="B1591">
        <v>9.1999999999999993</v>
      </c>
      <c r="C1591">
        <v>0.2</v>
      </c>
      <c r="D1591">
        <v>9.3000000000000007</v>
      </c>
      <c r="E1591">
        <v>2.9</v>
      </c>
      <c r="F1591">
        <v>2.4</v>
      </c>
      <c r="G1591">
        <v>3.29</v>
      </c>
      <c r="H1591" t="s">
        <v>10</v>
      </c>
      <c r="I1591">
        <v>14.7</v>
      </c>
      <c r="J1591" t="s">
        <v>15</v>
      </c>
      <c r="K1591">
        <v>3.87</v>
      </c>
      <c r="L1591" t="s">
        <v>52</v>
      </c>
      <c r="M1591" s="8">
        <v>0.63</v>
      </c>
    </row>
    <row r="1592" spans="1:13" x14ac:dyDescent="0.25">
      <c r="A1592">
        <v>1591</v>
      </c>
      <c r="B1592">
        <v>6</v>
      </c>
      <c r="C1592">
        <v>1.3</v>
      </c>
      <c r="D1592">
        <v>6.4</v>
      </c>
      <c r="E1592">
        <v>3.2</v>
      </c>
      <c r="F1592">
        <v>7.1</v>
      </c>
      <c r="G1592">
        <v>2.84</v>
      </c>
      <c r="H1592" t="s">
        <v>8</v>
      </c>
      <c r="I1592">
        <v>17.600000000000001</v>
      </c>
      <c r="J1592" t="s">
        <v>13</v>
      </c>
      <c r="K1592">
        <v>2.64</v>
      </c>
      <c r="L1592" t="s">
        <v>52</v>
      </c>
      <c r="M1592" s="8">
        <v>0.34</v>
      </c>
    </row>
    <row r="1593" spans="1:13" x14ac:dyDescent="0.25">
      <c r="A1593">
        <v>1592</v>
      </c>
      <c r="B1593">
        <v>6.2</v>
      </c>
      <c r="C1593">
        <v>1.8</v>
      </c>
      <c r="D1593">
        <v>7.6</v>
      </c>
      <c r="E1593">
        <v>4.5999999999999996</v>
      </c>
      <c r="F1593">
        <v>3.8</v>
      </c>
      <c r="G1593">
        <v>2.98</v>
      </c>
      <c r="H1593" t="s">
        <v>8</v>
      </c>
      <c r="I1593">
        <v>16.399999999999999</v>
      </c>
      <c r="J1593" t="s">
        <v>13</v>
      </c>
      <c r="K1593">
        <v>1.83</v>
      </c>
      <c r="L1593" t="s">
        <v>52</v>
      </c>
      <c r="M1593" s="8">
        <v>0.38</v>
      </c>
    </row>
    <row r="1594" spans="1:13" x14ac:dyDescent="0.25">
      <c r="A1594">
        <v>1593</v>
      </c>
      <c r="B1594">
        <v>7.2</v>
      </c>
      <c r="C1594">
        <v>3.2</v>
      </c>
      <c r="D1594">
        <v>8.1</v>
      </c>
      <c r="E1594">
        <v>0.6</v>
      </c>
      <c r="F1594">
        <v>4.9000000000000004</v>
      </c>
      <c r="G1594">
        <v>3.04</v>
      </c>
      <c r="H1594" t="s">
        <v>8</v>
      </c>
      <c r="I1594">
        <v>15.9</v>
      </c>
      <c r="J1594" t="s">
        <v>15</v>
      </c>
      <c r="K1594">
        <v>2.78</v>
      </c>
      <c r="L1594" t="s">
        <v>52</v>
      </c>
      <c r="M1594" s="8">
        <v>0.45</v>
      </c>
    </row>
    <row r="1595" spans="1:13" x14ac:dyDescent="0.25">
      <c r="A1595">
        <v>1594</v>
      </c>
      <c r="B1595">
        <v>7</v>
      </c>
      <c r="C1595">
        <v>3</v>
      </c>
      <c r="D1595">
        <v>7.9</v>
      </c>
      <c r="E1595">
        <v>2.2999999999999998</v>
      </c>
      <c r="F1595">
        <v>3.8</v>
      </c>
      <c r="G1595">
        <v>2.81</v>
      </c>
      <c r="H1595" t="s">
        <v>8</v>
      </c>
      <c r="I1595">
        <v>16.100000000000001</v>
      </c>
      <c r="J1595" t="s">
        <v>13</v>
      </c>
      <c r="K1595">
        <v>2.08</v>
      </c>
      <c r="L1595" t="s">
        <v>52</v>
      </c>
      <c r="M1595" s="8">
        <v>0.43</v>
      </c>
    </row>
    <row r="1596" spans="1:13" x14ac:dyDescent="0.25">
      <c r="A1596">
        <v>1595</v>
      </c>
      <c r="B1596">
        <v>5.9</v>
      </c>
      <c r="C1596">
        <v>0.9</v>
      </c>
      <c r="D1596">
        <v>7.9</v>
      </c>
      <c r="E1596">
        <v>2.5</v>
      </c>
      <c r="F1596">
        <v>6.8</v>
      </c>
      <c r="G1596">
        <v>2.63</v>
      </c>
      <c r="H1596" t="s">
        <v>9</v>
      </c>
      <c r="I1596">
        <v>16.100000000000001</v>
      </c>
      <c r="J1596" t="s">
        <v>13</v>
      </c>
      <c r="K1596">
        <v>2.79</v>
      </c>
      <c r="L1596" t="s">
        <v>52</v>
      </c>
      <c r="M1596" s="8">
        <v>0.37</v>
      </c>
    </row>
    <row r="1597" spans="1:13" x14ac:dyDescent="0.25">
      <c r="A1597">
        <v>1596</v>
      </c>
      <c r="B1597">
        <v>8.3000000000000007</v>
      </c>
      <c r="C1597">
        <v>3.4</v>
      </c>
      <c r="D1597">
        <v>6.3</v>
      </c>
      <c r="E1597">
        <v>2.9</v>
      </c>
      <c r="F1597">
        <v>3.1</v>
      </c>
      <c r="G1597">
        <v>3.26</v>
      </c>
      <c r="H1597" t="s">
        <v>10</v>
      </c>
      <c r="I1597">
        <v>17.700000000000003</v>
      </c>
      <c r="J1597" t="s">
        <v>15</v>
      </c>
      <c r="K1597">
        <v>2.59</v>
      </c>
      <c r="L1597" t="s">
        <v>52</v>
      </c>
      <c r="M1597" s="8">
        <v>0.47</v>
      </c>
    </row>
    <row r="1598" spans="1:13" x14ac:dyDescent="0.25">
      <c r="A1598">
        <v>1597</v>
      </c>
      <c r="B1598">
        <v>9.9</v>
      </c>
      <c r="C1598">
        <v>1.3</v>
      </c>
      <c r="D1598">
        <v>8</v>
      </c>
      <c r="E1598">
        <v>0.4</v>
      </c>
      <c r="F1598">
        <v>4.4000000000000004</v>
      </c>
      <c r="G1598">
        <v>3.33</v>
      </c>
      <c r="H1598" t="s">
        <v>10</v>
      </c>
      <c r="I1598">
        <v>16</v>
      </c>
      <c r="J1598" t="s">
        <v>15</v>
      </c>
      <c r="K1598">
        <v>4.29</v>
      </c>
      <c r="L1598" t="s">
        <v>52</v>
      </c>
      <c r="M1598" s="8">
        <v>0.62</v>
      </c>
    </row>
    <row r="1599" spans="1:13" x14ac:dyDescent="0.25">
      <c r="A1599">
        <v>1598</v>
      </c>
      <c r="B1599">
        <v>9.8000000000000007</v>
      </c>
      <c r="C1599">
        <v>2.9</v>
      </c>
      <c r="D1599">
        <v>8.9</v>
      </c>
      <c r="E1599">
        <v>1.7</v>
      </c>
      <c r="F1599">
        <v>0.7</v>
      </c>
      <c r="G1599">
        <v>3.51</v>
      </c>
      <c r="H1599" t="s">
        <v>10</v>
      </c>
      <c r="I1599">
        <v>15.1</v>
      </c>
      <c r="J1599" t="s">
        <v>14</v>
      </c>
      <c r="K1599">
        <v>4.12</v>
      </c>
      <c r="L1599" t="s">
        <v>52</v>
      </c>
      <c r="M1599" s="8">
        <v>0.65</v>
      </c>
    </row>
    <row r="1600" spans="1:13" x14ac:dyDescent="0.25">
      <c r="A1600">
        <v>1599</v>
      </c>
      <c r="B1600">
        <v>7.9</v>
      </c>
      <c r="C1600">
        <v>1.8</v>
      </c>
      <c r="D1600">
        <v>9.3000000000000007</v>
      </c>
      <c r="E1600">
        <v>4.8</v>
      </c>
      <c r="F1600">
        <v>0.2</v>
      </c>
      <c r="G1600">
        <v>3.34</v>
      </c>
      <c r="H1600" t="s">
        <v>8</v>
      </c>
      <c r="I1600">
        <v>14.7</v>
      </c>
      <c r="J1600" t="s">
        <v>15</v>
      </c>
      <c r="K1600">
        <v>3.4</v>
      </c>
      <c r="L1600" t="s">
        <v>52</v>
      </c>
      <c r="M1600" s="8">
        <v>0.54</v>
      </c>
    </row>
    <row r="1601" spans="1:13" x14ac:dyDescent="0.25">
      <c r="A1601">
        <v>1600</v>
      </c>
      <c r="B1601">
        <v>7.9</v>
      </c>
      <c r="C1601">
        <v>2.2000000000000002</v>
      </c>
      <c r="D1601">
        <v>7.3</v>
      </c>
      <c r="E1601">
        <v>1.3</v>
      </c>
      <c r="F1601">
        <v>5.3</v>
      </c>
      <c r="G1601">
        <v>3.18</v>
      </c>
      <c r="H1601" t="s">
        <v>8</v>
      </c>
      <c r="I1601">
        <v>16.700000000000003</v>
      </c>
      <c r="J1601" t="s">
        <v>15</v>
      </c>
      <c r="K1601">
        <v>3.02</v>
      </c>
      <c r="L1601" t="s">
        <v>52</v>
      </c>
      <c r="M1601" s="8">
        <v>0.47</v>
      </c>
    </row>
    <row r="1602" spans="1:13" x14ac:dyDescent="0.25">
      <c r="A1602">
        <v>1601</v>
      </c>
      <c r="B1602">
        <v>5</v>
      </c>
      <c r="C1602">
        <v>1</v>
      </c>
      <c r="D1602">
        <v>7.5</v>
      </c>
      <c r="E1602">
        <v>2.2999999999999998</v>
      </c>
      <c r="F1602">
        <v>8.1999999999999993</v>
      </c>
      <c r="G1602">
        <v>2.82</v>
      </c>
      <c r="H1602" t="s">
        <v>9</v>
      </c>
      <c r="I1602">
        <v>16.5</v>
      </c>
      <c r="J1602" t="s">
        <v>13</v>
      </c>
      <c r="K1602">
        <v>3.19</v>
      </c>
      <c r="L1602" t="s">
        <v>52</v>
      </c>
      <c r="M1602" s="8">
        <v>0.3</v>
      </c>
    </row>
    <row r="1603" spans="1:13" x14ac:dyDescent="0.25">
      <c r="A1603">
        <v>1602</v>
      </c>
      <c r="B1603">
        <v>6.8</v>
      </c>
      <c r="C1603">
        <v>1.8</v>
      </c>
      <c r="D1603">
        <v>5.7</v>
      </c>
      <c r="E1603">
        <v>0.3</v>
      </c>
      <c r="F1603">
        <v>9.4</v>
      </c>
      <c r="G1603">
        <v>3.01</v>
      </c>
      <c r="H1603" t="s">
        <v>10</v>
      </c>
      <c r="I1603">
        <v>18.3</v>
      </c>
      <c r="J1603" t="s">
        <v>15</v>
      </c>
      <c r="K1603">
        <v>4.25</v>
      </c>
      <c r="L1603" t="s">
        <v>52</v>
      </c>
      <c r="M1603" s="8">
        <v>0.37</v>
      </c>
    </row>
    <row r="1604" spans="1:13" x14ac:dyDescent="0.25">
      <c r="A1604">
        <v>1603</v>
      </c>
      <c r="B1604">
        <v>8.9</v>
      </c>
      <c r="C1604">
        <v>2.2999999999999998</v>
      </c>
      <c r="D1604">
        <v>8.8000000000000007</v>
      </c>
      <c r="E1604">
        <v>0.6</v>
      </c>
      <c r="F1604">
        <v>3.4</v>
      </c>
      <c r="G1604">
        <v>3.02</v>
      </c>
      <c r="H1604" t="s">
        <v>10</v>
      </c>
      <c r="I1604">
        <v>15.2</v>
      </c>
      <c r="J1604" t="s">
        <v>15</v>
      </c>
      <c r="K1604">
        <v>3.59</v>
      </c>
      <c r="L1604" t="s">
        <v>52</v>
      </c>
      <c r="M1604" s="8">
        <v>0.59</v>
      </c>
    </row>
    <row r="1605" spans="1:13" x14ac:dyDescent="0.25">
      <c r="A1605">
        <v>1604</v>
      </c>
      <c r="B1605">
        <v>6.1</v>
      </c>
      <c r="C1605">
        <v>0</v>
      </c>
      <c r="D1605">
        <v>5.7</v>
      </c>
      <c r="E1605">
        <v>1.9</v>
      </c>
      <c r="F1605">
        <v>10.3</v>
      </c>
      <c r="G1605">
        <v>3.01</v>
      </c>
      <c r="H1605" t="s">
        <v>10</v>
      </c>
      <c r="I1605">
        <v>18.3</v>
      </c>
      <c r="J1605" t="s">
        <v>15</v>
      </c>
      <c r="K1605">
        <v>4.59</v>
      </c>
      <c r="L1605" t="s">
        <v>52</v>
      </c>
      <c r="M1605" s="8">
        <v>0.33</v>
      </c>
    </row>
    <row r="1606" spans="1:13" x14ac:dyDescent="0.25">
      <c r="A1606">
        <v>1605</v>
      </c>
      <c r="B1606">
        <v>5.6</v>
      </c>
      <c r="C1606">
        <v>3.9</v>
      </c>
      <c r="D1606">
        <v>6.5</v>
      </c>
      <c r="E1606">
        <v>0.8</v>
      </c>
      <c r="F1606">
        <v>7.2</v>
      </c>
      <c r="G1606">
        <v>2.92</v>
      </c>
      <c r="H1606" t="s">
        <v>9</v>
      </c>
      <c r="I1606">
        <v>17.5</v>
      </c>
      <c r="J1606" t="s">
        <v>13</v>
      </c>
      <c r="K1606">
        <v>2.74</v>
      </c>
      <c r="L1606" t="s">
        <v>52</v>
      </c>
      <c r="M1606" s="8">
        <v>0.32</v>
      </c>
    </row>
    <row r="1607" spans="1:13" x14ac:dyDescent="0.25">
      <c r="A1607">
        <v>1606</v>
      </c>
      <c r="B1607">
        <v>5.3</v>
      </c>
      <c r="C1607">
        <v>3.4</v>
      </c>
      <c r="D1607">
        <v>9.8000000000000007</v>
      </c>
      <c r="E1607">
        <v>1.4</v>
      </c>
      <c r="F1607">
        <v>4.0999999999999996</v>
      </c>
      <c r="G1607">
        <v>2.5299999999999998</v>
      </c>
      <c r="H1607" t="s">
        <v>9</v>
      </c>
      <c r="I1607">
        <v>14.2</v>
      </c>
      <c r="J1607" t="s">
        <v>13</v>
      </c>
      <c r="K1607">
        <v>1.63</v>
      </c>
      <c r="L1607" t="s">
        <v>52</v>
      </c>
      <c r="M1607" s="8">
        <v>0.37</v>
      </c>
    </row>
    <row r="1608" spans="1:13" x14ac:dyDescent="0.25">
      <c r="A1608">
        <v>1607</v>
      </c>
      <c r="B1608">
        <v>7.3</v>
      </c>
      <c r="C1608">
        <v>0.1</v>
      </c>
      <c r="D1608">
        <v>8.1999999999999993</v>
      </c>
      <c r="E1608">
        <v>2.5</v>
      </c>
      <c r="F1608">
        <v>5.9</v>
      </c>
      <c r="G1608">
        <v>2.92</v>
      </c>
      <c r="H1608" t="s">
        <v>8</v>
      </c>
      <c r="I1608">
        <v>15.799999999999999</v>
      </c>
      <c r="J1608" t="s">
        <v>13</v>
      </c>
      <c r="K1608">
        <v>3.26</v>
      </c>
      <c r="L1608" t="s">
        <v>52</v>
      </c>
      <c r="M1608" s="8">
        <v>0.46</v>
      </c>
    </row>
    <row r="1609" spans="1:13" x14ac:dyDescent="0.25">
      <c r="A1609">
        <v>1608</v>
      </c>
      <c r="B1609">
        <v>8.3000000000000007</v>
      </c>
      <c r="C1609">
        <v>1.7</v>
      </c>
      <c r="D1609">
        <v>5.9</v>
      </c>
      <c r="E1609">
        <v>4.0999999999999996</v>
      </c>
      <c r="F1609">
        <v>4</v>
      </c>
      <c r="G1609">
        <v>3.11</v>
      </c>
      <c r="H1609" t="s">
        <v>10</v>
      </c>
      <c r="I1609">
        <v>18.100000000000001</v>
      </c>
      <c r="J1609" t="s">
        <v>15</v>
      </c>
      <c r="K1609">
        <v>2.75</v>
      </c>
      <c r="L1609" t="s">
        <v>52</v>
      </c>
      <c r="M1609" s="8">
        <v>0.46</v>
      </c>
    </row>
    <row r="1610" spans="1:13" x14ac:dyDescent="0.25">
      <c r="A1610">
        <v>1609</v>
      </c>
      <c r="B1610">
        <v>7.8</v>
      </c>
      <c r="C1610">
        <v>3.4</v>
      </c>
      <c r="D1610">
        <v>5.6</v>
      </c>
      <c r="E1610">
        <v>4.7</v>
      </c>
      <c r="F1610">
        <v>2.5</v>
      </c>
      <c r="G1610">
        <v>3.02</v>
      </c>
      <c r="H1610" t="s">
        <v>10</v>
      </c>
      <c r="I1610">
        <v>18.399999999999999</v>
      </c>
      <c r="J1610" t="s">
        <v>15</v>
      </c>
      <c r="K1610">
        <v>2.3199999999999998</v>
      </c>
      <c r="L1610" t="s">
        <v>52</v>
      </c>
      <c r="M1610" s="8">
        <v>0.42</v>
      </c>
    </row>
    <row r="1611" spans="1:13" x14ac:dyDescent="0.25">
      <c r="A1611">
        <v>1610</v>
      </c>
      <c r="B1611">
        <v>8.5</v>
      </c>
      <c r="C1611">
        <v>1.8</v>
      </c>
      <c r="D1611">
        <v>9.6999999999999993</v>
      </c>
      <c r="E1611">
        <v>0.6</v>
      </c>
      <c r="F1611">
        <v>3.4</v>
      </c>
      <c r="G1611">
        <v>3.34</v>
      </c>
      <c r="H1611" t="s">
        <v>10</v>
      </c>
      <c r="I1611">
        <v>14.3</v>
      </c>
      <c r="J1611" t="s">
        <v>15</v>
      </c>
      <c r="K1611">
        <v>3.48</v>
      </c>
      <c r="L1611" t="s">
        <v>52</v>
      </c>
      <c r="M1611" s="8">
        <v>0.59</v>
      </c>
    </row>
    <row r="1612" spans="1:13" x14ac:dyDescent="0.25">
      <c r="A1612">
        <v>1611</v>
      </c>
      <c r="B1612">
        <v>8.1999999999999993</v>
      </c>
      <c r="C1612">
        <v>1.5</v>
      </c>
      <c r="D1612">
        <v>9.8000000000000007</v>
      </c>
      <c r="E1612">
        <v>1.5</v>
      </c>
      <c r="F1612">
        <v>3</v>
      </c>
      <c r="G1612">
        <v>3.4</v>
      </c>
      <c r="H1612" t="s">
        <v>10</v>
      </c>
      <c r="I1612">
        <v>14.2</v>
      </c>
      <c r="J1612" t="s">
        <v>15</v>
      </c>
      <c r="K1612">
        <v>3.18</v>
      </c>
      <c r="L1612" t="s">
        <v>52</v>
      </c>
      <c r="M1612" s="8">
        <v>0.57999999999999996</v>
      </c>
    </row>
    <row r="1613" spans="1:13" x14ac:dyDescent="0.25">
      <c r="A1613">
        <v>1612</v>
      </c>
      <c r="B1613">
        <v>10</v>
      </c>
      <c r="C1613">
        <v>1</v>
      </c>
      <c r="D1613">
        <v>7.2</v>
      </c>
      <c r="E1613">
        <v>3</v>
      </c>
      <c r="F1613">
        <v>2.8</v>
      </c>
      <c r="G1613">
        <v>3.37</v>
      </c>
      <c r="H1613" t="s">
        <v>10</v>
      </c>
      <c r="I1613">
        <v>16.8</v>
      </c>
      <c r="J1613" t="s">
        <v>15</v>
      </c>
      <c r="K1613">
        <v>3.97</v>
      </c>
      <c r="L1613" t="s">
        <v>52</v>
      </c>
      <c r="M1613" s="8">
        <v>0.6</v>
      </c>
    </row>
    <row r="1614" spans="1:13" x14ac:dyDescent="0.25">
      <c r="A1614">
        <v>1613</v>
      </c>
      <c r="B1614">
        <v>6.5</v>
      </c>
      <c r="C1614">
        <v>0.1</v>
      </c>
      <c r="D1614">
        <v>6.1</v>
      </c>
      <c r="E1614">
        <v>1.7</v>
      </c>
      <c r="F1614">
        <v>9.6</v>
      </c>
      <c r="G1614">
        <v>2.72</v>
      </c>
      <c r="H1614" t="s">
        <v>8</v>
      </c>
      <c r="I1614">
        <v>17.899999999999999</v>
      </c>
      <c r="J1614" t="s">
        <v>13</v>
      </c>
      <c r="K1614">
        <v>4.37</v>
      </c>
      <c r="L1614" t="s">
        <v>52</v>
      </c>
      <c r="M1614" s="8">
        <v>0.36</v>
      </c>
    </row>
    <row r="1615" spans="1:13" x14ac:dyDescent="0.25">
      <c r="A1615">
        <v>1614</v>
      </c>
      <c r="B1615">
        <v>9.4</v>
      </c>
      <c r="C1615">
        <v>2.8</v>
      </c>
      <c r="D1615">
        <v>5.4</v>
      </c>
      <c r="E1615">
        <v>3.9</v>
      </c>
      <c r="F1615">
        <v>2.5</v>
      </c>
      <c r="G1615">
        <v>3.37</v>
      </c>
      <c r="H1615" t="s">
        <v>10</v>
      </c>
      <c r="I1615">
        <v>18.599999999999998</v>
      </c>
      <c r="J1615" t="s">
        <v>15</v>
      </c>
      <c r="K1615">
        <v>3.22</v>
      </c>
      <c r="L1615" t="s">
        <v>52</v>
      </c>
      <c r="M1615" s="8">
        <v>0.51</v>
      </c>
    </row>
    <row r="1616" spans="1:13" x14ac:dyDescent="0.25">
      <c r="A1616">
        <v>1615</v>
      </c>
      <c r="B1616">
        <v>8.3000000000000007</v>
      </c>
      <c r="C1616">
        <v>3.8</v>
      </c>
      <c r="D1616">
        <v>5</v>
      </c>
      <c r="E1616">
        <v>1.5</v>
      </c>
      <c r="F1616">
        <v>5.4</v>
      </c>
      <c r="G1616">
        <v>3.43</v>
      </c>
      <c r="H1616" t="s">
        <v>10</v>
      </c>
      <c r="I1616">
        <v>19</v>
      </c>
      <c r="J1616" t="s">
        <v>15</v>
      </c>
      <c r="K1616">
        <v>2.86</v>
      </c>
      <c r="L1616" t="s">
        <v>52</v>
      </c>
      <c r="M1616" s="8">
        <v>0.44</v>
      </c>
    </row>
    <row r="1617" spans="1:13" x14ac:dyDescent="0.25">
      <c r="A1617">
        <v>1616</v>
      </c>
      <c r="B1617">
        <v>5.5</v>
      </c>
      <c r="C1617">
        <v>2.1</v>
      </c>
      <c r="D1617">
        <v>6.2</v>
      </c>
      <c r="E1617">
        <v>1.1000000000000001</v>
      </c>
      <c r="F1617">
        <v>9.1</v>
      </c>
      <c r="G1617">
        <v>2.98</v>
      </c>
      <c r="H1617" t="s">
        <v>9</v>
      </c>
      <c r="I1617">
        <v>17.799999999999997</v>
      </c>
      <c r="J1617" t="s">
        <v>13</v>
      </c>
      <c r="K1617">
        <v>3.63</v>
      </c>
      <c r="L1617" t="s">
        <v>52</v>
      </c>
      <c r="M1617" s="8">
        <v>0.31</v>
      </c>
    </row>
    <row r="1618" spans="1:13" x14ac:dyDescent="0.25">
      <c r="A1618">
        <v>1617</v>
      </c>
      <c r="B1618">
        <v>9.1</v>
      </c>
      <c r="C1618">
        <v>0.5</v>
      </c>
      <c r="D1618">
        <v>7.3</v>
      </c>
      <c r="E1618">
        <v>5.6</v>
      </c>
      <c r="F1618">
        <v>1.5</v>
      </c>
      <c r="G1618">
        <v>3.37</v>
      </c>
      <c r="H1618" t="s">
        <v>10</v>
      </c>
      <c r="I1618">
        <v>16.7</v>
      </c>
      <c r="J1618" t="s">
        <v>15</v>
      </c>
      <c r="K1618">
        <v>3.96</v>
      </c>
      <c r="L1618" t="s">
        <v>52</v>
      </c>
      <c r="M1618" s="8">
        <v>0.54</v>
      </c>
    </row>
    <row r="1619" spans="1:13" x14ac:dyDescent="0.25">
      <c r="A1619">
        <v>1618</v>
      </c>
      <c r="B1619">
        <v>5.9</v>
      </c>
      <c r="C1619">
        <v>1.3</v>
      </c>
      <c r="D1619">
        <v>7.1</v>
      </c>
      <c r="E1619">
        <v>1.9</v>
      </c>
      <c r="F1619">
        <v>7.8</v>
      </c>
      <c r="G1619">
        <v>2.91</v>
      </c>
      <c r="H1619" t="s">
        <v>9</v>
      </c>
      <c r="I1619">
        <v>16.899999999999999</v>
      </c>
      <c r="J1619" t="s">
        <v>13</v>
      </c>
      <c r="K1619">
        <v>3.14</v>
      </c>
      <c r="L1619" t="s">
        <v>52</v>
      </c>
      <c r="M1619" s="8">
        <v>0.35</v>
      </c>
    </row>
    <row r="1620" spans="1:13" x14ac:dyDescent="0.25">
      <c r="A1620">
        <v>1619</v>
      </c>
      <c r="B1620">
        <v>6.4</v>
      </c>
      <c r="C1620">
        <v>3.9</v>
      </c>
      <c r="D1620">
        <v>5.8</v>
      </c>
      <c r="E1620">
        <v>4.4000000000000004</v>
      </c>
      <c r="F1620">
        <v>3.5</v>
      </c>
      <c r="G1620">
        <v>2.91</v>
      </c>
      <c r="H1620" t="s">
        <v>10</v>
      </c>
      <c r="I1620">
        <v>18.200000000000003</v>
      </c>
      <c r="J1620" t="s">
        <v>13</v>
      </c>
      <c r="K1620">
        <v>1.29</v>
      </c>
      <c r="L1620" t="s">
        <v>51</v>
      </c>
      <c r="M1620" s="8">
        <v>0.35</v>
      </c>
    </row>
    <row r="1621" spans="1:13" x14ac:dyDescent="0.25">
      <c r="A1621">
        <v>1620</v>
      </c>
      <c r="B1621">
        <v>5.9</v>
      </c>
      <c r="C1621">
        <v>2.6</v>
      </c>
      <c r="D1621">
        <v>8.6</v>
      </c>
      <c r="E1621">
        <v>4.0999999999999996</v>
      </c>
      <c r="F1621">
        <v>2.8</v>
      </c>
      <c r="G1621">
        <v>2.98</v>
      </c>
      <c r="H1621" t="s">
        <v>9</v>
      </c>
      <c r="I1621">
        <v>15.399999999999999</v>
      </c>
      <c r="J1621" t="s">
        <v>13</v>
      </c>
      <c r="K1621">
        <v>1.52</v>
      </c>
      <c r="L1621" t="s">
        <v>52</v>
      </c>
      <c r="M1621" s="8">
        <v>0.38</v>
      </c>
    </row>
    <row r="1622" spans="1:13" x14ac:dyDescent="0.25">
      <c r="A1622">
        <v>1621</v>
      </c>
      <c r="B1622">
        <v>6.6</v>
      </c>
      <c r="C1622">
        <v>1</v>
      </c>
      <c r="D1622">
        <v>9.8000000000000007</v>
      </c>
      <c r="E1622">
        <v>5.5</v>
      </c>
      <c r="F1622">
        <v>1.1000000000000001</v>
      </c>
      <c r="G1622">
        <v>3.23</v>
      </c>
      <c r="H1622" t="s">
        <v>8</v>
      </c>
      <c r="I1622">
        <v>14.2</v>
      </c>
      <c r="J1622" t="s">
        <v>15</v>
      </c>
      <c r="K1622">
        <v>2.92</v>
      </c>
      <c r="L1622" t="s">
        <v>52</v>
      </c>
      <c r="M1622" s="8">
        <v>0.46</v>
      </c>
    </row>
    <row r="1623" spans="1:13" x14ac:dyDescent="0.25">
      <c r="A1623">
        <v>1622</v>
      </c>
      <c r="B1623">
        <v>7.3</v>
      </c>
      <c r="C1623">
        <v>1.7</v>
      </c>
      <c r="D1623">
        <v>5.8</v>
      </c>
      <c r="E1623">
        <v>2.6</v>
      </c>
      <c r="F1623">
        <v>6.6</v>
      </c>
      <c r="G1623">
        <v>3.07</v>
      </c>
      <c r="H1623" t="s">
        <v>10</v>
      </c>
      <c r="I1623">
        <v>18.2</v>
      </c>
      <c r="J1623" t="s">
        <v>15</v>
      </c>
      <c r="K1623">
        <v>2.81</v>
      </c>
      <c r="L1623" t="s">
        <v>52</v>
      </c>
      <c r="M1623" s="8">
        <v>0.4</v>
      </c>
    </row>
    <row r="1624" spans="1:13" x14ac:dyDescent="0.25">
      <c r="A1624">
        <v>1623</v>
      </c>
      <c r="B1624">
        <v>7.7</v>
      </c>
      <c r="C1624">
        <v>0.1</v>
      </c>
      <c r="D1624">
        <v>7.2</v>
      </c>
      <c r="E1624">
        <v>4.7</v>
      </c>
      <c r="F1624">
        <v>4.3</v>
      </c>
      <c r="G1624">
        <v>3.37</v>
      </c>
      <c r="H1624" t="s">
        <v>8</v>
      </c>
      <c r="I1624">
        <v>16.8</v>
      </c>
      <c r="J1624" t="s">
        <v>15</v>
      </c>
      <c r="K1624">
        <v>3.13</v>
      </c>
      <c r="L1624" t="s">
        <v>52</v>
      </c>
      <c r="M1624" s="8">
        <v>0.46</v>
      </c>
    </row>
    <row r="1625" spans="1:13" x14ac:dyDescent="0.25">
      <c r="A1625">
        <v>1624</v>
      </c>
      <c r="B1625">
        <v>9.5</v>
      </c>
      <c r="C1625">
        <v>0.1</v>
      </c>
      <c r="D1625">
        <v>7.8</v>
      </c>
      <c r="E1625">
        <v>4.7</v>
      </c>
      <c r="F1625">
        <v>1.9</v>
      </c>
      <c r="G1625">
        <v>3.71</v>
      </c>
      <c r="H1625" t="s">
        <v>10</v>
      </c>
      <c r="I1625">
        <v>16.2</v>
      </c>
      <c r="J1625" t="s">
        <v>14</v>
      </c>
      <c r="K1625">
        <v>4.0999999999999996</v>
      </c>
      <c r="L1625" t="s">
        <v>52</v>
      </c>
      <c r="M1625" s="8">
        <v>0.59</v>
      </c>
    </row>
    <row r="1626" spans="1:13" x14ac:dyDescent="0.25">
      <c r="A1626">
        <v>1625</v>
      </c>
      <c r="B1626">
        <v>7.7</v>
      </c>
      <c r="C1626">
        <v>1.3</v>
      </c>
      <c r="D1626">
        <v>5.7</v>
      </c>
      <c r="E1626">
        <v>5.3</v>
      </c>
      <c r="F1626">
        <v>4</v>
      </c>
      <c r="G1626">
        <v>3.36</v>
      </c>
      <c r="H1626" t="s">
        <v>10</v>
      </c>
      <c r="I1626">
        <v>18.3</v>
      </c>
      <c r="J1626" t="s">
        <v>15</v>
      </c>
      <c r="K1626">
        <v>2.67</v>
      </c>
      <c r="L1626" t="s">
        <v>52</v>
      </c>
      <c r="M1626" s="8">
        <v>0.42</v>
      </c>
    </row>
    <row r="1627" spans="1:13" x14ac:dyDescent="0.25">
      <c r="A1627">
        <v>1626</v>
      </c>
      <c r="B1627">
        <v>7.9</v>
      </c>
      <c r="C1627">
        <v>2.7</v>
      </c>
      <c r="D1627">
        <v>9</v>
      </c>
      <c r="E1627">
        <v>2.9</v>
      </c>
      <c r="F1627">
        <v>1.5</v>
      </c>
      <c r="G1627">
        <v>3.17</v>
      </c>
      <c r="H1627" t="s">
        <v>8</v>
      </c>
      <c r="I1627">
        <v>15.000000000000002</v>
      </c>
      <c r="J1627" t="s">
        <v>15</v>
      </c>
      <c r="K1627">
        <v>2.83</v>
      </c>
      <c r="L1627" t="s">
        <v>52</v>
      </c>
      <c r="M1627" s="8">
        <v>0.53</v>
      </c>
    </row>
    <row r="1628" spans="1:13" x14ac:dyDescent="0.25">
      <c r="A1628">
        <v>1627</v>
      </c>
      <c r="B1628">
        <v>7</v>
      </c>
      <c r="C1628">
        <v>2.1</v>
      </c>
      <c r="D1628">
        <v>9</v>
      </c>
      <c r="E1628">
        <v>2.2000000000000002</v>
      </c>
      <c r="F1628">
        <v>3.7</v>
      </c>
      <c r="G1628">
        <v>2.89</v>
      </c>
      <c r="H1628" t="s">
        <v>8</v>
      </c>
      <c r="I1628">
        <v>15</v>
      </c>
      <c r="J1628" t="s">
        <v>13</v>
      </c>
      <c r="K1628">
        <v>2.29</v>
      </c>
      <c r="L1628" t="s">
        <v>52</v>
      </c>
      <c r="M1628" s="8">
        <v>0.47</v>
      </c>
    </row>
    <row r="1629" spans="1:13" x14ac:dyDescent="0.25">
      <c r="A1629">
        <v>1628</v>
      </c>
      <c r="B1629">
        <v>9.6</v>
      </c>
      <c r="C1629">
        <v>0.4</v>
      </c>
      <c r="D1629">
        <v>8.1999999999999993</v>
      </c>
      <c r="E1629">
        <v>2.4</v>
      </c>
      <c r="F1629">
        <v>3.4</v>
      </c>
      <c r="G1629">
        <v>3.4</v>
      </c>
      <c r="H1629" t="s">
        <v>10</v>
      </c>
      <c r="I1629">
        <v>15.8</v>
      </c>
      <c r="J1629" t="s">
        <v>15</v>
      </c>
      <c r="K1629">
        <v>3.97</v>
      </c>
      <c r="L1629" t="s">
        <v>52</v>
      </c>
      <c r="M1629" s="8">
        <v>0.61</v>
      </c>
    </row>
    <row r="1630" spans="1:13" x14ac:dyDescent="0.25">
      <c r="A1630">
        <v>1629</v>
      </c>
      <c r="B1630">
        <v>7</v>
      </c>
      <c r="C1630">
        <v>2.7</v>
      </c>
      <c r="D1630">
        <v>5.3</v>
      </c>
      <c r="E1630">
        <v>3.6</v>
      </c>
      <c r="F1630">
        <v>5.4</v>
      </c>
      <c r="G1630">
        <v>3.17</v>
      </c>
      <c r="H1630" t="s">
        <v>10</v>
      </c>
      <c r="I1630">
        <v>18.7</v>
      </c>
      <c r="J1630" t="s">
        <v>15</v>
      </c>
      <c r="K1630">
        <v>1.91</v>
      </c>
      <c r="L1630" t="s">
        <v>52</v>
      </c>
      <c r="M1630" s="8">
        <v>0.37</v>
      </c>
    </row>
    <row r="1631" spans="1:13" x14ac:dyDescent="0.25">
      <c r="A1631">
        <v>1630</v>
      </c>
      <c r="B1631">
        <v>5.9</v>
      </c>
      <c r="C1631">
        <v>3.6</v>
      </c>
      <c r="D1631">
        <v>8.3000000000000007</v>
      </c>
      <c r="E1631">
        <v>5.3</v>
      </c>
      <c r="F1631">
        <v>0.9</v>
      </c>
      <c r="G1631">
        <v>2.99</v>
      </c>
      <c r="H1631" t="s">
        <v>9</v>
      </c>
      <c r="I1631">
        <v>15.700000000000001</v>
      </c>
      <c r="J1631" t="s">
        <v>13</v>
      </c>
      <c r="K1631">
        <v>2.2400000000000002</v>
      </c>
      <c r="L1631" t="s">
        <v>52</v>
      </c>
      <c r="M1631" s="8">
        <v>0.38</v>
      </c>
    </row>
    <row r="1632" spans="1:13" x14ac:dyDescent="0.25">
      <c r="A1632">
        <v>1631</v>
      </c>
      <c r="B1632">
        <v>7.4</v>
      </c>
      <c r="C1632">
        <v>2.2000000000000002</v>
      </c>
      <c r="D1632">
        <v>9.6</v>
      </c>
      <c r="E1632">
        <v>4.3</v>
      </c>
      <c r="F1632">
        <v>0.5</v>
      </c>
      <c r="G1632">
        <v>2.77</v>
      </c>
      <c r="H1632" t="s">
        <v>8</v>
      </c>
      <c r="I1632">
        <v>14.400000000000002</v>
      </c>
      <c r="J1632" t="s">
        <v>13</v>
      </c>
      <c r="K1632">
        <v>2.97</v>
      </c>
      <c r="L1632" t="s">
        <v>52</v>
      </c>
      <c r="M1632" s="8">
        <v>0.51</v>
      </c>
    </row>
    <row r="1633" spans="1:13" x14ac:dyDescent="0.25">
      <c r="A1633">
        <v>1632</v>
      </c>
      <c r="B1633">
        <v>7</v>
      </c>
      <c r="C1633">
        <v>1.6</v>
      </c>
      <c r="D1633">
        <v>6.4</v>
      </c>
      <c r="E1633">
        <v>1.6</v>
      </c>
      <c r="F1633">
        <v>7.4</v>
      </c>
      <c r="G1633">
        <v>2.97</v>
      </c>
      <c r="H1633" t="s">
        <v>8</v>
      </c>
      <c r="I1633">
        <v>17.600000000000001</v>
      </c>
      <c r="J1633" t="s">
        <v>13</v>
      </c>
      <c r="K1633">
        <v>3.24</v>
      </c>
      <c r="L1633" t="s">
        <v>52</v>
      </c>
      <c r="M1633" s="8">
        <v>0.4</v>
      </c>
    </row>
    <row r="1634" spans="1:13" x14ac:dyDescent="0.25">
      <c r="A1634">
        <v>1633</v>
      </c>
      <c r="B1634">
        <v>9.3000000000000007</v>
      </c>
      <c r="C1634">
        <v>0.3</v>
      </c>
      <c r="D1634">
        <v>8.4</v>
      </c>
      <c r="E1634">
        <v>1</v>
      </c>
      <c r="F1634">
        <v>5</v>
      </c>
      <c r="G1634">
        <v>3.29</v>
      </c>
      <c r="H1634" t="s">
        <v>10</v>
      </c>
      <c r="I1634">
        <v>15.600000000000001</v>
      </c>
      <c r="J1634" t="s">
        <v>15</v>
      </c>
      <c r="K1634">
        <v>4.1500000000000004</v>
      </c>
      <c r="L1634" t="s">
        <v>52</v>
      </c>
      <c r="M1634" s="8">
        <v>0.6</v>
      </c>
    </row>
    <row r="1635" spans="1:13" x14ac:dyDescent="0.25">
      <c r="A1635">
        <v>1634</v>
      </c>
      <c r="B1635">
        <v>6.3</v>
      </c>
      <c r="C1635">
        <v>3.1</v>
      </c>
      <c r="D1635">
        <v>9.4</v>
      </c>
      <c r="E1635">
        <v>1.2</v>
      </c>
      <c r="F1635">
        <v>4</v>
      </c>
      <c r="G1635">
        <v>2.91</v>
      </c>
      <c r="H1635" t="s">
        <v>8</v>
      </c>
      <c r="I1635">
        <v>14.6</v>
      </c>
      <c r="J1635" t="s">
        <v>13</v>
      </c>
      <c r="K1635">
        <v>2.12</v>
      </c>
      <c r="L1635" t="s">
        <v>52</v>
      </c>
      <c r="M1635" s="8">
        <v>0.43</v>
      </c>
    </row>
    <row r="1636" spans="1:13" x14ac:dyDescent="0.25">
      <c r="A1636">
        <v>1635</v>
      </c>
      <c r="B1636">
        <v>7.3</v>
      </c>
      <c r="C1636">
        <v>1.9</v>
      </c>
      <c r="D1636">
        <v>9.4</v>
      </c>
      <c r="E1636">
        <v>4.0999999999999996</v>
      </c>
      <c r="F1636">
        <v>1.3</v>
      </c>
      <c r="G1636">
        <v>3.51</v>
      </c>
      <c r="H1636" t="s">
        <v>8</v>
      </c>
      <c r="I1636">
        <v>14.6</v>
      </c>
      <c r="J1636" t="s">
        <v>14</v>
      </c>
      <c r="K1636">
        <v>2.71</v>
      </c>
      <c r="L1636" t="s">
        <v>52</v>
      </c>
      <c r="M1636" s="8">
        <v>0.5</v>
      </c>
    </row>
    <row r="1637" spans="1:13" x14ac:dyDescent="0.25">
      <c r="A1637">
        <v>1636</v>
      </c>
      <c r="B1637">
        <v>9.1999999999999993</v>
      </c>
      <c r="C1637">
        <v>0</v>
      </c>
      <c r="D1637">
        <v>7</v>
      </c>
      <c r="E1637">
        <v>5.4</v>
      </c>
      <c r="F1637">
        <v>2.4</v>
      </c>
      <c r="G1637">
        <v>3.41</v>
      </c>
      <c r="H1637" t="s">
        <v>10</v>
      </c>
      <c r="I1637">
        <v>17</v>
      </c>
      <c r="J1637" t="s">
        <v>15</v>
      </c>
      <c r="K1637">
        <v>3.97</v>
      </c>
      <c r="L1637" t="s">
        <v>52</v>
      </c>
      <c r="M1637" s="8">
        <v>0.54</v>
      </c>
    </row>
    <row r="1638" spans="1:13" x14ac:dyDescent="0.25">
      <c r="A1638">
        <v>1637</v>
      </c>
      <c r="B1638">
        <v>8.6999999999999993</v>
      </c>
      <c r="C1638">
        <v>2.2000000000000002</v>
      </c>
      <c r="D1638">
        <v>7.6</v>
      </c>
      <c r="E1638">
        <v>1.9</v>
      </c>
      <c r="F1638">
        <v>3.6</v>
      </c>
      <c r="G1638">
        <v>3.73</v>
      </c>
      <c r="H1638" t="s">
        <v>10</v>
      </c>
      <c r="I1638">
        <v>16.399999999999999</v>
      </c>
      <c r="J1638" t="s">
        <v>14</v>
      </c>
      <c r="K1638">
        <v>3.15</v>
      </c>
      <c r="L1638" t="s">
        <v>52</v>
      </c>
      <c r="M1638" s="8">
        <v>0.53</v>
      </c>
    </row>
    <row r="1639" spans="1:13" x14ac:dyDescent="0.25">
      <c r="A1639">
        <v>1638</v>
      </c>
      <c r="B1639">
        <v>7.1</v>
      </c>
      <c r="C1639">
        <v>2.9</v>
      </c>
      <c r="D1639">
        <v>9.3000000000000007</v>
      </c>
      <c r="E1639">
        <v>0.7</v>
      </c>
      <c r="F1639">
        <v>4</v>
      </c>
      <c r="G1639">
        <v>3.12</v>
      </c>
      <c r="H1639" t="s">
        <v>8</v>
      </c>
      <c r="I1639">
        <v>14.7</v>
      </c>
      <c r="J1639" t="s">
        <v>15</v>
      </c>
      <c r="K1639">
        <v>2.66</v>
      </c>
      <c r="L1639" t="s">
        <v>52</v>
      </c>
      <c r="M1639" s="8">
        <v>0.48</v>
      </c>
    </row>
    <row r="1640" spans="1:13" x14ac:dyDescent="0.25">
      <c r="A1640">
        <v>1639</v>
      </c>
      <c r="B1640">
        <v>7.3</v>
      </c>
      <c r="C1640">
        <v>1.6</v>
      </c>
      <c r="D1640">
        <v>8.4</v>
      </c>
      <c r="E1640">
        <v>1.5</v>
      </c>
      <c r="F1640">
        <v>5.2</v>
      </c>
      <c r="G1640">
        <v>3.27</v>
      </c>
      <c r="H1640" t="s">
        <v>8</v>
      </c>
      <c r="I1640">
        <v>15.600000000000001</v>
      </c>
      <c r="J1640" t="s">
        <v>15</v>
      </c>
      <c r="K1640">
        <v>2.85</v>
      </c>
      <c r="L1640" t="s">
        <v>52</v>
      </c>
      <c r="M1640" s="8">
        <v>0.47</v>
      </c>
    </row>
    <row r="1641" spans="1:13" x14ac:dyDescent="0.25">
      <c r="A1641">
        <v>1640</v>
      </c>
      <c r="B1641">
        <v>7.1</v>
      </c>
      <c r="C1641">
        <v>3.6</v>
      </c>
      <c r="D1641">
        <v>10</v>
      </c>
      <c r="E1641">
        <v>0.4</v>
      </c>
      <c r="F1641">
        <v>2.9</v>
      </c>
      <c r="G1641">
        <v>3.13</v>
      </c>
      <c r="H1641" t="s">
        <v>8</v>
      </c>
      <c r="I1641">
        <v>14</v>
      </c>
      <c r="J1641" t="s">
        <v>15</v>
      </c>
      <c r="K1641">
        <v>2.77</v>
      </c>
      <c r="L1641" t="s">
        <v>52</v>
      </c>
      <c r="M1641" s="8">
        <v>0.51</v>
      </c>
    </row>
    <row r="1642" spans="1:13" x14ac:dyDescent="0.25">
      <c r="A1642">
        <v>1641</v>
      </c>
      <c r="B1642">
        <v>6.2</v>
      </c>
      <c r="C1642">
        <v>3.8</v>
      </c>
      <c r="D1642">
        <v>9.8000000000000007</v>
      </c>
      <c r="E1642">
        <v>0.4</v>
      </c>
      <c r="F1642">
        <v>3.8</v>
      </c>
      <c r="G1642">
        <v>3.17</v>
      </c>
      <c r="H1642" t="s">
        <v>8</v>
      </c>
      <c r="I1642">
        <v>14.2</v>
      </c>
      <c r="J1642" t="s">
        <v>15</v>
      </c>
      <c r="K1642">
        <v>2.39</v>
      </c>
      <c r="L1642" t="s">
        <v>52</v>
      </c>
      <c r="M1642" s="8">
        <v>0.44</v>
      </c>
    </row>
    <row r="1643" spans="1:13" x14ac:dyDescent="0.25">
      <c r="A1643">
        <v>1642</v>
      </c>
      <c r="B1643">
        <v>5.0999999999999996</v>
      </c>
      <c r="C1643">
        <v>2.4</v>
      </c>
      <c r="D1643">
        <v>6.4</v>
      </c>
      <c r="E1643">
        <v>5.2</v>
      </c>
      <c r="F1643">
        <v>4.9000000000000004</v>
      </c>
      <c r="G1643">
        <v>2.77</v>
      </c>
      <c r="H1643" t="s">
        <v>9</v>
      </c>
      <c r="I1643">
        <v>17.600000000000001</v>
      </c>
      <c r="J1643" t="s">
        <v>13</v>
      </c>
      <c r="K1643">
        <v>1.34</v>
      </c>
      <c r="L1643" t="s">
        <v>51</v>
      </c>
      <c r="M1643" s="8">
        <v>0.28999999999999998</v>
      </c>
    </row>
    <row r="1644" spans="1:13" x14ac:dyDescent="0.25">
      <c r="A1644">
        <v>1643</v>
      </c>
      <c r="B1644">
        <v>6.4</v>
      </c>
      <c r="C1644">
        <v>2.7</v>
      </c>
      <c r="D1644">
        <v>8.4</v>
      </c>
      <c r="E1644">
        <v>1.3</v>
      </c>
      <c r="F1644">
        <v>5.2</v>
      </c>
      <c r="G1644">
        <v>2.94</v>
      </c>
      <c r="H1644" t="s">
        <v>8</v>
      </c>
      <c r="I1644">
        <v>15.600000000000001</v>
      </c>
      <c r="J1644" t="s">
        <v>13</v>
      </c>
      <c r="K1644">
        <v>2.3199999999999998</v>
      </c>
      <c r="L1644" t="s">
        <v>52</v>
      </c>
      <c r="M1644" s="8">
        <v>0.41</v>
      </c>
    </row>
    <row r="1645" spans="1:13" x14ac:dyDescent="0.25">
      <c r="A1645">
        <v>1644</v>
      </c>
      <c r="B1645">
        <v>6.4</v>
      </c>
      <c r="C1645">
        <v>3.2</v>
      </c>
      <c r="D1645">
        <v>9</v>
      </c>
      <c r="E1645">
        <v>2.5</v>
      </c>
      <c r="F1645">
        <v>2.9</v>
      </c>
      <c r="G1645">
        <v>2.87</v>
      </c>
      <c r="H1645" t="s">
        <v>8</v>
      </c>
      <c r="I1645">
        <v>15.000000000000002</v>
      </c>
      <c r="J1645" t="s">
        <v>13</v>
      </c>
      <c r="K1645">
        <v>1.79</v>
      </c>
      <c r="L1645" t="s">
        <v>52</v>
      </c>
      <c r="M1645" s="8">
        <v>0.43</v>
      </c>
    </row>
    <row r="1646" spans="1:13" x14ac:dyDescent="0.25">
      <c r="A1646">
        <v>1645</v>
      </c>
      <c r="B1646">
        <v>8</v>
      </c>
      <c r="C1646">
        <v>2.4</v>
      </c>
      <c r="D1646">
        <v>9.1</v>
      </c>
      <c r="E1646">
        <v>1.9</v>
      </c>
      <c r="F1646">
        <v>2.6</v>
      </c>
      <c r="G1646">
        <v>3.01</v>
      </c>
      <c r="H1646" t="s">
        <v>8</v>
      </c>
      <c r="I1646">
        <v>14.9</v>
      </c>
      <c r="J1646" t="s">
        <v>15</v>
      </c>
      <c r="K1646">
        <v>2.87</v>
      </c>
      <c r="L1646" t="s">
        <v>52</v>
      </c>
      <c r="M1646" s="8">
        <v>0.54</v>
      </c>
    </row>
    <row r="1647" spans="1:13" x14ac:dyDescent="0.25">
      <c r="A1647">
        <v>1646</v>
      </c>
      <c r="B1647">
        <v>7.7</v>
      </c>
      <c r="C1647">
        <v>1.8</v>
      </c>
      <c r="D1647">
        <v>7.2</v>
      </c>
      <c r="E1647">
        <v>0.5</v>
      </c>
      <c r="F1647">
        <v>6.8</v>
      </c>
      <c r="G1647">
        <v>2.97</v>
      </c>
      <c r="H1647" t="s">
        <v>8</v>
      </c>
      <c r="I1647">
        <v>16.8</v>
      </c>
      <c r="J1647" t="s">
        <v>13</v>
      </c>
      <c r="K1647">
        <v>3.58</v>
      </c>
      <c r="L1647" t="s">
        <v>52</v>
      </c>
      <c r="M1647" s="8">
        <v>0.46</v>
      </c>
    </row>
    <row r="1648" spans="1:13" x14ac:dyDescent="0.25">
      <c r="A1648">
        <v>1647</v>
      </c>
      <c r="B1648">
        <v>8.6</v>
      </c>
      <c r="C1648">
        <v>0.9</v>
      </c>
      <c r="D1648">
        <v>6</v>
      </c>
      <c r="E1648">
        <v>2.5</v>
      </c>
      <c r="F1648">
        <v>6</v>
      </c>
      <c r="G1648">
        <v>3.38</v>
      </c>
      <c r="H1648" t="s">
        <v>10</v>
      </c>
      <c r="I1648">
        <v>18</v>
      </c>
      <c r="J1648" t="s">
        <v>15</v>
      </c>
      <c r="K1648">
        <v>3.47</v>
      </c>
      <c r="L1648" t="s">
        <v>52</v>
      </c>
      <c r="M1648" s="8">
        <v>0.48</v>
      </c>
    </row>
    <row r="1649" spans="1:13" x14ac:dyDescent="0.25">
      <c r="A1649">
        <v>1648</v>
      </c>
      <c r="B1649">
        <v>6.9</v>
      </c>
      <c r="C1649">
        <v>1.8</v>
      </c>
      <c r="D1649">
        <v>7.7</v>
      </c>
      <c r="E1649">
        <v>1.2</v>
      </c>
      <c r="F1649">
        <v>6.4</v>
      </c>
      <c r="G1649">
        <v>2.75</v>
      </c>
      <c r="H1649" t="s">
        <v>8</v>
      </c>
      <c r="I1649">
        <v>16.3</v>
      </c>
      <c r="J1649" t="s">
        <v>13</v>
      </c>
      <c r="K1649">
        <v>2.99</v>
      </c>
      <c r="L1649" t="s">
        <v>52</v>
      </c>
      <c r="M1649" s="8">
        <v>0.42</v>
      </c>
    </row>
    <row r="1650" spans="1:13" x14ac:dyDescent="0.25">
      <c r="A1650">
        <v>1649</v>
      </c>
      <c r="B1650">
        <v>5.8</v>
      </c>
      <c r="C1650">
        <v>3.5</v>
      </c>
      <c r="D1650">
        <v>7.2</v>
      </c>
      <c r="E1650">
        <v>2.5</v>
      </c>
      <c r="F1650">
        <v>5</v>
      </c>
      <c r="G1650">
        <v>2.87</v>
      </c>
      <c r="H1650" t="s">
        <v>9</v>
      </c>
      <c r="I1650">
        <v>16.8</v>
      </c>
      <c r="J1650" t="s">
        <v>13</v>
      </c>
      <c r="K1650">
        <v>1.48</v>
      </c>
      <c r="L1650" t="s">
        <v>51</v>
      </c>
      <c r="M1650" s="8">
        <v>0.35</v>
      </c>
    </row>
    <row r="1651" spans="1:13" x14ac:dyDescent="0.25">
      <c r="A1651">
        <v>1650</v>
      </c>
      <c r="B1651">
        <v>7.8</v>
      </c>
      <c r="C1651">
        <v>2.2000000000000002</v>
      </c>
      <c r="D1651">
        <v>8.5</v>
      </c>
      <c r="E1651">
        <v>1</v>
      </c>
      <c r="F1651">
        <v>4.5</v>
      </c>
      <c r="G1651">
        <v>3.06</v>
      </c>
      <c r="H1651" t="s">
        <v>8</v>
      </c>
      <c r="I1651">
        <v>15.5</v>
      </c>
      <c r="J1651" t="s">
        <v>15</v>
      </c>
      <c r="K1651">
        <v>2.99</v>
      </c>
      <c r="L1651" t="s">
        <v>52</v>
      </c>
      <c r="M1651" s="8">
        <v>0.5</v>
      </c>
    </row>
    <row r="1652" spans="1:13" x14ac:dyDescent="0.25">
      <c r="A1652">
        <v>1651</v>
      </c>
      <c r="B1652">
        <v>6.3</v>
      </c>
      <c r="C1652">
        <v>3.2</v>
      </c>
      <c r="D1652">
        <v>9.6999999999999993</v>
      </c>
      <c r="E1652">
        <v>0.7</v>
      </c>
      <c r="F1652">
        <v>4.0999999999999996</v>
      </c>
      <c r="G1652">
        <v>2.65</v>
      </c>
      <c r="H1652" t="s">
        <v>8</v>
      </c>
      <c r="I1652">
        <v>14.299999999999999</v>
      </c>
      <c r="J1652" t="s">
        <v>13</v>
      </c>
      <c r="K1652">
        <v>2.3199999999999998</v>
      </c>
      <c r="L1652" t="s">
        <v>52</v>
      </c>
      <c r="M1652" s="8">
        <v>0.44</v>
      </c>
    </row>
    <row r="1653" spans="1:13" x14ac:dyDescent="0.25">
      <c r="A1653">
        <v>1652</v>
      </c>
      <c r="B1653">
        <v>5.3</v>
      </c>
      <c r="C1653">
        <v>1.3</v>
      </c>
      <c r="D1653">
        <v>5.7</v>
      </c>
      <c r="E1653">
        <v>4.3</v>
      </c>
      <c r="F1653">
        <v>7.4</v>
      </c>
      <c r="G1653">
        <v>2.79</v>
      </c>
      <c r="H1653" t="s">
        <v>10</v>
      </c>
      <c r="I1653">
        <v>18.299999999999997</v>
      </c>
      <c r="J1653" t="s">
        <v>13</v>
      </c>
      <c r="K1653">
        <v>2.54</v>
      </c>
      <c r="L1653" t="s">
        <v>52</v>
      </c>
      <c r="M1653" s="8">
        <v>0.28999999999999998</v>
      </c>
    </row>
    <row r="1654" spans="1:13" x14ac:dyDescent="0.25">
      <c r="A1654">
        <v>1653</v>
      </c>
      <c r="B1654">
        <v>7.7</v>
      </c>
      <c r="C1654">
        <v>0.6</v>
      </c>
      <c r="D1654">
        <v>5</v>
      </c>
      <c r="E1654">
        <v>4.8</v>
      </c>
      <c r="F1654">
        <v>5.9</v>
      </c>
      <c r="G1654">
        <v>3.23</v>
      </c>
      <c r="H1654" t="s">
        <v>10</v>
      </c>
      <c r="I1654">
        <v>19</v>
      </c>
      <c r="J1654" t="s">
        <v>15</v>
      </c>
      <c r="K1654">
        <v>3.01</v>
      </c>
      <c r="L1654" t="s">
        <v>52</v>
      </c>
      <c r="M1654" s="8">
        <v>0.41</v>
      </c>
    </row>
    <row r="1655" spans="1:13" x14ac:dyDescent="0.25">
      <c r="A1655">
        <v>1654</v>
      </c>
      <c r="B1655">
        <v>6.7</v>
      </c>
      <c r="C1655">
        <v>2.2999999999999998</v>
      </c>
      <c r="D1655">
        <v>6.6</v>
      </c>
      <c r="E1655">
        <v>0.5</v>
      </c>
      <c r="F1655">
        <v>7.9</v>
      </c>
      <c r="G1655">
        <v>2.77</v>
      </c>
      <c r="H1655" t="s">
        <v>8</v>
      </c>
      <c r="I1655">
        <v>17.399999999999999</v>
      </c>
      <c r="J1655" t="s">
        <v>13</v>
      </c>
      <c r="K1655">
        <v>3.52</v>
      </c>
      <c r="L1655" t="s">
        <v>52</v>
      </c>
      <c r="M1655" s="8">
        <v>0.39</v>
      </c>
    </row>
    <row r="1656" spans="1:13" x14ac:dyDescent="0.25">
      <c r="A1656">
        <v>1655</v>
      </c>
      <c r="B1656">
        <v>6.1</v>
      </c>
      <c r="C1656">
        <v>0.8</v>
      </c>
      <c r="D1656">
        <v>7.1</v>
      </c>
      <c r="E1656">
        <v>3.9</v>
      </c>
      <c r="F1656">
        <v>6.1</v>
      </c>
      <c r="G1656">
        <v>3.4</v>
      </c>
      <c r="H1656" t="s">
        <v>8</v>
      </c>
      <c r="I1656">
        <v>16.899999999999999</v>
      </c>
      <c r="J1656" t="s">
        <v>15</v>
      </c>
      <c r="K1656">
        <v>2.5099999999999998</v>
      </c>
      <c r="L1656" t="s">
        <v>52</v>
      </c>
      <c r="M1656" s="8">
        <v>0.36</v>
      </c>
    </row>
    <row r="1657" spans="1:13" x14ac:dyDescent="0.25">
      <c r="A1657">
        <v>1656</v>
      </c>
      <c r="B1657">
        <v>9.8000000000000007</v>
      </c>
      <c r="C1657">
        <v>2.4</v>
      </c>
      <c r="D1657">
        <v>7.4</v>
      </c>
      <c r="E1657">
        <v>2.5</v>
      </c>
      <c r="F1657">
        <v>1.9</v>
      </c>
      <c r="G1657">
        <v>3.56</v>
      </c>
      <c r="H1657" t="s">
        <v>10</v>
      </c>
      <c r="I1657">
        <v>16.600000000000001</v>
      </c>
      <c r="J1657" t="s">
        <v>14</v>
      </c>
      <c r="K1657">
        <v>3.78</v>
      </c>
      <c r="L1657" t="s">
        <v>52</v>
      </c>
      <c r="M1657" s="8">
        <v>0.59</v>
      </c>
    </row>
    <row r="1658" spans="1:13" x14ac:dyDescent="0.25">
      <c r="A1658">
        <v>1657</v>
      </c>
      <c r="B1658">
        <v>9.6</v>
      </c>
      <c r="C1658">
        <v>3.3</v>
      </c>
      <c r="D1658">
        <v>6.6</v>
      </c>
      <c r="E1658">
        <v>1.1000000000000001</v>
      </c>
      <c r="F1658">
        <v>3.4</v>
      </c>
      <c r="G1658">
        <v>3.45</v>
      </c>
      <c r="H1658" t="s">
        <v>10</v>
      </c>
      <c r="I1658">
        <v>17.399999999999999</v>
      </c>
      <c r="J1658" t="s">
        <v>15</v>
      </c>
      <c r="K1658">
        <v>3.66</v>
      </c>
      <c r="L1658" t="s">
        <v>52</v>
      </c>
      <c r="M1658" s="8">
        <v>0.55000000000000004</v>
      </c>
    </row>
    <row r="1659" spans="1:13" x14ac:dyDescent="0.25">
      <c r="A1659">
        <v>1658</v>
      </c>
      <c r="B1659">
        <v>8.6999999999999993</v>
      </c>
      <c r="C1659">
        <v>2</v>
      </c>
      <c r="D1659">
        <v>5.3</v>
      </c>
      <c r="E1659">
        <v>4.3</v>
      </c>
      <c r="F1659">
        <v>3.7</v>
      </c>
      <c r="G1659">
        <v>2.96</v>
      </c>
      <c r="H1659" t="s">
        <v>10</v>
      </c>
      <c r="I1659">
        <v>18.7</v>
      </c>
      <c r="J1659" t="s">
        <v>13</v>
      </c>
      <c r="K1659">
        <v>2.85</v>
      </c>
      <c r="L1659" t="s">
        <v>52</v>
      </c>
      <c r="M1659" s="8">
        <v>0.47</v>
      </c>
    </row>
    <row r="1660" spans="1:13" x14ac:dyDescent="0.25">
      <c r="A1660">
        <v>1659</v>
      </c>
      <c r="B1660">
        <v>9</v>
      </c>
      <c r="C1660">
        <v>1.2</v>
      </c>
      <c r="D1660">
        <v>8.3000000000000007</v>
      </c>
      <c r="E1660">
        <v>2.2999999999999998</v>
      </c>
      <c r="F1660">
        <v>3.2</v>
      </c>
      <c r="G1660">
        <v>3.74</v>
      </c>
      <c r="H1660" t="s">
        <v>10</v>
      </c>
      <c r="I1660">
        <v>15.7</v>
      </c>
      <c r="J1660" t="s">
        <v>14</v>
      </c>
      <c r="K1660">
        <v>3.48</v>
      </c>
      <c r="L1660" t="s">
        <v>52</v>
      </c>
      <c r="M1660" s="8">
        <v>0.56999999999999995</v>
      </c>
    </row>
    <row r="1661" spans="1:13" x14ac:dyDescent="0.25">
      <c r="A1661">
        <v>1660</v>
      </c>
      <c r="B1661">
        <v>9.4</v>
      </c>
      <c r="C1661">
        <v>2</v>
      </c>
      <c r="D1661">
        <v>6.6</v>
      </c>
      <c r="E1661">
        <v>4.5</v>
      </c>
      <c r="F1661">
        <v>1.5</v>
      </c>
      <c r="G1661">
        <v>3.46</v>
      </c>
      <c r="H1661" t="s">
        <v>10</v>
      </c>
      <c r="I1661">
        <v>17.399999999999999</v>
      </c>
      <c r="J1661" t="s">
        <v>15</v>
      </c>
      <c r="K1661">
        <v>3.61</v>
      </c>
      <c r="L1661" t="s">
        <v>52</v>
      </c>
      <c r="M1661" s="8">
        <v>0.54</v>
      </c>
    </row>
    <row r="1662" spans="1:13" x14ac:dyDescent="0.25">
      <c r="A1662">
        <v>1661</v>
      </c>
      <c r="B1662">
        <v>6.1</v>
      </c>
      <c r="C1662">
        <v>1.6</v>
      </c>
      <c r="D1662">
        <v>9.3000000000000007</v>
      </c>
      <c r="E1662">
        <v>4.3</v>
      </c>
      <c r="F1662">
        <v>2.7</v>
      </c>
      <c r="G1662">
        <v>2.65</v>
      </c>
      <c r="H1662" t="s">
        <v>8</v>
      </c>
      <c r="I1662">
        <v>14.7</v>
      </c>
      <c r="J1662" t="s">
        <v>13</v>
      </c>
      <c r="K1662">
        <v>1.96</v>
      </c>
      <c r="L1662" t="s">
        <v>52</v>
      </c>
      <c r="M1662" s="8">
        <v>0.41</v>
      </c>
    </row>
    <row r="1663" spans="1:13" x14ac:dyDescent="0.25">
      <c r="A1663">
        <v>1662</v>
      </c>
      <c r="B1663">
        <v>6.8</v>
      </c>
      <c r="C1663">
        <v>1.1000000000000001</v>
      </c>
      <c r="D1663">
        <v>5.9</v>
      </c>
      <c r="E1663">
        <v>4.5</v>
      </c>
      <c r="F1663">
        <v>5.7</v>
      </c>
      <c r="G1663">
        <v>2.93</v>
      </c>
      <c r="H1663" t="s">
        <v>10</v>
      </c>
      <c r="I1663">
        <v>18.100000000000001</v>
      </c>
      <c r="J1663" t="s">
        <v>13</v>
      </c>
      <c r="K1663">
        <v>2.4700000000000002</v>
      </c>
      <c r="L1663" t="s">
        <v>52</v>
      </c>
      <c r="M1663" s="8">
        <v>0.38</v>
      </c>
    </row>
    <row r="1664" spans="1:13" x14ac:dyDescent="0.25">
      <c r="A1664">
        <v>1663</v>
      </c>
      <c r="B1664">
        <v>6.3</v>
      </c>
      <c r="C1664">
        <v>1.8</v>
      </c>
      <c r="D1664">
        <v>6.9</v>
      </c>
      <c r="E1664">
        <v>5.9</v>
      </c>
      <c r="F1664">
        <v>3.1</v>
      </c>
      <c r="G1664">
        <v>2.8</v>
      </c>
      <c r="H1664" t="s">
        <v>8</v>
      </c>
      <c r="I1664">
        <v>17.100000000000001</v>
      </c>
      <c r="J1664" t="s">
        <v>13</v>
      </c>
      <c r="K1664">
        <v>2.1800000000000002</v>
      </c>
      <c r="L1664" t="s">
        <v>52</v>
      </c>
      <c r="M1664" s="8">
        <v>0.37</v>
      </c>
    </row>
    <row r="1665" spans="1:13" x14ac:dyDescent="0.25">
      <c r="A1665">
        <v>1664</v>
      </c>
      <c r="B1665">
        <v>5.4</v>
      </c>
      <c r="C1665">
        <v>2.4</v>
      </c>
      <c r="D1665">
        <v>8</v>
      </c>
      <c r="E1665">
        <v>2.5</v>
      </c>
      <c r="F1665">
        <v>5.7</v>
      </c>
      <c r="G1665">
        <v>2.77</v>
      </c>
      <c r="H1665" t="s">
        <v>9</v>
      </c>
      <c r="I1665">
        <v>16</v>
      </c>
      <c r="J1665" t="s">
        <v>13</v>
      </c>
      <c r="K1665">
        <v>1.79</v>
      </c>
      <c r="L1665" t="s">
        <v>52</v>
      </c>
      <c r="M1665" s="8">
        <v>0.34</v>
      </c>
    </row>
    <row r="1666" spans="1:13" x14ac:dyDescent="0.25">
      <c r="A1666">
        <v>1665</v>
      </c>
      <c r="B1666">
        <v>7.2</v>
      </c>
      <c r="C1666">
        <v>0.2</v>
      </c>
      <c r="D1666">
        <v>7.6</v>
      </c>
      <c r="E1666">
        <v>3</v>
      </c>
      <c r="F1666">
        <v>6</v>
      </c>
      <c r="G1666">
        <v>2.83</v>
      </c>
      <c r="H1666" t="s">
        <v>8</v>
      </c>
      <c r="I1666">
        <v>16.399999999999999</v>
      </c>
      <c r="J1666" t="s">
        <v>13</v>
      </c>
      <c r="K1666">
        <v>3.14</v>
      </c>
      <c r="L1666" t="s">
        <v>52</v>
      </c>
      <c r="M1666" s="8">
        <v>0.44</v>
      </c>
    </row>
    <row r="1667" spans="1:13" x14ac:dyDescent="0.25">
      <c r="A1667">
        <v>1666</v>
      </c>
      <c r="B1667">
        <v>6.3</v>
      </c>
      <c r="C1667">
        <v>0.7</v>
      </c>
      <c r="D1667">
        <v>9.8000000000000007</v>
      </c>
      <c r="E1667">
        <v>5.0999999999999996</v>
      </c>
      <c r="F1667">
        <v>2.1</v>
      </c>
      <c r="G1667">
        <v>3.03</v>
      </c>
      <c r="H1667" t="s">
        <v>8</v>
      </c>
      <c r="I1667">
        <v>14.2</v>
      </c>
      <c r="J1667" t="s">
        <v>15</v>
      </c>
      <c r="K1667">
        <v>2.59</v>
      </c>
      <c r="L1667" t="s">
        <v>52</v>
      </c>
      <c r="M1667" s="8">
        <v>0.44</v>
      </c>
    </row>
    <row r="1668" spans="1:13" x14ac:dyDescent="0.25">
      <c r="A1668">
        <v>1667</v>
      </c>
      <c r="B1668">
        <v>6.2</v>
      </c>
      <c r="C1668">
        <v>1.3</v>
      </c>
      <c r="D1668">
        <v>6</v>
      </c>
      <c r="E1668">
        <v>3</v>
      </c>
      <c r="F1668">
        <v>7.5</v>
      </c>
      <c r="G1668">
        <v>3.12</v>
      </c>
      <c r="H1668" t="s">
        <v>8</v>
      </c>
      <c r="I1668">
        <v>18</v>
      </c>
      <c r="J1668" t="s">
        <v>15</v>
      </c>
      <c r="K1668">
        <v>2.85</v>
      </c>
      <c r="L1668" t="s">
        <v>52</v>
      </c>
      <c r="M1668" s="8">
        <v>0.34</v>
      </c>
    </row>
    <row r="1669" spans="1:13" x14ac:dyDescent="0.25">
      <c r="A1669">
        <v>1668</v>
      </c>
      <c r="B1669">
        <v>5.8</v>
      </c>
      <c r="C1669">
        <v>3.2</v>
      </c>
      <c r="D1669">
        <v>9</v>
      </c>
      <c r="E1669">
        <v>0.8</v>
      </c>
      <c r="F1669">
        <v>5.2</v>
      </c>
      <c r="G1669">
        <v>2.88</v>
      </c>
      <c r="H1669" t="s">
        <v>9</v>
      </c>
      <c r="I1669">
        <v>15</v>
      </c>
      <c r="J1669" t="s">
        <v>13</v>
      </c>
      <c r="K1669">
        <v>2.2599999999999998</v>
      </c>
      <c r="L1669" t="s">
        <v>52</v>
      </c>
      <c r="M1669" s="8">
        <v>0.39</v>
      </c>
    </row>
    <row r="1670" spans="1:13" x14ac:dyDescent="0.25">
      <c r="A1670">
        <v>1669</v>
      </c>
      <c r="B1670">
        <v>7</v>
      </c>
      <c r="C1670">
        <v>0.7</v>
      </c>
      <c r="D1670">
        <v>6.3</v>
      </c>
      <c r="E1670">
        <v>1.6</v>
      </c>
      <c r="F1670">
        <v>8.4</v>
      </c>
      <c r="G1670">
        <v>2.63</v>
      </c>
      <c r="H1670" t="s">
        <v>8</v>
      </c>
      <c r="I1670">
        <v>17.700000000000003</v>
      </c>
      <c r="J1670" t="s">
        <v>13</v>
      </c>
      <c r="K1670">
        <v>3.84</v>
      </c>
      <c r="L1670" t="s">
        <v>52</v>
      </c>
      <c r="M1670" s="8">
        <v>0.4</v>
      </c>
    </row>
    <row r="1671" spans="1:13" x14ac:dyDescent="0.25">
      <c r="A1671">
        <v>1670</v>
      </c>
      <c r="B1671">
        <v>9.6999999999999993</v>
      </c>
      <c r="C1671">
        <v>0.5</v>
      </c>
      <c r="D1671">
        <v>9.9</v>
      </c>
      <c r="E1671">
        <v>0.9</v>
      </c>
      <c r="F1671">
        <v>3</v>
      </c>
      <c r="G1671">
        <v>3.72</v>
      </c>
      <c r="H1671" t="s">
        <v>10</v>
      </c>
      <c r="I1671">
        <v>14.1</v>
      </c>
      <c r="J1671" t="s">
        <v>14</v>
      </c>
      <c r="K1671">
        <v>4.26</v>
      </c>
      <c r="L1671" t="s">
        <v>52</v>
      </c>
      <c r="M1671" s="8">
        <v>0.69</v>
      </c>
    </row>
    <row r="1672" spans="1:13" x14ac:dyDescent="0.25">
      <c r="A1672">
        <v>1671</v>
      </c>
      <c r="B1672">
        <v>8.9</v>
      </c>
      <c r="C1672">
        <v>1.4</v>
      </c>
      <c r="D1672">
        <v>5.7</v>
      </c>
      <c r="E1672">
        <v>5.0999999999999996</v>
      </c>
      <c r="F1672">
        <v>2.9</v>
      </c>
      <c r="G1672">
        <v>3.55</v>
      </c>
      <c r="H1672" t="s">
        <v>10</v>
      </c>
      <c r="I1672">
        <v>18.3</v>
      </c>
      <c r="J1672" t="s">
        <v>14</v>
      </c>
      <c r="K1672">
        <v>3.26</v>
      </c>
      <c r="L1672" t="s">
        <v>52</v>
      </c>
      <c r="M1672" s="8">
        <v>0.49</v>
      </c>
    </row>
    <row r="1673" spans="1:13" x14ac:dyDescent="0.25">
      <c r="A1673">
        <v>1672</v>
      </c>
      <c r="B1673">
        <v>7.8</v>
      </c>
      <c r="C1673">
        <v>1.9</v>
      </c>
      <c r="D1673">
        <v>7.5</v>
      </c>
      <c r="E1673">
        <v>4.4000000000000004</v>
      </c>
      <c r="F1673">
        <v>2.4</v>
      </c>
      <c r="G1673">
        <v>2.91</v>
      </c>
      <c r="H1673" t="s">
        <v>8</v>
      </c>
      <c r="I1673">
        <v>16.5</v>
      </c>
      <c r="J1673" t="s">
        <v>13</v>
      </c>
      <c r="K1673">
        <v>2.68</v>
      </c>
      <c r="L1673" t="s">
        <v>52</v>
      </c>
      <c r="M1673" s="8">
        <v>0.47</v>
      </c>
    </row>
    <row r="1674" spans="1:13" x14ac:dyDescent="0.25">
      <c r="A1674">
        <v>1673</v>
      </c>
      <c r="B1674">
        <v>5.4</v>
      </c>
      <c r="C1674">
        <v>2.7</v>
      </c>
      <c r="D1674">
        <v>9.5</v>
      </c>
      <c r="E1674">
        <v>0.3</v>
      </c>
      <c r="F1674">
        <v>6.1</v>
      </c>
      <c r="G1674">
        <v>2.9</v>
      </c>
      <c r="H1674" t="s">
        <v>9</v>
      </c>
      <c r="I1674">
        <v>14.500000000000002</v>
      </c>
      <c r="J1674" t="s">
        <v>13</v>
      </c>
      <c r="K1674">
        <v>2.66</v>
      </c>
      <c r="L1674" t="s">
        <v>52</v>
      </c>
      <c r="M1674" s="8">
        <v>0.37</v>
      </c>
    </row>
    <row r="1675" spans="1:13" x14ac:dyDescent="0.25">
      <c r="A1675">
        <v>1674</v>
      </c>
      <c r="B1675">
        <v>7.2</v>
      </c>
      <c r="C1675">
        <v>1.6</v>
      </c>
      <c r="D1675">
        <v>5.7</v>
      </c>
      <c r="E1675">
        <v>3</v>
      </c>
      <c r="F1675">
        <v>6.5</v>
      </c>
      <c r="G1675">
        <v>2.94</v>
      </c>
      <c r="H1675" t="s">
        <v>10</v>
      </c>
      <c r="I1675">
        <v>18.3</v>
      </c>
      <c r="J1675" t="s">
        <v>13</v>
      </c>
      <c r="K1675">
        <v>2.7</v>
      </c>
      <c r="L1675" t="s">
        <v>52</v>
      </c>
      <c r="M1675" s="8">
        <v>0.39</v>
      </c>
    </row>
    <row r="1676" spans="1:13" x14ac:dyDescent="0.25">
      <c r="A1676">
        <v>1675</v>
      </c>
      <c r="B1676">
        <v>5.6</v>
      </c>
      <c r="C1676">
        <v>1.9</v>
      </c>
      <c r="D1676">
        <v>8.8000000000000007</v>
      </c>
      <c r="E1676">
        <v>1.5</v>
      </c>
      <c r="F1676">
        <v>6.2</v>
      </c>
      <c r="G1676">
        <v>2.89</v>
      </c>
      <c r="H1676" t="s">
        <v>9</v>
      </c>
      <c r="I1676">
        <v>15.2</v>
      </c>
      <c r="J1676" t="s">
        <v>13</v>
      </c>
      <c r="K1676">
        <v>2.44</v>
      </c>
      <c r="L1676" t="s">
        <v>52</v>
      </c>
      <c r="M1676" s="8">
        <v>0.37</v>
      </c>
    </row>
    <row r="1677" spans="1:13" x14ac:dyDescent="0.25">
      <c r="A1677">
        <v>1676</v>
      </c>
      <c r="B1677">
        <v>8.4</v>
      </c>
      <c r="C1677">
        <v>3.4</v>
      </c>
      <c r="D1677">
        <v>7.1</v>
      </c>
      <c r="E1677">
        <v>3.9</v>
      </c>
      <c r="F1677">
        <v>1.2</v>
      </c>
      <c r="G1677">
        <v>3.26</v>
      </c>
      <c r="H1677" t="s">
        <v>10</v>
      </c>
      <c r="I1677">
        <v>16.900000000000002</v>
      </c>
      <c r="J1677" t="s">
        <v>15</v>
      </c>
      <c r="K1677">
        <v>3.02</v>
      </c>
      <c r="L1677" t="s">
        <v>52</v>
      </c>
      <c r="M1677" s="8">
        <v>0.5</v>
      </c>
    </row>
    <row r="1678" spans="1:13" x14ac:dyDescent="0.25">
      <c r="A1678">
        <v>1677</v>
      </c>
      <c r="B1678">
        <v>5.2</v>
      </c>
      <c r="C1678">
        <v>0.5</v>
      </c>
      <c r="D1678">
        <v>6</v>
      </c>
      <c r="E1678">
        <v>2.4</v>
      </c>
      <c r="F1678">
        <v>9.9</v>
      </c>
      <c r="G1678">
        <v>2.69</v>
      </c>
      <c r="H1678" t="s">
        <v>9</v>
      </c>
      <c r="I1678">
        <v>18</v>
      </c>
      <c r="J1678" t="s">
        <v>13</v>
      </c>
      <c r="K1678">
        <v>4.08</v>
      </c>
      <c r="L1678" t="s">
        <v>52</v>
      </c>
      <c r="M1678" s="8">
        <v>0.28999999999999998</v>
      </c>
    </row>
    <row r="1679" spans="1:13" x14ac:dyDescent="0.25">
      <c r="A1679">
        <v>1678</v>
      </c>
      <c r="B1679">
        <v>8.3000000000000007</v>
      </c>
      <c r="C1679">
        <v>2.8</v>
      </c>
      <c r="D1679">
        <v>7.9</v>
      </c>
      <c r="E1679">
        <v>1.8</v>
      </c>
      <c r="F1679">
        <v>3.2</v>
      </c>
      <c r="G1679">
        <v>3.44</v>
      </c>
      <c r="H1679" t="s">
        <v>10</v>
      </c>
      <c r="I1679">
        <v>16.100000000000001</v>
      </c>
      <c r="J1679" t="s">
        <v>15</v>
      </c>
      <c r="K1679">
        <v>2.91</v>
      </c>
      <c r="L1679" t="s">
        <v>52</v>
      </c>
      <c r="M1679" s="8">
        <v>0.52</v>
      </c>
    </row>
    <row r="1680" spans="1:13" x14ac:dyDescent="0.25">
      <c r="A1680">
        <v>1679</v>
      </c>
      <c r="B1680">
        <v>7.9</v>
      </c>
      <c r="C1680">
        <v>1.4</v>
      </c>
      <c r="D1680">
        <v>5.4</v>
      </c>
      <c r="E1680">
        <v>6</v>
      </c>
      <c r="F1680">
        <v>3.3</v>
      </c>
      <c r="G1680">
        <v>3.11</v>
      </c>
      <c r="H1680" t="s">
        <v>10</v>
      </c>
      <c r="I1680">
        <v>18.600000000000001</v>
      </c>
      <c r="J1680" t="s">
        <v>15</v>
      </c>
      <c r="K1680">
        <v>2.87</v>
      </c>
      <c r="L1680" t="s">
        <v>52</v>
      </c>
      <c r="M1680" s="8">
        <v>0.42</v>
      </c>
    </row>
    <row r="1681" spans="1:13" x14ac:dyDescent="0.25">
      <c r="A1681">
        <v>1680</v>
      </c>
      <c r="B1681">
        <v>8.3000000000000007</v>
      </c>
      <c r="C1681">
        <v>1.3</v>
      </c>
      <c r="D1681">
        <v>7</v>
      </c>
      <c r="E1681">
        <v>1.6</v>
      </c>
      <c r="F1681">
        <v>5.8</v>
      </c>
      <c r="G1681">
        <v>3.39</v>
      </c>
      <c r="H1681" t="s">
        <v>10</v>
      </c>
      <c r="I1681">
        <v>17</v>
      </c>
      <c r="J1681" t="s">
        <v>15</v>
      </c>
      <c r="K1681">
        <v>3.39</v>
      </c>
      <c r="L1681" t="s">
        <v>52</v>
      </c>
      <c r="M1681" s="8">
        <v>0.49</v>
      </c>
    </row>
    <row r="1682" spans="1:13" x14ac:dyDescent="0.25">
      <c r="A1682">
        <v>1681</v>
      </c>
      <c r="B1682">
        <v>6.7</v>
      </c>
      <c r="C1682">
        <v>1.6</v>
      </c>
      <c r="D1682">
        <v>8.6</v>
      </c>
      <c r="E1682">
        <v>3.1</v>
      </c>
      <c r="F1682">
        <v>4</v>
      </c>
      <c r="G1682">
        <v>3.54</v>
      </c>
      <c r="H1682" t="s">
        <v>8</v>
      </c>
      <c r="I1682">
        <v>15.4</v>
      </c>
      <c r="J1682" t="s">
        <v>14</v>
      </c>
      <c r="K1682">
        <v>2.14</v>
      </c>
      <c r="L1682" t="s">
        <v>52</v>
      </c>
      <c r="M1682" s="8">
        <v>0.44</v>
      </c>
    </row>
    <row r="1683" spans="1:13" x14ac:dyDescent="0.25">
      <c r="A1683">
        <v>1682</v>
      </c>
      <c r="B1683">
        <v>9.6</v>
      </c>
      <c r="C1683">
        <v>0.2</v>
      </c>
      <c r="D1683">
        <v>7.9</v>
      </c>
      <c r="E1683">
        <v>5.0999999999999996</v>
      </c>
      <c r="F1683">
        <v>1.2</v>
      </c>
      <c r="G1683">
        <v>3.46</v>
      </c>
      <c r="H1683" t="s">
        <v>10</v>
      </c>
      <c r="I1683">
        <v>16.099999999999998</v>
      </c>
      <c r="J1683" t="s">
        <v>15</v>
      </c>
      <c r="K1683">
        <v>4.28</v>
      </c>
      <c r="L1683" t="s">
        <v>52</v>
      </c>
      <c r="M1683" s="8">
        <v>0.6</v>
      </c>
    </row>
    <row r="1684" spans="1:13" x14ac:dyDescent="0.25">
      <c r="A1684">
        <v>1683</v>
      </c>
      <c r="B1684">
        <v>6.2</v>
      </c>
      <c r="C1684">
        <v>3.5</v>
      </c>
      <c r="D1684">
        <v>5.0999999999999996</v>
      </c>
      <c r="E1684">
        <v>4.4000000000000004</v>
      </c>
      <c r="F1684">
        <v>4.8</v>
      </c>
      <c r="G1684">
        <v>2.97</v>
      </c>
      <c r="H1684" t="s">
        <v>10</v>
      </c>
      <c r="I1684">
        <v>18.899999999999999</v>
      </c>
      <c r="J1684" t="s">
        <v>13</v>
      </c>
      <c r="K1684">
        <v>1.1200000000000001</v>
      </c>
      <c r="L1684" t="s">
        <v>51</v>
      </c>
      <c r="M1684" s="8">
        <v>0.33</v>
      </c>
    </row>
    <row r="1685" spans="1:13" x14ac:dyDescent="0.25">
      <c r="A1685">
        <v>1684</v>
      </c>
      <c r="B1685">
        <v>7.2</v>
      </c>
      <c r="C1685">
        <v>0.2</v>
      </c>
      <c r="D1685">
        <v>9.6</v>
      </c>
      <c r="E1685">
        <v>2.8</v>
      </c>
      <c r="F1685">
        <v>4.2</v>
      </c>
      <c r="G1685">
        <v>3.19</v>
      </c>
      <c r="H1685" t="s">
        <v>8</v>
      </c>
      <c r="I1685">
        <v>14.399999999999999</v>
      </c>
      <c r="J1685" t="s">
        <v>15</v>
      </c>
      <c r="K1685">
        <v>2.92</v>
      </c>
      <c r="L1685" t="s">
        <v>52</v>
      </c>
      <c r="M1685" s="8">
        <v>0.5</v>
      </c>
    </row>
    <row r="1686" spans="1:13" x14ac:dyDescent="0.25">
      <c r="A1686">
        <v>1685</v>
      </c>
      <c r="B1686">
        <v>5.0999999999999996</v>
      </c>
      <c r="C1686">
        <v>2.8</v>
      </c>
      <c r="D1686">
        <v>7.4</v>
      </c>
      <c r="E1686">
        <v>0.7</v>
      </c>
      <c r="F1686">
        <v>8</v>
      </c>
      <c r="G1686">
        <v>3.15</v>
      </c>
      <c r="H1686" t="s">
        <v>9</v>
      </c>
      <c r="I1686">
        <v>16.600000000000001</v>
      </c>
      <c r="J1686" t="s">
        <v>15</v>
      </c>
      <c r="K1686">
        <v>3.13</v>
      </c>
      <c r="L1686" t="s">
        <v>52</v>
      </c>
      <c r="M1686" s="8">
        <v>0.31</v>
      </c>
    </row>
    <row r="1687" spans="1:13" x14ac:dyDescent="0.25">
      <c r="A1687">
        <v>1686</v>
      </c>
      <c r="B1687">
        <v>7.5</v>
      </c>
      <c r="C1687">
        <v>3.3</v>
      </c>
      <c r="D1687">
        <v>9.3000000000000007</v>
      </c>
      <c r="E1687">
        <v>2.4</v>
      </c>
      <c r="F1687">
        <v>1.5</v>
      </c>
      <c r="G1687">
        <v>3.36</v>
      </c>
      <c r="H1687" t="s">
        <v>8</v>
      </c>
      <c r="I1687">
        <v>14.700000000000001</v>
      </c>
      <c r="J1687" t="s">
        <v>15</v>
      </c>
      <c r="K1687">
        <v>2.65</v>
      </c>
      <c r="L1687" t="s">
        <v>52</v>
      </c>
      <c r="M1687" s="8">
        <v>0.51</v>
      </c>
    </row>
    <row r="1688" spans="1:13" x14ac:dyDescent="0.25">
      <c r="A1688">
        <v>1687</v>
      </c>
      <c r="B1688">
        <v>5.0999999999999996</v>
      </c>
      <c r="C1688">
        <v>2.8</v>
      </c>
      <c r="D1688">
        <v>7.1</v>
      </c>
      <c r="E1688">
        <v>3.4</v>
      </c>
      <c r="F1688">
        <v>5.6</v>
      </c>
      <c r="G1688">
        <v>2.5</v>
      </c>
      <c r="H1688" t="s">
        <v>9</v>
      </c>
      <c r="I1688">
        <v>16.899999999999999</v>
      </c>
      <c r="J1688" t="s">
        <v>13</v>
      </c>
      <c r="K1688">
        <v>1.34</v>
      </c>
      <c r="L1688" t="s">
        <v>51</v>
      </c>
      <c r="M1688" s="8">
        <v>0.3</v>
      </c>
    </row>
    <row r="1689" spans="1:13" x14ac:dyDescent="0.25">
      <c r="A1689">
        <v>1688</v>
      </c>
      <c r="B1689">
        <v>9.6</v>
      </c>
      <c r="C1689">
        <v>0.5</v>
      </c>
      <c r="D1689">
        <v>8.4</v>
      </c>
      <c r="E1689">
        <v>0</v>
      </c>
      <c r="F1689">
        <v>5.5</v>
      </c>
      <c r="G1689">
        <v>3.7</v>
      </c>
      <c r="H1689" t="s">
        <v>10</v>
      </c>
      <c r="I1689">
        <v>15.6</v>
      </c>
      <c r="J1689" t="s">
        <v>14</v>
      </c>
      <c r="K1689">
        <v>4.54</v>
      </c>
      <c r="L1689" t="s">
        <v>52</v>
      </c>
      <c r="M1689" s="8">
        <v>0.62</v>
      </c>
    </row>
    <row r="1690" spans="1:13" x14ac:dyDescent="0.25">
      <c r="A1690">
        <v>1689</v>
      </c>
      <c r="B1690">
        <v>9.6</v>
      </c>
      <c r="C1690">
        <v>0.5</v>
      </c>
      <c r="D1690">
        <v>5.5</v>
      </c>
      <c r="E1690">
        <v>2</v>
      </c>
      <c r="F1690">
        <v>6.4</v>
      </c>
      <c r="G1690">
        <v>3.19</v>
      </c>
      <c r="H1690" t="s">
        <v>10</v>
      </c>
      <c r="I1690">
        <v>18.5</v>
      </c>
      <c r="J1690" t="s">
        <v>15</v>
      </c>
      <c r="K1690">
        <v>4.16</v>
      </c>
      <c r="L1690" t="s">
        <v>52</v>
      </c>
      <c r="M1690" s="8">
        <v>0.52</v>
      </c>
    </row>
    <row r="1691" spans="1:13" x14ac:dyDescent="0.25">
      <c r="A1691">
        <v>1690</v>
      </c>
      <c r="B1691">
        <v>7.9</v>
      </c>
      <c r="C1691">
        <v>1.8</v>
      </c>
      <c r="D1691">
        <v>5.2</v>
      </c>
      <c r="E1691">
        <v>1.9</v>
      </c>
      <c r="F1691">
        <v>7.2</v>
      </c>
      <c r="G1691">
        <v>3.07</v>
      </c>
      <c r="H1691" t="s">
        <v>10</v>
      </c>
      <c r="I1691">
        <v>18.8</v>
      </c>
      <c r="J1691" t="s">
        <v>15</v>
      </c>
      <c r="K1691">
        <v>3.3</v>
      </c>
      <c r="L1691" t="s">
        <v>52</v>
      </c>
      <c r="M1691" s="8">
        <v>0.42</v>
      </c>
    </row>
    <row r="1692" spans="1:13" x14ac:dyDescent="0.25">
      <c r="A1692">
        <v>1691</v>
      </c>
      <c r="B1692">
        <v>9.1</v>
      </c>
      <c r="C1692">
        <v>2.8</v>
      </c>
      <c r="D1692">
        <v>8.6</v>
      </c>
      <c r="E1692">
        <v>2.4</v>
      </c>
      <c r="F1692">
        <v>1.1000000000000001</v>
      </c>
      <c r="G1692">
        <v>3.24</v>
      </c>
      <c r="H1692" t="s">
        <v>10</v>
      </c>
      <c r="I1692">
        <v>15.399999999999999</v>
      </c>
      <c r="J1692" t="s">
        <v>15</v>
      </c>
      <c r="K1692">
        <v>3.57</v>
      </c>
      <c r="L1692" t="s">
        <v>52</v>
      </c>
      <c r="M1692" s="8">
        <v>0.59</v>
      </c>
    </row>
    <row r="1693" spans="1:13" x14ac:dyDescent="0.25">
      <c r="A1693">
        <v>1692</v>
      </c>
      <c r="B1693">
        <v>6.4</v>
      </c>
      <c r="C1693">
        <v>3.3</v>
      </c>
      <c r="D1693">
        <v>9.9</v>
      </c>
      <c r="E1693">
        <v>2.2000000000000002</v>
      </c>
      <c r="F1693">
        <v>2.2000000000000002</v>
      </c>
      <c r="G1693">
        <v>2.9</v>
      </c>
      <c r="H1693" t="s">
        <v>8</v>
      </c>
      <c r="I1693">
        <v>14.099999999999998</v>
      </c>
      <c r="J1693" t="s">
        <v>13</v>
      </c>
      <c r="K1693">
        <v>1.99</v>
      </c>
      <c r="L1693" t="s">
        <v>52</v>
      </c>
      <c r="M1693" s="8">
        <v>0.45</v>
      </c>
    </row>
    <row r="1694" spans="1:13" x14ac:dyDescent="0.25">
      <c r="A1694">
        <v>1693</v>
      </c>
      <c r="B1694">
        <v>5</v>
      </c>
      <c r="C1694">
        <v>0.6</v>
      </c>
      <c r="D1694">
        <v>6.6</v>
      </c>
      <c r="E1694">
        <v>3.5</v>
      </c>
      <c r="F1694">
        <v>8.3000000000000007</v>
      </c>
      <c r="G1694">
        <v>2.89</v>
      </c>
      <c r="H1694" t="s">
        <v>9</v>
      </c>
      <c r="I1694">
        <v>17.399999999999999</v>
      </c>
      <c r="J1694" t="s">
        <v>13</v>
      </c>
      <c r="K1694">
        <v>3.2</v>
      </c>
      <c r="L1694" t="s">
        <v>52</v>
      </c>
      <c r="M1694" s="8">
        <v>0.28999999999999998</v>
      </c>
    </row>
    <row r="1695" spans="1:13" x14ac:dyDescent="0.25">
      <c r="A1695">
        <v>1694</v>
      </c>
      <c r="B1695">
        <v>8.9</v>
      </c>
      <c r="C1695">
        <v>3</v>
      </c>
      <c r="D1695">
        <v>8</v>
      </c>
      <c r="E1695">
        <v>2.6</v>
      </c>
      <c r="F1695">
        <v>1.5</v>
      </c>
      <c r="G1695">
        <v>3.29</v>
      </c>
      <c r="H1695" t="s">
        <v>10</v>
      </c>
      <c r="I1695">
        <v>16</v>
      </c>
      <c r="J1695" t="s">
        <v>15</v>
      </c>
      <c r="K1695">
        <v>3.33</v>
      </c>
      <c r="L1695" t="s">
        <v>52</v>
      </c>
      <c r="M1695" s="8">
        <v>0.56000000000000005</v>
      </c>
    </row>
    <row r="1696" spans="1:13" x14ac:dyDescent="0.25">
      <c r="A1696">
        <v>1695</v>
      </c>
      <c r="B1696">
        <v>8.1999999999999993</v>
      </c>
      <c r="C1696">
        <v>2.5</v>
      </c>
      <c r="D1696">
        <v>7.8</v>
      </c>
      <c r="E1696">
        <v>5.4</v>
      </c>
      <c r="F1696">
        <v>0.1</v>
      </c>
      <c r="G1696">
        <v>3.4</v>
      </c>
      <c r="H1696" t="s">
        <v>10</v>
      </c>
      <c r="I1696">
        <v>16.200000000000003</v>
      </c>
      <c r="J1696" t="s">
        <v>15</v>
      </c>
      <c r="K1696">
        <v>3.51</v>
      </c>
      <c r="L1696" t="s">
        <v>52</v>
      </c>
      <c r="M1696" s="8">
        <v>0.51</v>
      </c>
    </row>
    <row r="1697" spans="1:13" x14ac:dyDescent="0.25">
      <c r="A1697">
        <v>1696</v>
      </c>
      <c r="B1697">
        <v>9.4</v>
      </c>
      <c r="C1697">
        <v>0.9</v>
      </c>
      <c r="D1697">
        <v>5.4</v>
      </c>
      <c r="E1697">
        <v>2.9</v>
      </c>
      <c r="F1697">
        <v>5.4</v>
      </c>
      <c r="G1697">
        <v>3.56</v>
      </c>
      <c r="H1697" t="s">
        <v>10</v>
      </c>
      <c r="I1697">
        <v>18.600000000000001</v>
      </c>
      <c r="J1697" t="s">
        <v>14</v>
      </c>
      <c r="K1697">
        <v>3.66</v>
      </c>
      <c r="L1697" t="s">
        <v>52</v>
      </c>
      <c r="M1697" s="8">
        <v>0.51</v>
      </c>
    </row>
    <row r="1698" spans="1:13" x14ac:dyDescent="0.25">
      <c r="A1698">
        <v>1697</v>
      </c>
      <c r="B1698">
        <v>7.6</v>
      </c>
      <c r="C1698">
        <v>3.3</v>
      </c>
      <c r="D1698">
        <v>7.2</v>
      </c>
      <c r="E1698">
        <v>3.4</v>
      </c>
      <c r="F1698">
        <v>2.5</v>
      </c>
      <c r="G1698">
        <v>3.03</v>
      </c>
      <c r="H1698" t="s">
        <v>8</v>
      </c>
      <c r="I1698">
        <v>16.799999999999997</v>
      </c>
      <c r="J1698" t="s">
        <v>15</v>
      </c>
      <c r="K1698">
        <v>2.2999999999999998</v>
      </c>
      <c r="L1698" t="s">
        <v>52</v>
      </c>
      <c r="M1698" s="8">
        <v>0.45</v>
      </c>
    </row>
    <row r="1699" spans="1:13" x14ac:dyDescent="0.25">
      <c r="A1699">
        <v>1698</v>
      </c>
      <c r="B1699">
        <v>8.1</v>
      </c>
      <c r="C1699">
        <v>3.3</v>
      </c>
      <c r="D1699">
        <v>5.8</v>
      </c>
      <c r="E1699">
        <v>3.6</v>
      </c>
      <c r="F1699">
        <v>3.2</v>
      </c>
      <c r="G1699">
        <v>3.22</v>
      </c>
      <c r="H1699" t="s">
        <v>10</v>
      </c>
      <c r="I1699">
        <v>18.2</v>
      </c>
      <c r="J1699" t="s">
        <v>15</v>
      </c>
      <c r="K1699">
        <v>2.37</v>
      </c>
      <c r="L1699" t="s">
        <v>52</v>
      </c>
      <c r="M1699" s="8">
        <v>0.45</v>
      </c>
    </row>
    <row r="1700" spans="1:13" x14ac:dyDescent="0.25">
      <c r="A1700">
        <v>1699</v>
      </c>
      <c r="B1700">
        <v>8</v>
      </c>
      <c r="C1700">
        <v>0.7</v>
      </c>
      <c r="D1700">
        <v>5.6</v>
      </c>
      <c r="E1700">
        <v>5.9</v>
      </c>
      <c r="F1700">
        <v>3.8</v>
      </c>
      <c r="G1700">
        <v>2.93</v>
      </c>
      <c r="H1700" t="s">
        <v>10</v>
      </c>
      <c r="I1700">
        <v>18.399999999999999</v>
      </c>
      <c r="J1700" t="s">
        <v>13</v>
      </c>
      <c r="K1700">
        <v>3.11</v>
      </c>
      <c r="L1700" t="s">
        <v>52</v>
      </c>
      <c r="M1700" s="8">
        <v>0.43</v>
      </c>
    </row>
    <row r="1701" spans="1:13" x14ac:dyDescent="0.25">
      <c r="A1701">
        <v>1700</v>
      </c>
      <c r="B1701">
        <v>5.9</v>
      </c>
      <c r="C1701">
        <v>2.7</v>
      </c>
      <c r="D1701">
        <v>8</v>
      </c>
      <c r="E1701">
        <v>3.9</v>
      </c>
      <c r="F1701">
        <v>3.5</v>
      </c>
      <c r="G1701">
        <v>2.78</v>
      </c>
      <c r="H1701" t="s">
        <v>9</v>
      </c>
      <c r="I1701">
        <v>16</v>
      </c>
      <c r="J1701" t="s">
        <v>13</v>
      </c>
      <c r="K1701">
        <v>1.36</v>
      </c>
      <c r="L1701" t="s">
        <v>51</v>
      </c>
      <c r="M1701" s="8">
        <v>0.37</v>
      </c>
    </row>
    <row r="1702" spans="1:13" x14ac:dyDescent="0.25">
      <c r="A1702">
        <v>1701</v>
      </c>
      <c r="B1702">
        <v>5.4</v>
      </c>
      <c r="C1702">
        <v>3.6</v>
      </c>
      <c r="D1702">
        <v>6.9</v>
      </c>
      <c r="E1702">
        <v>1.9</v>
      </c>
      <c r="F1702">
        <v>6.2</v>
      </c>
      <c r="G1702">
        <v>2.35</v>
      </c>
      <c r="H1702" t="s">
        <v>9</v>
      </c>
      <c r="I1702">
        <v>17.100000000000001</v>
      </c>
      <c r="J1702" t="s">
        <v>16</v>
      </c>
      <c r="K1702">
        <v>1.92</v>
      </c>
      <c r="L1702" t="s">
        <v>52</v>
      </c>
      <c r="M1702" s="8">
        <v>0.32</v>
      </c>
    </row>
    <row r="1703" spans="1:13" x14ac:dyDescent="0.25">
      <c r="A1703">
        <v>1702</v>
      </c>
      <c r="B1703">
        <v>9.3000000000000007</v>
      </c>
      <c r="C1703">
        <v>3.7</v>
      </c>
      <c r="D1703">
        <v>6.5</v>
      </c>
      <c r="E1703">
        <v>3.9</v>
      </c>
      <c r="F1703">
        <v>0.6</v>
      </c>
      <c r="G1703">
        <v>3.24</v>
      </c>
      <c r="H1703" t="s">
        <v>10</v>
      </c>
      <c r="I1703">
        <v>17.5</v>
      </c>
      <c r="J1703" t="s">
        <v>15</v>
      </c>
      <c r="K1703">
        <v>3.61</v>
      </c>
      <c r="L1703" t="s">
        <v>52</v>
      </c>
      <c r="M1703" s="8">
        <v>0.53</v>
      </c>
    </row>
    <row r="1704" spans="1:13" x14ac:dyDescent="0.25">
      <c r="A1704">
        <v>1703</v>
      </c>
      <c r="B1704">
        <v>8.9</v>
      </c>
      <c r="C1704">
        <v>3.7</v>
      </c>
      <c r="D1704">
        <v>6.2</v>
      </c>
      <c r="E1704">
        <v>3</v>
      </c>
      <c r="F1704">
        <v>2.2000000000000002</v>
      </c>
      <c r="G1704">
        <v>3.49</v>
      </c>
      <c r="H1704" t="s">
        <v>10</v>
      </c>
      <c r="I1704">
        <v>17.8</v>
      </c>
      <c r="J1704" t="s">
        <v>15</v>
      </c>
      <c r="K1704">
        <v>3.03</v>
      </c>
      <c r="L1704" t="s">
        <v>52</v>
      </c>
      <c r="M1704" s="8">
        <v>0.5</v>
      </c>
    </row>
    <row r="1705" spans="1:13" x14ac:dyDescent="0.25">
      <c r="A1705">
        <v>1704</v>
      </c>
      <c r="B1705">
        <v>5</v>
      </c>
      <c r="C1705">
        <v>2.2999999999999998</v>
      </c>
      <c r="D1705">
        <v>6.7</v>
      </c>
      <c r="E1705">
        <v>1.9</v>
      </c>
      <c r="F1705">
        <v>8.1</v>
      </c>
      <c r="G1705">
        <v>2.64</v>
      </c>
      <c r="H1705" t="s">
        <v>9</v>
      </c>
      <c r="I1705">
        <v>17.299999999999997</v>
      </c>
      <c r="J1705" t="s">
        <v>13</v>
      </c>
      <c r="K1705">
        <v>2.87</v>
      </c>
      <c r="L1705" t="s">
        <v>52</v>
      </c>
      <c r="M1705" s="8">
        <v>0.28999999999999998</v>
      </c>
    </row>
    <row r="1706" spans="1:13" x14ac:dyDescent="0.25">
      <c r="A1706">
        <v>1705</v>
      </c>
      <c r="B1706">
        <v>8.1999999999999993</v>
      </c>
      <c r="C1706">
        <v>3.4</v>
      </c>
      <c r="D1706">
        <v>8</v>
      </c>
      <c r="E1706">
        <v>3.8</v>
      </c>
      <c r="F1706">
        <v>0.6</v>
      </c>
      <c r="G1706">
        <v>3.26</v>
      </c>
      <c r="H1706" t="s">
        <v>10</v>
      </c>
      <c r="I1706">
        <v>15.999999999999998</v>
      </c>
      <c r="J1706" t="s">
        <v>15</v>
      </c>
      <c r="K1706">
        <v>3.14</v>
      </c>
      <c r="L1706" t="s">
        <v>52</v>
      </c>
      <c r="M1706" s="8">
        <v>0.51</v>
      </c>
    </row>
    <row r="1707" spans="1:13" x14ac:dyDescent="0.25">
      <c r="A1707">
        <v>1706</v>
      </c>
      <c r="B1707">
        <v>7.3</v>
      </c>
      <c r="C1707">
        <v>0</v>
      </c>
      <c r="D1707">
        <v>7.8</v>
      </c>
      <c r="E1707">
        <v>4</v>
      </c>
      <c r="F1707">
        <v>4.9000000000000004</v>
      </c>
      <c r="G1707">
        <v>2.75</v>
      </c>
      <c r="H1707" t="s">
        <v>8</v>
      </c>
      <c r="I1707">
        <v>16.200000000000003</v>
      </c>
      <c r="J1707" t="s">
        <v>13</v>
      </c>
      <c r="K1707">
        <v>3.04</v>
      </c>
      <c r="L1707" t="s">
        <v>52</v>
      </c>
      <c r="M1707" s="8">
        <v>0.45</v>
      </c>
    </row>
    <row r="1708" spans="1:13" x14ac:dyDescent="0.25">
      <c r="A1708">
        <v>1707</v>
      </c>
      <c r="B1708">
        <v>8</v>
      </c>
      <c r="C1708">
        <v>2.9</v>
      </c>
      <c r="D1708">
        <v>7.9</v>
      </c>
      <c r="E1708">
        <v>0.3</v>
      </c>
      <c r="F1708">
        <v>4.9000000000000004</v>
      </c>
      <c r="G1708">
        <v>3.25</v>
      </c>
      <c r="H1708" t="s">
        <v>8</v>
      </c>
      <c r="I1708">
        <v>16.100000000000001</v>
      </c>
      <c r="J1708" t="s">
        <v>15</v>
      </c>
      <c r="K1708">
        <v>3.25</v>
      </c>
      <c r="L1708" t="s">
        <v>52</v>
      </c>
      <c r="M1708" s="8">
        <v>0.5</v>
      </c>
    </row>
    <row r="1709" spans="1:13" x14ac:dyDescent="0.25">
      <c r="A1709">
        <v>1708</v>
      </c>
      <c r="B1709">
        <v>6.4</v>
      </c>
      <c r="C1709">
        <v>0.3</v>
      </c>
      <c r="D1709">
        <v>7.1</v>
      </c>
      <c r="E1709">
        <v>3.3</v>
      </c>
      <c r="F1709">
        <v>6.9</v>
      </c>
      <c r="G1709">
        <v>2.77</v>
      </c>
      <c r="H1709" t="s">
        <v>8</v>
      </c>
      <c r="I1709">
        <v>16.899999999999999</v>
      </c>
      <c r="J1709" t="s">
        <v>13</v>
      </c>
      <c r="K1709">
        <v>3.06</v>
      </c>
      <c r="L1709" t="s">
        <v>52</v>
      </c>
      <c r="M1709" s="8">
        <v>0.38</v>
      </c>
    </row>
    <row r="1710" spans="1:13" x14ac:dyDescent="0.25">
      <c r="A1710">
        <v>1709</v>
      </c>
      <c r="B1710">
        <v>6.6</v>
      </c>
      <c r="C1710">
        <v>2.9</v>
      </c>
      <c r="D1710">
        <v>8.1999999999999993</v>
      </c>
      <c r="E1710">
        <v>2</v>
      </c>
      <c r="F1710">
        <v>4.3</v>
      </c>
      <c r="G1710">
        <v>3.14</v>
      </c>
      <c r="H1710" t="s">
        <v>8</v>
      </c>
      <c r="I1710">
        <v>15.8</v>
      </c>
      <c r="J1710" t="s">
        <v>15</v>
      </c>
      <c r="K1710">
        <v>2</v>
      </c>
      <c r="L1710" t="s">
        <v>52</v>
      </c>
      <c r="M1710" s="8">
        <v>0.42</v>
      </c>
    </row>
    <row r="1711" spans="1:13" x14ac:dyDescent="0.25">
      <c r="A1711">
        <v>1710</v>
      </c>
      <c r="B1711">
        <v>8.1999999999999993</v>
      </c>
      <c r="C1711">
        <v>2.2000000000000002</v>
      </c>
      <c r="D1711">
        <v>5.0999999999999996</v>
      </c>
      <c r="E1711">
        <v>4.2</v>
      </c>
      <c r="F1711">
        <v>4.3</v>
      </c>
      <c r="G1711">
        <v>3.48</v>
      </c>
      <c r="H1711" t="s">
        <v>10</v>
      </c>
      <c r="I1711">
        <v>18.899999999999999</v>
      </c>
      <c r="J1711" t="s">
        <v>15</v>
      </c>
      <c r="K1711">
        <v>2.5099999999999998</v>
      </c>
      <c r="L1711" t="s">
        <v>52</v>
      </c>
      <c r="M1711" s="8">
        <v>0.43</v>
      </c>
    </row>
    <row r="1712" spans="1:13" x14ac:dyDescent="0.25">
      <c r="A1712">
        <v>1711</v>
      </c>
      <c r="B1712">
        <v>6.9</v>
      </c>
      <c r="C1712">
        <v>3.8</v>
      </c>
      <c r="D1712">
        <v>9.1</v>
      </c>
      <c r="E1712">
        <v>2.5</v>
      </c>
      <c r="F1712">
        <v>1.7</v>
      </c>
      <c r="G1712">
        <v>2.88</v>
      </c>
      <c r="H1712" t="s">
        <v>8</v>
      </c>
      <c r="I1712">
        <v>14.899999999999999</v>
      </c>
      <c r="J1712" t="s">
        <v>13</v>
      </c>
      <c r="K1712">
        <v>2.29</v>
      </c>
      <c r="L1712" t="s">
        <v>52</v>
      </c>
      <c r="M1712" s="8">
        <v>0.46</v>
      </c>
    </row>
    <row r="1713" spans="1:13" x14ac:dyDescent="0.25">
      <c r="A1713">
        <v>1712</v>
      </c>
      <c r="B1713">
        <v>6.7</v>
      </c>
      <c r="C1713">
        <v>1.9</v>
      </c>
      <c r="D1713">
        <v>6.5</v>
      </c>
      <c r="E1713">
        <v>3.1</v>
      </c>
      <c r="F1713">
        <v>5.8</v>
      </c>
      <c r="G1713">
        <v>2.87</v>
      </c>
      <c r="H1713" t="s">
        <v>8</v>
      </c>
      <c r="I1713">
        <v>17.5</v>
      </c>
      <c r="J1713" t="s">
        <v>13</v>
      </c>
      <c r="K1713">
        <v>2.25</v>
      </c>
      <c r="L1713" t="s">
        <v>52</v>
      </c>
      <c r="M1713" s="8">
        <v>0.38</v>
      </c>
    </row>
    <row r="1714" spans="1:13" x14ac:dyDescent="0.25">
      <c r="A1714">
        <v>1713</v>
      </c>
      <c r="B1714">
        <v>5.8</v>
      </c>
      <c r="C1714">
        <v>3.9</v>
      </c>
      <c r="D1714">
        <v>5.5</v>
      </c>
      <c r="E1714">
        <v>5.6</v>
      </c>
      <c r="F1714">
        <v>3.2</v>
      </c>
      <c r="G1714">
        <v>2.88</v>
      </c>
      <c r="H1714" t="s">
        <v>10</v>
      </c>
      <c r="I1714">
        <v>18.5</v>
      </c>
      <c r="J1714" t="s">
        <v>13</v>
      </c>
      <c r="K1714">
        <v>1.28</v>
      </c>
      <c r="L1714" t="s">
        <v>51</v>
      </c>
      <c r="M1714" s="8">
        <v>0.31</v>
      </c>
    </row>
    <row r="1715" spans="1:13" x14ac:dyDescent="0.25">
      <c r="A1715">
        <v>1714</v>
      </c>
      <c r="B1715">
        <v>8.6</v>
      </c>
      <c r="C1715">
        <v>1.7</v>
      </c>
      <c r="D1715">
        <v>8.1999999999999993</v>
      </c>
      <c r="E1715">
        <v>1.9</v>
      </c>
      <c r="F1715">
        <v>3.6</v>
      </c>
      <c r="G1715">
        <v>3.46</v>
      </c>
      <c r="H1715" t="s">
        <v>10</v>
      </c>
      <c r="I1715">
        <v>15.799999999999999</v>
      </c>
      <c r="J1715" t="s">
        <v>15</v>
      </c>
      <c r="K1715">
        <v>3.22</v>
      </c>
      <c r="L1715" t="s">
        <v>52</v>
      </c>
      <c r="M1715" s="8">
        <v>0.54</v>
      </c>
    </row>
    <row r="1716" spans="1:13" x14ac:dyDescent="0.25">
      <c r="A1716">
        <v>1715</v>
      </c>
      <c r="B1716">
        <v>6.5</v>
      </c>
      <c r="C1716">
        <v>2.2999999999999998</v>
      </c>
      <c r="D1716">
        <v>7.5</v>
      </c>
      <c r="E1716">
        <v>3.5</v>
      </c>
      <c r="F1716">
        <v>4.2</v>
      </c>
      <c r="G1716">
        <v>2.8</v>
      </c>
      <c r="H1716" t="s">
        <v>8</v>
      </c>
      <c r="I1716">
        <v>16.5</v>
      </c>
      <c r="J1716" t="s">
        <v>13</v>
      </c>
      <c r="K1716">
        <v>1.77</v>
      </c>
      <c r="L1716" t="s">
        <v>52</v>
      </c>
      <c r="M1716" s="8">
        <v>0.39</v>
      </c>
    </row>
    <row r="1717" spans="1:13" x14ac:dyDescent="0.25">
      <c r="A1717">
        <v>1716</v>
      </c>
      <c r="B1717">
        <v>5.4</v>
      </c>
      <c r="C1717">
        <v>0.2</v>
      </c>
      <c r="D1717">
        <v>6.3</v>
      </c>
      <c r="E1717">
        <v>0.4</v>
      </c>
      <c r="F1717">
        <v>11.7</v>
      </c>
      <c r="G1717">
        <v>2.5299999999999998</v>
      </c>
      <c r="H1717" t="s">
        <v>9</v>
      </c>
      <c r="I1717">
        <v>17.7</v>
      </c>
      <c r="J1717" t="s">
        <v>13</v>
      </c>
      <c r="K1717">
        <v>5.41</v>
      </c>
      <c r="L1717" t="s">
        <v>52</v>
      </c>
      <c r="M1717" s="8">
        <v>0.31</v>
      </c>
    </row>
    <row r="1718" spans="1:13" x14ac:dyDescent="0.25">
      <c r="A1718">
        <v>1717</v>
      </c>
      <c r="B1718">
        <v>5.5</v>
      </c>
      <c r="C1718">
        <v>3.3</v>
      </c>
      <c r="D1718">
        <v>5.2</v>
      </c>
      <c r="E1718">
        <v>4</v>
      </c>
      <c r="F1718">
        <v>6</v>
      </c>
      <c r="G1718">
        <v>2.95</v>
      </c>
      <c r="H1718" t="s">
        <v>10</v>
      </c>
      <c r="I1718">
        <v>18.8</v>
      </c>
      <c r="J1718" t="s">
        <v>13</v>
      </c>
      <c r="K1718">
        <v>1.26</v>
      </c>
      <c r="L1718" t="s">
        <v>51</v>
      </c>
      <c r="M1718" s="8">
        <v>0.28999999999999998</v>
      </c>
    </row>
    <row r="1719" spans="1:13" x14ac:dyDescent="0.25">
      <c r="A1719">
        <v>1718</v>
      </c>
      <c r="B1719">
        <v>7.4</v>
      </c>
      <c r="C1719">
        <v>1.2</v>
      </c>
      <c r="D1719">
        <v>7.6</v>
      </c>
      <c r="E1719">
        <v>2.2999999999999998</v>
      </c>
      <c r="F1719">
        <v>5.5</v>
      </c>
      <c r="G1719">
        <v>3.03</v>
      </c>
      <c r="H1719" t="s">
        <v>8</v>
      </c>
      <c r="I1719">
        <v>16.399999999999999</v>
      </c>
      <c r="J1719" t="s">
        <v>15</v>
      </c>
      <c r="K1719">
        <v>2.86</v>
      </c>
      <c r="L1719" t="s">
        <v>52</v>
      </c>
      <c r="M1719" s="8">
        <v>0.45</v>
      </c>
    </row>
    <row r="1720" spans="1:13" x14ac:dyDescent="0.25">
      <c r="A1720">
        <v>1719</v>
      </c>
      <c r="B1720">
        <v>7.8</v>
      </c>
      <c r="C1720">
        <v>0.5</v>
      </c>
      <c r="D1720">
        <v>10</v>
      </c>
      <c r="E1720">
        <v>2.4</v>
      </c>
      <c r="F1720">
        <v>3.3</v>
      </c>
      <c r="G1720">
        <v>3.43</v>
      </c>
      <c r="H1720" t="s">
        <v>8</v>
      </c>
      <c r="I1720">
        <v>14</v>
      </c>
      <c r="J1720" t="s">
        <v>15</v>
      </c>
      <c r="K1720">
        <v>3.1</v>
      </c>
      <c r="L1720" t="s">
        <v>52</v>
      </c>
      <c r="M1720" s="8">
        <v>0.56000000000000005</v>
      </c>
    </row>
    <row r="1721" spans="1:13" x14ac:dyDescent="0.25">
      <c r="A1721">
        <v>1720</v>
      </c>
      <c r="B1721">
        <v>6.8</v>
      </c>
      <c r="C1721">
        <v>3.3</v>
      </c>
      <c r="D1721">
        <v>7.3</v>
      </c>
      <c r="E1721">
        <v>4.3</v>
      </c>
      <c r="F1721">
        <v>2.2999999999999998</v>
      </c>
      <c r="G1721">
        <v>2.83</v>
      </c>
      <c r="H1721" t="s">
        <v>8</v>
      </c>
      <c r="I1721">
        <v>16.7</v>
      </c>
      <c r="J1721" t="s">
        <v>13</v>
      </c>
      <c r="K1721">
        <v>1.93</v>
      </c>
      <c r="L1721" t="s">
        <v>52</v>
      </c>
      <c r="M1721" s="8">
        <v>0.41</v>
      </c>
    </row>
    <row r="1722" spans="1:13" x14ac:dyDescent="0.25">
      <c r="A1722">
        <v>1721</v>
      </c>
      <c r="B1722">
        <v>5.5</v>
      </c>
      <c r="C1722">
        <v>3.4</v>
      </c>
      <c r="D1722">
        <v>8.6999999999999993</v>
      </c>
      <c r="E1722">
        <v>1.3</v>
      </c>
      <c r="F1722">
        <v>5.0999999999999996</v>
      </c>
      <c r="G1722">
        <v>2.74</v>
      </c>
      <c r="H1722" t="s">
        <v>9</v>
      </c>
      <c r="I1722">
        <v>15.3</v>
      </c>
      <c r="J1722" t="s">
        <v>13</v>
      </c>
      <c r="K1722">
        <v>1.91</v>
      </c>
      <c r="L1722" t="s">
        <v>52</v>
      </c>
      <c r="M1722" s="8">
        <v>0.36</v>
      </c>
    </row>
    <row r="1723" spans="1:13" x14ac:dyDescent="0.25">
      <c r="A1723">
        <v>1722</v>
      </c>
      <c r="B1723">
        <v>9.9</v>
      </c>
      <c r="C1723">
        <v>1</v>
      </c>
      <c r="D1723">
        <v>7.3</v>
      </c>
      <c r="E1723">
        <v>0.2</v>
      </c>
      <c r="F1723">
        <v>5.6</v>
      </c>
      <c r="G1723">
        <v>3.32</v>
      </c>
      <c r="H1723" t="s">
        <v>10</v>
      </c>
      <c r="I1723">
        <v>16.7</v>
      </c>
      <c r="J1723" t="s">
        <v>15</v>
      </c>
      <c r="K1723">
        <v>4.5</v>
      </c>
      <c r="L1723" t="s">
        <v>52</v>
      </c>
      <c r="M1723" s="8">
        <v>0.59</v>
      </c>
    </row>
    <row r="1724" spans="1:13" x14ac:dyDescent="0.25">
      <c r="A1724">
        <v>1723</v>
      </c>
      <c r="B1724">
        <v>7</v>
      </c>
      <c r="C1724">
        <v>2.2999999999999998</v>
      </c>
      <c r="D1724">
        <v>9.8000000000000007</v>
      </c>
      <c r="E1724">
        <v>2.5</v>
      </c>
      <c r="F1724">
        <v>2.4</v>
      </c>
      <c r="G1724">
        <v>3.09</v>
      </c>
      <c r="H1724" t="s">
        <v>8</v>
      </c>
      <c r="I1724">
        <v>14.200000000000001</v>
      </c>
      <c r="J1724" t="s">
        <v>15</v>
      </c>
      <c r="K1724">
        <v>2.2999999999999998</v>
      </c>
      <c r="L1724" t="s">
        <v>52</v>
      </c>
      <c r="M1724" s="8">
        <v>0.49</v>
      </c>
    </row>
    <row r="1725" spans="1:13" x14ac:dyDescent="0.25">
      <c r="A1725">
        <v>1724</v>
      </c>
      <c r="B1725">
        <v>5.2</v>
      </c>
      <c r="C1725">
        <v>1.3</v>
      </c>
      <c r="D1725">
        <v>7.9</v>
      </c>
      <c r="E1725">
        <v>5.7</v>
      </c>
      <c r="F1725">
        <v>3.9</v>
      </c>
      <c r="G1725">
        <v>3.04</v>
      </c>
      <c r="H1725" t="s">
        <v>9</v>
      </c>
      <c r="I1725">
        <v>16.099999999999998</v>
      </c>
      <c r="J1725" t="s">
        <v>15</v>
      </c>
      <c r="K1725">
        <v>1.97</v>
      </c>
      <c r="L1725" t="s">
        <v>52</v>
      </c>
      <c r="M1725" s="8">
        <v>0.32</v>
      </c>
    </row>
    <row r="1726" spans="1:13" x14ac:dyDescent="0.25">
      <c r="A1726">
        <v>1725</v>
      </c>
      <c r="B1726">
        <v>9.3000000000000007</v>
      </c>
      <c r="C1726">
        <v>0.9</v>
      </c>
      <c r="D1726">
        <v>6.1</v>
      </c>
      <c r="E1726">
        <v>1.2</v>
      </c>
      <c r="F1726">
        <v>6.5</v>
      </c>
      <c r="G1726">
        <v>3.29</v>
      </c>
      <c r="H1726" t="s">
        <v>10</v>
      </c>
      <c r="I1726">
        <v>17.899999999999999</v>
      </c>
      <c r="J1726" t="s">
        <v>15</v>
      </c>
      <c r="K1726">
        <v>4.12</v>
      </c>
      <c r="L1726" t="s">
        <v>52</v>
      </c>
      <c r="M1726" s="8">
        <v>0.52</v>
      </c>
    </row>
    <row r="1727" spans="1:13" x14ac:dyDescent="0.25">
      <c r="A1727">
        <v>1726</v>
      </c>
      <c r="B1727">
        <v>7.5</v>
      </c>
      <c r="C1727">
        <v>1.9</v>
      </c>
      <c r="D1727">
        <v>6.3</v>
      </c>
      <c r="E1727">
        <v>3</v>
      </c>
      <c r="F1727">
        <v>5.3</v>
      </c>
      <c r="G1727">
        <v>3.4</v>
      </c>
      <c r="H1727" t="s">
        <v>8</v>
      </c>
      <c r="I1727">
        <v>17.7</v>
      </c>
      <c r="J1727" t="s">
        <v>15</v>
      </c>
      <c r="K1727">
        <v>2.4900000000000002</v>
      </c>
      <c r="L1727" t="s">
        <v>52</v>
      </c>
      <c r="M1727" s="8">
        <v>0.42</v>
      </c>
    </row>
    <row r="1728" spans="1:13" x14ac:dyDescent="0.25">
      <c r="A1728">
        <v>1727</v>
      </c>
      <c r="B1728">
        <v>5.2</v>
      </c>
      <c r="C1728">
        <v>0.5</v>
      </c>
      <c r="D1728">
        <v>9.4</v>
      </c>
      <c r="E1728">
        <v>4.5</v>
      </c>
      <c r="F1728">
        <v>4.4000000000000004</v>
      </c>
      <c r="G1728">
        <v>2.9</v>
      </c>
      <c r="H1728" t="s">
        <v>9</v>
      </c>
      <c r="I1728">
        <v>14.6</v>
      </c>
      <c r="J1728" t="s">
        <v>13</v>
      </c>
      <c r="K1728">
        <v>2.13</v>
      </c>
      <c r="L1728" t="s">
        <v>52</v>
      </c>
      <c r="M1728" s="8">
        <v>0.36</v>
      </c>
    </row>
    <row r="1729" spans="1:13" x14ac:dyDescent="0.25">
      <c r="A1729">
        <v>1728</v>
      </c>
      <c r="B1729">
        <v>6.8</v>
      </c>
      <c r="C1729">
        <v>3</v>
      </c>
      <c r="D1729">
        <v>8.9</v>
      </c>
      <c r="E1729">
        <v>4</v>
      </c>
      <c r="F1729">
        <v>1.3</v>
      </c>
      <c r="G1729">
        <v>2.4900000000000002</v>
      </c>
      <c r="H1729" t="s">
        <v>8</v>
      </c>
      <c r="I1729">
        <v>15.100000000000001</v>
      </c>
      <c r="J1729" t="s">
        <v>16</v>
      </c>
      <c r="K1729">
        <v>2.2999999999999998</v>
      </c>
      <c r="L1729" t="s">
        <v>52</v>
      </c>
      <c r="M1729" s="8">
        <v>0.45</v>
      </c>
    </row>
    <row r="1730" spans="1:13" x14ac:dyDescent="0.25">
      <c r="A1730">
        <v>1729</v>
      </c>
      <c r="B1730">
        <v>8.6</v>
      </c>
      <c r="C1730">
        <v>0.8</v>
      </c>
      <c r="D1730">
        <v>6.7</v>
      </c>
      <c r="E1730">
        <v>2.8</v>
      </c>
      <c r="F1730">
        <v>5.0999999999999996</v>
      </c>
      <c r="G1730">
        <v>3.52</v>
      </c>
      <c r="H1730" t="s">
        <v>10</v>
      </c>
      <c r="I1730">
        <v>17.299999999999997</v>
      </c>
      <c r="J1730" t="s">
        <v>14</v>
      </c>
      <c r="K1730">
        <v>3.35</v>
      </c>
      <c r="L1730" t="s">
        <v>52</v>
      </c>
      <c r="M1730" s="8">
        <v>0.5</v>
      </c>
    </row>
    <row r="1731" spans="1:13" x14ac:dyDescent="0.25">
      <c r="A1731">
        <v>1730</v>
      </c>
      <c r="B1731">
        <v>6.6</v>
      </c>
      <c r="C1731">
        <v>0.6</v>
      </c>
      <c r="D1731">
        <v>7</v>
      </c>
      <c r="E1731">
        <v>5.9</v>
      </c>
      <c r="F1731">
        <v>3.9</v>
      </c>
      <c r="G1731">
        <v>2.83</v>
      </c>
      <c r="H1731" t="s">
        <v>8</v>
      </c>
      <c r="I1731">
        <v>17</v>
      </c>
      <c r="J1731" t="s">
        <v>13</v>
      </c>
      <c r="K1731">
        <v>2.69</v>
      </c>
      <c r="L1731" t="s">
        <v>52</v>
      </c>
      <c r="M1731" s="8">
        <v>0.39</v>
      </c>
    </row>
    <row r="1732" spans="1:13" x14ac:dyDescent="0.25">
      <c r="A1732">
        <v>1731</v>
      </c>
      <c r="B1732">
        <v>6.1</v>
      </c>
      <c r="C1732">
        <v>2.4</v>
      </c>
      <c r="D1732">
        <v>7.2</v>
      </c>
      <c r="E1732">
        <v>0.4</v>
      </c>
      <c r="F1732">
        <v>7.9</v>
      </c>
      <c r="G1732">
        <v>3.29</v>
      </c>
      <c r="H1732" t="s">
        <v>8</v>
      </c>
      <c r="I1732">
        <v>16.8</v>
      </c>
      <c r="J1732" t="s">
        <v>15</v>
      </c>
      <c r="K1732">
        <v>3.41</v>
      </c>
      <c r="L1732" t="s">
        <v>52</v>
      </c>
      <c r="M1732" s="8">
        <v>0.36</v>
      </c>
    </row>
    <row r="1733" spans="1:13" x14ac:dyDescent="0.25">
      <c r="A1733">
        <v>1732</v>
      </c>
      <c r="B1733">
        <v>7.6</v>
      </c>
      <c r="C1733">
        <v>3.5</v>
      </c>
      <c r="D1733">
        <v>6.4</v>
      </c>
      <c r="E1733">
        <v>0.5</v>
      </c>
      <c r="F1733">
        <v>6</v>
      </c>
      <c r="G1733">
        <v>3.12</v>
      </c>
      <c r="H1733" t="s">
        <v>8</v>
      </c>
      <c r="I1733">
        <v>17.600000000000001</v>
      </c>
      <c r="J1733" t="s">
        <v>15</v>
      </c>
      <c r="K1733">
        <v>3.1</v>
      </c>
      <c r="L1733" t="s">
        <v>52</v>
      </c>
      <c r="M1733" s="8">
        <v>0.43</v>
      </c>
    </row>
    <row r="1734" spans="1:13" x14ac:dyDescent="0.25">
      <c r="A1734">
        <v>1733</v>
      </c>
      <c r="B1734">
        <v>9.6999999999999993</v>
      </c>
      <c r="C1734">
        <v>1.5</v>
      </c>
      <c r="D1734">
        <v>7.9</v>
      </c>
      <c r="E1734">
        <v>3.9</v>
      </c>
      <c r="F1734">
        <v>1</v>
      </c>
      <c r="G1734">
        <v>3.69</v>
      </c>
      <c r="H1734" t="s">
        <v>10</v>
      </c>
      <c r="I1734">
        <v>16.100000000000001</v>
      </c>
      <c r="J1734" t="s">
        <v>14</v>
      </c>
      <c r="K1734">
        <v>3.99</v>
      </c>
      <c r="L1734" t="s">
        <v>52</v>
      </c>
      <c r="M1734" s="8">
        <v>0.6</v>
      </c>
    </row>
    <row r="1735" spans="1:13" x14ac:dyDescent="0.25">
      <c r="A1735">
        <v>1734</v>
      </c>
      <c r="B1735">
        <v>5.7</v>
      </c>
      <c r="C1735">
        <v>1.2</v>
      </c>
      <c r="D1735">
        <v>5.7</v>
      </c>
      <c r="E1735">
        <v>4.9000000000000004</v>
      </c>
      <c r="F1735">
        <v>6.5</v>
      </c>
      <c r="G1735">
        <v>2.66</v>
      </c>
      <c r="H1735" t="s">
        <v>10</v>
      </c>
      <c r="I1735">
        <v>18.3</v>
      </c>
      <c r="J1735" t="s">
        <v>13</v>
      </c>
      <c r="K1735">
        <v>2.34</v>
      </c>
      <c r="L1735" t="s">
        <v>52</v>
      </c>
      <c r="M1735" s="8">
        <v>0.31</v>
      </c>
    </row>
    <row r="1736" spans="1:13" x14ac:dyDescent="0.25">
      <c r="A1736">
        <v>1735</v>
      </c>
      <c r="B1736">
        <v>6.1</v>
      </c>
      <c r="C1736">
        <v>2.9</v>
      </c>
      <c r="D1736">
        <v>9.6999999999999993</v>
      </c>
      <c r="E1736">
        <v>2.8</v>
      </c>
      <c r="F1736">
        <v>2.5</v>
      </c>
      <c r="G1736">
        <v>2.5</v>
      </c>
      <c r="H1736" t="s">
        <v>8</v>
      </c>
      <c r="I1736">
        <v>14.3</v>
      </c>
      <c r="J1736" t="s">
        <v>13</v>
      </c>
      <c r="K1736">
        <v>1.69</v>
      </c>
      <c r="L1736" t="s">
        <v>52</v>
      </c>
      <c r="M1736" s="8">
        <v>0.43</v>
      </c>
    </row>
    <row r="1737" spans="1:13" x14ac:dyDescent="0.25">
      <c r="A1737">
        <v>1736</v>
      </c>
      <c r="B1737">
        <v>6.6</v>
      </c>
      <c r="C1737">
        <v>1.9</v>
      </c>
      <c r="D1737">
        <v>8</v>
      </c>
      <c r="E1737">
        <v>5.9</v>
      </c>
      <c r="F1737">
        <v>1.6</v>
      </c>
      <c r="G1737">
        <v>3.41</v>
      </c>
      <c r="H1737" t="s">
        <v>8</v>
      </c>
      <c r="I1737">
        <v>16</v>
      </c>
      <c r="J1737" t="s">
        <v>15</v>
      </c>
      <c r="K1737">
        <v>2.62</v>
      </c>
      <c r="L1737" t="s">
        <v>52</v>
      </c>
      <c r="M1737" s="8">
        <v>0.41</v>
      </c>
    </row>
    <row r="1738" spans="1:13" x14ac:dyDescent="0.25">
      <c r="A1738">
        <v>1737</v>
      </c>
      <c r="B1738">
        <v>9.6999999999999993</v>
      </c>
      <c r="C1738">
        <v>3.4</v>
      </c>
      <c r="D1738">
        <v>9.4</v>
      </c>
      <c r="E1738">
        <v>0.7</v>
      </c>
      <c r="F1738">
        <v>0.8</v>
      </c>
      <c r="G1738">
        <v>3.6</v>
      </c>
      <c r="H1738" t="s">
        <v>10</v>
      </c>
      <c r="I1738">
        <v>14.6</v>
      </c>
      <c r="J1738" t="s">
        <v>14</v>
      </c>
      <c r="K1738">
        <v>4.22</v>
      </c>
      <c r="L1738" t="s">
        <v>52</v>
      </c>
      <c r="M1738" s="8">
        <v>0.66</v>
      </c>
    </row>
    <row r="1739" spans="1:13" x14ac:dyDescent="0.25">
      <c r="A1739">
        <v>1738</v>
      </c>
      <c r="B1739">
        <v>7</v>
      </c>
      <c r="C1739">
        <v>3.8</v>
      </c>
      <c r="D1739">
        <v>7.1</v>
      </c>
      <c r="E1739">
        <v>3.6</v>
      </c>
      <c r="F1739">
        <v>2.5</v>
      </c>
      <c r="G1739">
        <v>3.11</v>
      </c>
      <c r="H1739" t="s">
        <v>8</v>
      </c>
      <c r="I1739">
        <v>16.899999999999999</v>
      </c>
      <c r="J1739" t="s">
        <v>15</v>
      </c>
      <c r="K1739">
        <v>1.94</v>
      </c>
      <c r="L1739" t="s">
        <v>52</v>
      </c>
      <c r="M1739" s="8">
        <v>0.41</v>
      </c>
    </row>
    <row r="1740" spans="1:13" x14ac:dyDescent="0.25">
      <c r="A1740">
        <v>1739</v>
      </c>
      <c r="B1740">
        <v>8.5</v>
      </c>
      <c r="C1740">
        <v>3.8</v>
      </c>
      <c r="D1740">
        <v>6.2</v>
      </c>
      <c r="E1740">
        <v>4.0999999999999996</v>
      </c>
      <c r="F1740">
        <v>1.4</v>
      </c>
      <c r="G1740">
        <v>2.93</v>
      </c>
      <c r="H1740" t="s">
        <v>10</v>
      </c>
      <c r="I1740">
        <v>17.799999999999997</v>
      </c>
      <c r="J1740" t="s">
        <v>13</v>
      </c>
      <c r="K1740">
        <v>2.96</v>
      </c>
      <c r="L1740" t="s">
        <v>52</v>
      </c>
      <c r="M1740" s="8">
        <v>0.48</v>
      </c>
    </row>
    <row r="1741" spans="1:13" x14ac:dyDescent="0.25">
      <c r="A1741">
        <v>1740</v>
      </c>
      <c r="B1741">
        <v>8.9</v>
      </c>
      <c r="C1741">
        <v>2.2000000000000002</v>
      </c>
      <c r="D1741">
        <v>8.3000000000000007</v>
      </c>
      <c r="E1741">
        <v>1.5</v>
      </c>
      <c r="F1741">
        <v>3.1</v>
      </c>
      <c r="G1741">
        <v>3.37</v>
      </c>
      <c r="H1741" t="s">
        <v>10</v>
      </c>
      <c r="I1741">
        <v>15.700000000000001</v>
      </c>
      <c r="J1741" t="s">
        <v>15</v>
      </c>
      <c r="K1741">
        <v>3.38</v>
      </c>
      <c r="L1741" t="s">
        <v>52</v>
      </c>
      <c r="M1741" s="8">
        <v>0.56999999999999995</v>
      </c>
    </row>
    <row r="1742" spans="1:13" x14ac:dyDescent="0.25">
      <c r="A1742">
        <v>1741</v>
      </c>
      <c r="B1742">
        <v>7.4</v>
      </c>
      <c r="C1742">
        <v>2.5</v>
      </c>
      <c r="D1742">
        <v>7</v>
      </c>
      <c r="E1742">
        <v>1.2</v>
      </c>
      <c r="F1742">
        <v>5.9</v>
      </c>
      <c r="G1742">
        <v>3.11</v>
      </c>
      <c r="H1742" t="s">
        <v>8</v>
      </c>
      <c r="I1742">
        <v>17</v>
      </c>
      <c r="J1742" t="s">
        <v>15</v>
      </c>
      <c r="K1742">
        <v>2.89</v>
      </c>
      <c r="L1742" t="s">
        <v>52</v>
      </c>
      <c r="M1742" s="8">
        <v>0.44</v>
      </c>
    </row>
    <row r="1743" spans="1:13" x14ac:dyDescent="0.25">
      <c r="A1743">
        <v>1742</v>
      </c>
      <c r="B1743">
        <v>8.6999999999999993</v>
      </c>
      <c r="C1743">
        <v>1.6</v>
      </c>
      <c r="D1743">
        <v>6.8</v>
      </c>
      <c r="E1743">
        <v>2.4</v>
      </c>
      <c r="F1743">
        <v>4.5</v>
      </c>
      <c r="G1743">
        <v>3.42</v>
      </c>
      <c r="H1743" t="s">
        <v>10</v>
      </c>
      <c r="I1743">
        <v>17.2</v>
      </c>
      <c r="J1743" t="s">
        <v>15</v>
      </c>
      <c r="K1743">
        <v>3.18</v>
      </c>
      <c r="L1743" t="s">
        <v>52</v>
      </c>
      <c r="M1743" s="8">
        <v>0.51</v>
      </c>
    </row>
    <row r="1744" spans="1:13" x14ac:dyDescent="0.25">
      <c r="A1744">
        <v>1743</v>
      </c>
      <c r="B1744">
        <v>7</v>
      </c>
      <c r="C1744">
        <v>2.2000000000000002</v>
      </c>
      <c r="D1744">
        <v>7.7</v>
      </c>
      <c r="E1744">
        <v>3</v>
      </c>
      <c r="F1744">
        <v>4.0999999999999996</v>
      </c>
      <c r="G1744">
        <v>3.05</v>
      </c>
      <c r="H1744" t="s">
        <v>8</v>
      </c>
      <c r="I1744">
        <v>16.299999999999997</v>
      </c>
      <c r="J1744" t="s">
        <v>15</v>
      </c>
      <c r="K1744">
        <v>2.1</v>
      </c>
      <c r="L1744" t="s">
        <v>52</v>
      </c>
      <c r="M1744" s="8">
        <v>0.43</v>
      </c>
    </row>
    <row r="1745" spans="1:13" x14ac:dyDescent="0.25">
      <c r="A1745">
        <v>1744</v>
      </c>
      <c r="B1745">
        <v>5.8</v>
      </c>
      <c r="C1745">
        <v>0.5</v>
      </c>
      <c r="D1745">
        <v>9.6999999999999993</v>
      </c>
      <c r="E1745">
        <v>3.6</v>
      </c>
      <c r="F1745">
        <v>4.4000000000000004</v>
      </c>
      <c r="G1745">
        <v>2.65</v>
      </c>
      <c r="H1745" t="s">
        <v>9</v>
      </c>
      <c r="I1745">
        <v>14.3</v>
      </c>
      <c r="J1745" t="s">
        <v>13</v>
      </c>
      <c r="K1745">
        <v>2.2400000000000002</v>
      </c>
      <c r="L1745" t="s">
        <v>52</v>
      </c>
      <c r="M1745" s="8">
        <v>0.41</v>
      </c>
    </row>
    <row r="1746" spans="1:13" x14ac:dyDescent="0.25">
      <c r="A1746">
        <v>1745</v>
      </c>
      <c r="B1746">
        <v>8.3000000000000007</v>
      </c>
      <c r="C1746">
        <v>1.6</v>
      </c>
      <c r="D1746">
        <v>9.5</v>
      </c>
      <c r="E1746">
        <v>2.9</v>
      </c>
      <c r="F1746">
        <v>1.7</v>
      </c>
      <c r="G1746">
        <v>3.12</v>
      </c>
      <c r="H1746" t="s">
        <v>10</v>
      </c>
      <c r="I1746">
        <v>14.5</v>
      </c>
      <c r="J1746" t="s">
        <v>15</v>
      </c>
      <c r="K1746">
        <v>3.17</v>
      </c>
      <c r="L1746" t="s">
        <v>52</v>
      </c>
      <c r="M1746" s="8">
        <v>0.56999999999999995</v>
      </c>
    </row>
    <row r="1747" spans="1:13" x14ac:dyDescent="0.25">
      <c r="A1747">
        <v>1746</v>
      </c>
      <c r="B1747">
        <v>9.8000000000000007</v>
      </c>
      <c r="C1747">
        <v>3.3</v>
      </c>
      <c r="D1747">
        <v>9.3000000000000007</v>
      </c>
      <c r="E1747">
        <v>0.3</v>
      </c>
      <c r="F1747">
        <v>1.3</v>
      </c>
      <c r="G1747">
        <v>3.73</v>
      </c>
      <c r="H1747" t="s">
        <v>10</v>
      </c>
      <c r="I1747">
        <v>14.700000000000003</v>
      </c>
      <c r="J1747" t="s">
        <v>14</v>
      </c>
      <c r="K1747">
        <v>4.2699999999999996</v>
      </c>
      <c r="L1747" t="s">
        <v>52</v>
      </c>
      <c r="M1747" s="8">
        <v>0.67</v>
      </c>
    </row>
    <row r="1748" spans="1:13" x14ac:dyDescent="0.25">
      <c r="A1748">
        <v>1747</v>
      </c>
      <c r="B1748">
        <v>6.4</v>
      </c>
      <c r="C1748">
        <v>1.1000000000000001</v>
      </c>
      <c r="D1748">
        <v>6.4</v>
      </c>
      <c r="E1748">
        <v>5.0999999999999996</v>
      </c>
      <c r="F1748">
        <v>5</v>
      </c>
      <c r="G1748">
        <v>2.79</v>
      </c>
      <c r="H1748" t="s">
        <v>8</v>
      </c>
      <c r="I1748">
        <v>17.600000000000001</v>
      </c>
      <c r="J1748" t="s">
        <v>13</v>
      </c>
      <c r="K1748">
        <v>2.29</v>
      </c>
      <c r="L1748" t="s">
        <v>52</v>
      </c>
      <c r="M1748" s="8">
        <v>0.36</v>
      </c>
    </row>
    <row r="1749" spans="1:13" x14ac:dyDescent="0.25">
      <c r="A1749">
        <v>1748</v>
      </c>
      <c r="B1749">
        <v>6.2</v>
      </c>
      <c r="C1749">
        <v>3.2</v>
      </c>
      <c r="D1749">
        <v>7.8</v>
      </c>
      <c r="E1749">
        <v>0</v>
      </c>
      <c r="F1749">
        <v>6.8</v>
      </c>
      <c r="G1749">
        <v>2.8</v>
      </c>
      <c r="H1749" t="s">
        <v>8</v>
      </c>
      <c r="I1749">
        <v>16.2</v>
      </c>
      <c r="J1749" t="s">
        <v>13</v>
      </c>
      <c r="K1749">
        <v>3.13</v>
      </c>
      <c r="L1749" t="s">
        <v>52</v>
      </c>
      <c r="M1749" s="8">
        <v>0.38</v>
      </c>
    </row>
    <row r="1750" spans="1:13" x14ac:dyDescent="0.25">
      <c r="A1750">
        <v>1749</v>
      </c>
      <c r="B1750">
        <v>7.1</v>
      </c>
      <c r="C1750">
        <v>1.6</v>
      </c>
      <c r="D1750">
        <v>5.6</v>
      </c>
      <c r="E1750">
        <v>4.0999999999999996</v>
      </c>
      <c r="F1750">
        <v>5.6</v>
      </c>
      <c r="G1750">
        <v>3.28</v>
      </c>
      <c r="H1750" t="s">
        <v>10</v>
      </c>
      <c r="I1750">
        <v>18.399999999999999</v>
      </c>
      <c r="J1750" t="s">
        <v>15</v>
      </c>
      <c r="K1750">
        <v>2.35</v>
      </c>
      <c r="L1750" t="s">
        <v>52</v>
      </c>
      <c r="M1750" s="8">
        <v>0.39</v>
      </c>
    </row>
    <row r="1751" spans="1:13" x14ac:dyDescent="0.25">
      <c r="A1751">
        <v>1750</v>
      </c>
      <c r="B1751">
        <v>8.6</v>
      </c>
      <c r="C1751">
        <v>0</v>
      </c>
      <c r="D1751">
        <v>9.8000000000000007</v>
      </c>
      <c r="E1751">
        <v>4.5999999999999996</v>
      </c>
      <c r="F1751">
        <v>1</v>
      </c>
      <c r="G1751">
        <v>3.48</v>
      </c>
      <c r="H1751" t="s">
        <v>10</v>
      </c>
      <c r="I1751">
        <v>14.2</v>
      </c>
      <c r="J1751" t="s">
        <v>15</v>
      </c>
      <c r="K1751">
        <v>3.9</v>
      </c>
      <c r="L1751" t="s">
        <v>52</v>
      </c>
      <c r="M1751" s="8">
        <v>0.61</v>
      </c>
    </row>
    <row r="1752" spans="1:13" x14ac:dyDescent="0.25">
      <c r="A1752">
        <v>1751</v>
      </c>
      <c r="B1752">
        <v>9.5</v>
      </c>
      <c r="C1752">
        <v>0.1</v>
      </c>
      <c r="D1752">
        <v>9.6999999999999993</v>
      </c>
      <c r="E1752">
        <v>3.8</v>
      </c>
      <c r="F1752">
        <v>0.9</v>
      </c>
      <c r="G1752">
        <v>3.57</v>
      </c>
      <c r="H1752" t="s">
        <v>10</v>
      </c>
      <c r="I1752">
        <v>14.299999999999999</v>
      </c>
      <c r="J1752" t="s">
        <v>14</v>
      </c>
      <c r="K1752">
        <v>4.26</v>
      </c>
      <c r="L1752" t="s">
        <v>52</v>
      </c>
      <c r="M1752" s="8">
        <v>0.66</v>
      </c>
    </row>
    <row r="1753" spans="1:13" x14ac:dyDescent="0.25">
      <c r="A1753">
        <v>1752</v>
      </c>
      <c r="B1753">
        <v>9.6999999999999993</v>
      </c>
      <c r="C1753">
        <v>1.8</v>
      </c>
      <c r="D1753">
        <v>8</v>
      </c>
      <c r="E1753">
        <v>2.1</v>
      </c>
      <c r="F1753">
        <v>2.4</v>
      </c>
      <c r="G1753">
        <v>3.82</v>
      </c>
      <c r="H1753" t="s">
        <v>10</v>
      </c>
      <c r="I1753">
        <v>16</v>
      </c>
      <c r="J1753" t="s">
        <v>14</v>
      </c>
      <c r="K1753">
        <v>3.81</v>
      </c>
      <c r="L1753" t="s">
        <v>52</v>
      </c>
      <c r="M1753" s="8">
        <v>0.61</v>
      </c>
    </row>
    <row r="1754" spans="1:13" x14ac:dyDescent="0.25">
      <c r="A1754">
        <v>1753</v>
      </c>
      <c r="B1754">
        <v>9.6999999999999993</v>
      </c>
      <c r="C1754">
        <v>0.3</v>
      </c>
      <c r="D1754">
        <v>7.5</v>
      </c>
      <c r="E1754">
        <v>4.0999999999999996</v>
      </c>
      <c r="F1754">
        <v>2.4</v>
      </c>
      <c r="G1754">
        <v>3.53</v>
      </c>
      <c r="H1754" t="s">
        <v>10</v>
      </c>
      <c r="I1754">
        <v>16.5</v>
      </c>
      <c r="J1754" t="s">
        <v>14</v>
      </c>
      <c r="K1754">
        <v>4.03</v>
      </c>
      <c r="L1754" t="s">
        <v>52</v>
      </c>
      <c r="M1754" s="8">
        <v>0.59</v>
      </c>
    </row>
    <row r="1755" spans="1:13" x14ac:dyDescent="0.25">
      <c r="A1755">
        <v>1754</v>
      </c>
      <c r="B1755">
        <v>9.5</v>
      </c>
      <c r="C1755">
        <v>3.8</v>
      </c>
      <c r="D1755">
        <v>5.3</v>
      </c>
      <c r="E1755">
        <v>2.2000000000000002</v>
      </c>
      <c r="F1755">
        <v>3.2</v>
      </c>
      <c r="G1755">
        <v>3.7</v>
      </c>
      <c r="H1755" t="s">
        <v>10</v>
      </c>
      <c r="I1755">
        <v>18.7</v>
      </c>
      <c r="J1755" t="s">
        <v>14</v>
      </c>
      <c r="K1755">
        <v>3.28</v>
      </c>
      <c r="L1755" t="s">
        <v>52</v>
      </c>
      <c r="M1755" s="8">
        <v>0.51</v>
      </c>
    </row>
    <row r="1756" spans="1:13" x14ac:dyDescent="0.25">
      <c r="A1756">
        <v>1755</v>
      </c>
      <c r="B1756">
        <v>5.0999999999999996</v>
      </c>
      <c r="C1756">
        <v>1.3</v>
      </c>
      <c r="D1756">
        <v>7.7</v>
      </c>
      <c r="E1756">
        <v>5.5</v>
      </c>
      <c r="F1756">
        <v>4.4000000000000004</v>
      </c>
      <c r="G1756">
        <v>2.8</v>
      </c>
      <c r="H1756" t="s">
        <v>9</v>
      </c>
      <c r="I1756">
        <v>16.299999999999997</v>
      </c>
      <c r="J1756" t="s">
        <v>13</v>
      </c>
      <c r="K1756">
        <v>1.91</v>
      </c>
      <c r="L1756" t="s">
        <v>52</v>
      </c>
      <c r="M1756" s="8">
        <v>0.31</v>
      </c>
    </row>
    <row r="1757" spans="1:13" x14ac:dyDescent="0.25">
      <c r="A1757">
        <v>1756</v>
      </c>
      <c r="B1757">
        <v>7.7</v>
      </c>
      <c r="C1757">
        <v>1.1000000000000001</v>
      </c>
      <c r="D1757">
        <v>9.5</v>
      </c>
      <c r="E1757">
        <v>5.3</v>
      </c>
      <c r="F1757">
        <v>0.4</v>
      </c>
      <c r="G1757">
        <v>2.99</v>
      </c>
      <c r="H1757" t="s">
        <v>8</v>
      </c>
      <c r="I1757">
        <v>14.500000000000002</v>
      </c>
      <c r="J1757" t="s">
        <v>13</v>
      </c>
      <c r="K1757">
        <v>3.47</v>
      </c>
      <c r="L1757" t="s">
        <v>52</v>
      </c>
      <c r="M1757" s="8">
        <v>0.53</v>
      </c>
    </row>
    <row r="1758" spans="1:13" x14ac:dyDescent="0.25">
      <c r="A1758">
        <v>1757</v>
      </c>
      <c r="B1758">
        <v>7</v>
      </c>
      <c r="C1758">
        <v>3.6</v>
      </c>
      <c r="D1758">
        <v>6.9</v>
      </c>
      <c r="E1758">
        <v>4.4000000000000004</v>
      </c>
      <c r="F1758">
        <v>2.1</v>
      </c>
      <c r="G1758">
        <v>2.84</v>
      </c>
      <c r="H1758" t="s">
        <v>8</v>
      </c>
      <c r="I1758">
        <v>17.100000000000001</v>
      </c>
      <c r="J1758" t="s">
        <v>13</v>
      </c>
      <c r="K1758">
        <v>2.0499999999999998</v>
      </c>
      <c r="L1758" t="s">
        <v>52</v>
      </c>
      <c r="M1758" s="8">
        <v>0.41</v>
      </c>
    </row>
    <row r="1759" spans="1:13" x14ac:dyDescent="0.25">
      <c r="A1759">
        <v>1758</v>
      </c>
      <c r="B1759">
        <v>9.6</v>
      </c>
      <c r="C1759">
        <v>1.8</v>
      </c>
      <c r="D1759">
        <v>8.6999999999999993</v>
      </c>
      <c r="E1759">
        <v>1.4</v>
      </c>
      <c r="F1759">
        <v>2.5</v>
      </c>
      <c r="G1759">
        <v>3.43</v>
      </c>
      <c r="H1759" t="s">
        <v>10</v>
      </c>
      <c r="I1759">
        <v>15.3</v>
      </c>
      <c r="J1759" t="s">
        <v>15</v>
      </c>
      <c r="K1759">
        <v>3.88</v>
      </c>
      <c r="L1759" t="s">
        <v>52</v>
      </c>
      <c r="M1759" s="8">
        <v>0.63</v>
      </c>
    </row>
    <row r="1760" spans="1:13" x14ac:dyDescent="0.25">
      <c r="A1760">
        <v>1759</v>
      </c>
      <c r="B1760">
        <v>5.0999999999999996</v>
      </c>
      <c r="C1760">
        <v>0.4</v>
      </c>
      <c r="D1760">
        <v>7.5</v>
      </c>
      <c r="E1760">
        <v>4.0999999999999996</v>
      </c>
      <c r="F1760">
        <v>6.9</v>
      </c>
      <c r="G1760">
        <v>3.01</v>
      </c>
      <c r="H1760" t="s">
        <v>9</v>
      </c>
      <c r="I1760">
        <v>16.5</v>
      </c>
      <c r="J1760" t="s">
        <v>15</v>
      </c>
      <c r="K1760">
        <v>2.74</v>
      </c>
      <c r="L1760" t="s">
        <v>52</v>
      </c>
      <c r="M1760" s="8">
        <v>0.31</v>
      </c>
    </row>
    <row r="1761" spans="1:13" x14ac:dyDescent="0.25">
      <c r="A1761">
        <v>1760</v>
      </c>
      <c r="B1761">
        <v>8.5</v>
      </c>
      <c r="C1761">
        <v>2.8</v>
      </c>
      <c r="D1761">
        <v>7.5</v>
      </c>
      <c r="E1761">
        <v>4.8</v>
      </c>
      <c r="F1761">
        <v>0.4</v>
      </c>
      <c r="G1761">
        <v>3.06</v>
      </c>
      <c r="H1761" t="s">
        <v>10</v>
      </c>
      <c r="I1761">
        <v>16.5</v>
      </c>
      <c r="J1761" t="s">
        <v>15</v>
      </c>
      <c r="K1761">
        <v>3.43</v>
      </c>
      <c r="L1761" t="s">
        <v>52</v>
      </c>
      <c r="M1761" s="8">
        <v>0.52</v>
      </c>
    </row>
    <row r="1762" spans="1:13" x14ac:dyDescent="0.25">
      <c r="A1762">
        <v>1761</v>
      </c>
      <c r="B1762">
        <v>7.4</v>
      </c>
      <c r="C1762">
        <v>1.8</v>
      </c>
      <c r="D1762">
        <v>6</v>
      </c>
      <c r="E1762">
        <v>1.8</v>
      </c>
      <c r="F1762">
        <v>7</v>
      </c>
      <c r="G1762">
        <v>3.13</v>
      </c>
      <c r="H1762" t="s">
        <v>8</v>
      </c>
      <c r="I1762">
        <v>18</v>
      </c>
      <c r="J1762" t="s">
        <v>15</v>
      </c>
      <c r="K1762">
        <v>3.12</v>
      </c>
      <c r="L1762" t="s">
        <v>52</v>
      </c>
      <c r="M1762" s="8">
        <v>0.41</v>
      </c>
    </row>
    <row r="1763" spans="1:13" x14ac:dyDescent="0.25">
      <c r="A1763">
        <v>1762</v>
      </c>
      <c r="B1763">
        <v>6.2</v>
      </c>
      <c r="C1763">
        <v>1.2</v>
      </c>
      <c r="D1763">
        <v>8.9</v>
      </c>
      <c r="E1763">
        <v>2</v>
      </c>
      <c r="F1763">
        <v>5.7</v>
      </c>
      <c r="G1763">
        <v>2.85</v>
      </c>
      <c r="H1763" t="s">
        <v>8</v>
      </c>
      <c r="I1763">
        <v>15.100000000000001</v>
      </c>
      <c r="J1763" t="s">
        <v>13</v>
      </c>
      <c r="K1763">
        <v>2.54</v>
      </c>
      <c r="L1763" t="s">
        <v>52</v>
      </c>
      <c r="M1763" s="8">
        <v>0.41</v>
      </c>
    </row>
    <row r="1764" spans="1:13" x14ac:dyDescent="0.25">
      <c r="A1764">
        <v>1763</v>
      </c>
      <c r="B1764">
        <v>6.2</v>
      </c>
      <c r="C1764">
        <v>0.7</v>
      </c>
      <c r="D1764">
        <v>8.9</v>
      </c>
      <c r="E1764">
        <v>0.8</v>
      </c>
      <c r="F1764">
        <v>7.4</v>
      </c>
      <c r="G1764">
        <v>3.02</v>
      </c>
      <c r="H1764" t="s">
        <v>8</v>
      </c>
      <c r="I1764">
        <v>15.100000000000001</v>
      </c>
      <c r="J1764" t="s">
        <v>15</v>
      </c>
      <c r="K1764">
        <v>3.53</v>
      </c>
      <c r="L1764" t="s">
        <v>52</v>
      </c>
      <c r="M1764" s="8">
        <v>0.41</v>
      </c>
    </row>
    <row r="1765" spans="1:13" x14ac:dyDescent="0.25">
      <c r="A1765">
        <v>1764</v>
      </c>
      <c r="B1765">
        <v>8.4</v>
      </c>
      <c r="C1765">
        <v>2.5</v>
      </c>
      <c r="D1765">
        <v>9.1</v>
      </c>
      <c r="E1765">
        <v>0.2</v>
      </c>
      <c r="F1765">
        <v>3.8</v>
      </c>
      <c r="G1765">
        <v>2.65</v>
      </c>
      <c r="H1765" t="s">
        <v>10</v>
      </c>
      <c r="I1765">
        <v>14.899999999999999</v>
      </c>
      <c r="J1765" t="s">
        <v>13</v>
      </c>
      <c r="K1765">
        <v>3.45</v>
      </c>
      <c r="L1765" t="s">
        <v>52</v>
      </c>
      <c r="M1765" s="8">
        <v>0.56000000000000005</v>
      </c>
    </row>
    <row r="1766" spans="1:13" x14ac:dyDescent="0.25">
      <c r="A1766">
        <v>1765</v>
      </c>
      <c r="B1766">
        <v>6.5</v>
      </c>
      <c r="C1766">
        <v>1.1000000000000001</v>
      </c>
      <c r="D1766">
        <v>5.7</v>
      </c>
      <c r="E1766">
        <v>1.7</v>
      </c>
      <c r="F1766">
        <v>9</v>
      </c>
      <c r="G1766">
        <v>3.02</v>
      </c>
      <c r="H1766" t="s">
        <v>10</v>
      </c>
      <c r="I1766">
        <v>18.299999999999997</v>
      </c>
      <c r="J1766" t="s">
        <v>15</v>
      </c>
      <c r="K1766">
        <v>3.81</v>
      </c>
      <c r="L1766" t="s">
        <v>52</v>
      </c>
      <c r="M1766" s="8">
        <v>0.36</v>
      </c>
    </row>
    <row r="1767" spans="1:13" x14ac:dyDescent="0.25">
      <c r="A1767">
        <v>1766</v>
      </c>
      <c r="B1767">
        <v>8.3000000000000007</v>
      </c>
      <c r="C1767">
        <v>1.5</v>
      </c>
      <c r="D1767">
        <v>8.6</v>
      </c>
      <c r="E1767">
        <v>1.9</v>
      </c>
      <c r="F1767">
        <v>3.7</v>
      </c>
      <c r="G1767">
        <v>2.86</v>
      </c>
      <c r="H1767" t="s">
        <v>10</v>
      </c>
      <c r="I1767">
        <v>15.400000000000002</v>
      </c>
      <c r="J1767" t="s">
        <v>13</v>
      </c>
      <c r="K1767">
        <v>3.12</v>
      </c>
      <c r="L1767" t="s">
        <v>52</v>
      </c>
      <c r="M1767" s="8">
        <v>0.54</v>
      </c>
    </row>
    <row r="1768" spans="1:13" x14ac:dyDescent="0.25">
      <c r="A1768">
        <v>1767</v>
      </c>
      <c r="B1768">
        <v>6.5</v>
      </c>
      <c r="C1768">
        <v>2.2000000000000002</v>
      </c>
      <c r="D1768">
        <v>5.0999999999999996</v>
      </c>
      <c r="E1768">
        <v>0.5</v>
      </c>
      <c r="F1768">
        <v>9.6999999999999993</v>
      </c>
      <c r="G1768">
        <v>3.1</v>
      </c>
      <c r="H1768" t="s">
        <v>10</v>
      </c>
      <c r="I1768">
        <v>18.899999999999999</v>
      </c>
      <c r="J1768" t="s">
        <v>15</v>
      </c>
      <c r="K1768">
        <v>4.17</v>
      </c>
      <c r="L1768" t="s">
        <v>52</v>
      </c>
      <c r="M1768" s="8">
        <v>0.34</v>
      </c>
    </row>
    <row r="1769" spans="1:13" x14ac:dyDescent="0.25">
      <c r="A1769">
        <v>1768</v>
      </c>
      <c r="B1769">
        <v>8.6</v>
      </c>
      <c r="C1769">
        <v>0.4</v>
      </c>
      <c r="D1769">
        <v>9.1999999999999993</v>
      </c>
      <c r="E1769">
        <v>4.2</v>
      </c>
      <c r="F1769">
        <v>1.6</v>
      </c>
      <c r="G1769">
        <v>3.27</v>
      </c>
      <c r="H1769" t="s">
        <v>10</v>
      </c>
      <c r="I1769">
        <v>14.799999999999999</v>
      </c>
      <c r="J1769" t="s">
        <v>15</v>
      </c>
      <c r="K1769">
        <v>3.63</v>
      </c>
      <c r="L1769" t="s">
        <v>52</v>
      </c>
      <c r="M1769" s="8">
        <v>0.57999999999999996</v>
      </c>
    </row>
    <row r="1770" spans="1:13" x14ac:dyDescent="0.25">
      <c r="A1770">
        <v>1769</v>
      </c>
      <c r="B1770">
        <v>8.1</v>
      </c>
      <c r="C1770">
        <v>3.3</v>
      </c>
      <c r="D1770">
        <v>7</v>
      </c>
      <c r="E1770">
        <v>1.2</v>
      </c>
      <c r="F1770">
        <v>4.4000000000000004</v>
      </c>
      <c r="G1770">
        <v>3.8</v>
      </c>
      <c r="H1770" t="s">
        <v>10</v>
      </c>
      <c r="I1770">
        <v>17</v>
      </c>
      <c r="J1770" t="s">
        <v>14</v>
      </c>
      <c r="K1770">
        <v>2.89</v>
      </c>
      <c r="L1770" t="s">
        <v>52</v>
      </c>
      <c r="M1770" s="8">
        <v>0.48</v>
      </c>
    </row>
    <row r="1771" spans="1:13" x14ac:dyDescent="0.25">
      <c r="A1771">
        <v>1770</v>
      </c>
      <c r="B1771">
        <v>7.7</v>
      </c>
      <c r="C1771">
        <v>2.2999999999999998</v>
      </c>
      <c r="D1771">
        <v>9.6999999999999993</v>
      </c>
      <c r="E1771">
        <v>3.9</v>
      </c>
      <c r="F1771">
        <v>0.4</v>
      </c>
      <c r="G1771">
        <v>3.3</v>
      </c>
      <c r="H1771" t="s">
        <v>8</v>
      </c>
      <c r="I1771">
        <v>14.3</v>
      </c>
      <c r="J1771" t="s">
        <v>15</v>
      </c>
      <c r="K1771">
        <v>3.1</v>
      </c>
      <c r="L1771" t="s">
        <v>52</v>
      </c>
      <c r="M1771" s="8">
        <v>0.54</v>
      </c>
    </row>
    <row r="1772" spans="1:13" x14ac:dyDescent="0.25">
      <c r="A1772">
        <v>1771</v>
      </c>
      <c r="B1772">
        <v>9.4</v>
      </c>
      <c r="C1772">
        <v>3.2</v>
      </c>
      <c r="D1772">
        <v>9.6999999999999993</v>
      </c>
      <c r="E1772">
        <v>0.2</v>
      </c>
      <c r="F1772">
        <v>1.5</v>
      </c>
      <c r="G1772">
        <v>3.4</v>
      </c>
      <c r="H1772" t="s">
        <v>10</v>
      </c>
      <c r="I1772">
        <v>14.3</v>
      </c>
      <c r="J1772" t="s">
        <v>15</v>
      </c>
      <c r="K1772">
        <v>4.07</v>
      </c>
      <c r="L1772" t="s">
        <v>52</v>
      </c>
      <c r="M1772" s="8">
        <v>0.66</v>
      </c>
    </row>
    <row r="1773" spans="1:13" x14ac:dyDescent="0.25">
      <c r="A1773">
        <v>1772</v>
      </c>
      <c r="B1773">
        <v>9.1999999999999993</v>
      </c>
      <c r="C1773">
        <v>2</v>
      </c>
      <c r="D1773">
        <v>8.6999999999999993</v>
      </c>
      <c r="E1773">
        <v>0.6</v>
      </c>
      <c r="F1773">
        <v>3.5</v>
      </c>
      <c r="G1773">
        <v>3.03</v>
      </c>
      <c r="H1773" t="s">
        <v>10</v>
      </c>
      <c r="I1773">
        <v>15.299999999999999</v>
      </c>
      <c r="J1773" t="s">
        <v>15</v>
      </c>
      <c r="K1773">
        <v>3.77</v>
      </c>
      <c r="L1773" t="s">
        <v>52</v>
      </c>
      <c r="M1773" s="8">
        <v>0.6</v>
      </c>
    </row>
    <row r="1774" spans="1:13" x14ac:dyDescent="0.25">
      <c r="A1774">
        <v>1773</v>
      </c>
      <c r="B1774">
        <v>6.3</v>
      </c>
      <c r="C1774">
        <v>2.9</v>
      </c>
      <c r="D1774">
        <v>5.8</v>
      </c>
      <c r="E1774">
        <v>2.1</v>
      </c>
      <c r="F1774">
        <v>6.9</v>
      </c>
      <c r="G1774">
        <v>2.78</v>
      </c>
      <c r="H1774" t="s">
        <v>10</v>
      </c>
      <c r="I1774">
        <v>18.2</v>
      </c>
      <c r="J1774" t="s">
        <v>13</v>
      </c>
      <c r="K1774">
        <v>2.4</v>
      </c>
      <c r="L1774" t="s">
        <v>52</v>
      </c>
      <c r="M1774" s="8">
        <v>0.35</v>
      </c>
    </row>
    <row r="1775" spans="1:13" x14ac:dyDescent="0.25">
      <c r="A1775">
        <v>1774</v>
      </c>
      <c r="B1775">
        <v>8.5</v>
      </c>
      <c r="C1775">
        <v>1.5</v>
      </c>
      <c r="D1775">
        <v>7.8</v>
      </c>
      <c r="E1775">
        <v>0.6</v>
      </c>
      <c r="F1775">
        <v>5.6</v>
      </c>
      <c r="G1775">
        <v>3.02</v>
      </c>
      <c r="H1775" t="s">
        <v>10</v>
      </c>
      <c r="I1775">
        <v>16.2</v>
      </c>
      <c r="J1775" t="s">
        <v>15</v>
      </c>
      <c r="K1775">
        <v>3.68</v>
      </c>
      <c r="L1775" t="s">
        <v>52</v>
      </c>
      <c r="M1775" s="8">
        <v>0.52</v>
      </c>
    </row>
    <row r="1776" spans="1:13" x14ac:dyDescent="0.25">
      <c r="A1776">
        <v>1775</v>
      </c>
      <c r="B1776">
        <v>9</v>
      </c>
      <c r="C1776">
        <v>1.5</v>
      </c>
      <c r="D1776">
        <v>8.1999999999999993</v>
      </c>
      <c r="E1776">
        <v>3.8</v>
      </c>
      <c r="F1776">
        <v>1.5</v>
      </c>
      <c r="G1776">
        <v>3.41</v>
      </c>
      <c r="H1776" t="s">
        <v>10</v>
      </c>
      <c r="I1776">
        <v>15.8</v>
      </c>
      <c r="J1776" t="s">
        <v>15</v>
      </c>
      <c r="K1776">
        <v>3.54</v>
      </c>
      <c r="L1776" t="s">
        <v>52</v>
      </c>
      <c r="M1776" s="8">
        <v>0.56999999999999995</v>
      </c>
    </row>
    <row r="1777" spans="1:13" x14ac:dyDescent="0.25">
      <c r="A1777">
        <v>1776</v>
      </c>
      <c r="B1777">
        <v>8.1</v>
      </c>
      <c r="C1777">
        <v>1.7</v>
      </c>
      <c r="D1777">
        <v>5.9</v>
      </c>
      <c r="E1777">
        <v>5.7</v>
      </c>
      <c r="F1777">
        <v>2.6</v>
      </c>
      <c r="G1777">
        <v>3.17</v>
      </c>
      <c r="H1777" t="s">
        <v>10</v>
      </c>
      <c r="I1777">
        <v>18.100000000000001</v>
      </c>
      <c r="J1777" t="s">
        <v>15</v>
      </c>
      <c r="K1777">
        <v>2.94</v>
      </c>
      <c r="L1777" t="s">
        <v>52</v>
      </c>
      <c r="M1777" s="8">
        <v>0.45</v>
      </c>
    </row>
    <row r="1778" spans="1:13" x14ac:dyDescent="0.25">
      <c r="A1778">
        <v>1777</v>
      </c>
      <c r="B1778">
        <v>8.8000000000000007</v>
      </c>
      <c r="C1778">
        <v>0.8</v>
      </c>
      <c r="D1778">
        <v>6.7</v>
      </c>
      <c r="E1778">
        <v>4.9000000000000004</v>
      </c>
      <c r="F1778">
        <v>2.8</v>
      </c>
      <c r="G1778">
        <v>3.53</v>
      </c>
      <c r="H1778" t="s">
        <v>10</v>
      </c>
      <c r="I1778">
        <v>17.3</v>
      </c>
      <c r="J1778" t="s">
        <v>14</v>
      </c>
      <c r="K1778">
        <v>3.42</v>
      </c>
      <c r="L1778" t="s">
        <v>52</v>
      </c>
      <c r="M1778" s="8">
        <v>0.51</v>
      </c>
    </row>
    <row r="1779" spans="1:13" x14ac:dyDescent="0.25">
      <c r="A1779">
        <v>1778</v>
      </c>
      <c r="B1779">
        <v>7.2</v>
      </c>
      <c r="C1779">
        <v>2.9</v>
      </c>
      <c r="D1779">
        <v>6.9</v>
      </c>
      <c r="E1779">
        <v>1.3</v>
      </c>
      <c r="F1779">
        <v>5.7</v>
      </c>
      <c r="G1779">
        <v>3.23</v>
      </c>
      <c r="H1779" t="s">
        <v>8</v>
      </c>
      <c r="I1779">
        <v>17.100000000000001</v>
      </c>
      <c r="J1779" t="s">
        <v>15</v>
      </c>
      <c r="K1779">
        <v>2.67</v>
      </c>
      <c r="L1779" t="s">
        <v>52</v>
      </c>
      <c r="M1779" s="8">
        <v>0.42</v>
      </c>
    </row>
    <row r="1780" spans="1:13" x14ac:dyDescent="0.25">
      <c r="A1780">
        <v>1779</v>
      </c>
      <c r="B1780">
        <v>8.1999999999999993</v>
      </c>
      <c r="C1780">
        <v>3.9</v>
      </c>
      <c r="D1780">
        <v>6.6</v>
      </c>
      <c r="E1780">
        <v>2.4</v>
      </c>
      <c r="F1780">
        <v>2.9</v>
      </c>
      <c r="G1780">
        <v>3.32</v>
      </c>
      <c r="H1780" t="s">
        <v>10</v>
      </c>
      <c r="I1780">
        <v>17.399999999999999</v>
      </c>
      <c r="J1780" t="s">
        <v>15</v>
      </c>
      <c r="K1780">
        <v>2.64</v>
      </c>
      <c r="L1780" t="s">
        <v>52</v>
      </c>
      <c r="M1780" s="8">
        <v>0.47</v>
      </c>
    </row>
    <row r="1781" spans="1:13" x14ac:dyDescent="0.25">
      <c r="A1781">
        <v>1780</v>
      </c>
      <c r="B1781">
        <v>9.1999999999999993</v>
      </c>
      <c r="C1781">
        <v>3</v>
      </c>
      <c r="D1781">
        <v>5.3</v>
      </c>
      <c r="E1781">
        <v>6</v>
      </c>
      <c r="F1781">
        <v>0.5</v>
      </c>
      <c r="G1781">
        <v>3.77</v>
      </c>
      <c r="H1781" t="s">
        <v>10</v>
      </c>
      <c r="I1781">
        <v>18.7</v>
      </c>
      <c r="J1781" t="s">
        <v>14</v>
      </c>
      <c r="K1781">
        <v>3.76</v>
      </c>
      <c r="L1781" t="s">
        <v>52</v>
      </c>
      <c r="M1781" s="8">
        <v>0.49</v>
      </c>
    </row>
    <row r="1782" spans="1:13" x14ac:dyDescent="0.25">
      <c r="A1782">
        <v>1781</v>
      </c>
      <c r="B1782">
        <v>8.8000000000000007</v>
      </c>
      <c r="C1782">
        <v>3.5</v>
      </c>
      <c r="D1782">
        <v>8.3000000000000007</v>
      </c>
      <c r="E1782">
        <v>2.9</v>
      </c>
      <c r="F1782">
        <v>0.5</v>
      </c>
      <c r="G1782">
        <v>3.26</v>
      </c>
      <c r="H1782" t="s">
        <v>10</v>
      </c>
      <c r="I1782">
        <v>15.700000000000001</v>
      </c>
      <c r="J1782" t="s">
        <v>15</v>
      </c>
      <c r="K1782">
        <v>3.5</v>
      </c>
      <c r="L1782" t="s">
        <v>52</v>
      </c>
      <c r="M1782" s="8">
        <v>0.56000000000000005</v>
      </c>
    </row>
    <row r="1783" spans="1:13" x14ac:dyDescent="0.25">
      <c r="A1783">
        <v>1782</v>
      </c>
      <c r="B1783">
        <v>9.4</v>
      </c>
      <c r="C1783">
        <v>0.8</v>
      </c>
      <c r="D1783">
        <v>5.4</v>
      </c>
      <c r="E1783">
        <v>4.7</v>
      </c>
      <c r="F1783">
        <v>3.7</v>
      </c>
      <c r="G1783">
        <v>3.25</v>
      </c>
      <c r="H1783" t="s">
        <v>10</v>
      </c>
      <c r="I1783">
        <v>18.600000000000001</v>
      </c>
      <c r="J1783" t="s">
        <v>15</v>
      </c>
      <c r="K1783">
        <v>3.57</v>
      </c>
      <c r="L1783" t="s">
        <v>52</v>
      </c>
      <c r="M1783" s="8">
        <v>0.51</v>
      </c>
    </row>
    <row r="1784" spans="1:13" x14ac:dyDescent="0.25">
      <c r="A1784">
        <v>1783</v>
      </c>
      <c r="B1784">
        <v>9.1999999999999993</v>
      </c>
      <c r="C1784">
        <v>0.7</v>
      </c>
      <c r="D1784">
        <v>9.3000000000000007</v>
      </c>
      <c r="E1784">
        <v>3.3</v>
      </c>
      <c r="F1784">
        <v>1.5</v>
      </c>
      <c r="G1784">
        <v>3.64</v>
      </c>
      <c r="H1784" t="s">
        <v>10</v>
      </c>
      <c r="I1784">
        <v>14.7</v>
      </c>
      <c r="J1784" t="s">
        <v>14</v>
      </c>
      <c r="K1784">
        <v>3.84</v>
      </c>
      <c r="L1784" t="s">
        <v>52</v>
      </c>
      <c r="M1784" s="8">
        <v>0.63</v>
      </c>
    </row>
    <row r="1785" spans="1:13" x14ac:dyDescent="0.25">
      <c r="A1785">
        <v>1784</v>
      </c>
      <c r="B1785">
        <v>7.1</v>
      </c>
      <c r="C1785">
        <v>0.8</v>
      </c>
      <c r="D1785">
        <v>6.4</v>
      </c>
      <c r="E1785">
        <v>3</v>
      </c>
      <c r="F1785">
        <v>6.7</v>
      </c>
      <c r="G1785">
        <v>3.08</v>
      </c>
      <c r="H1785" t="s">
        <v>8</v>
      </c>
      <c r="I1785">
        <v>17.599999999999998</v>
      </c>
      <c r="J1785" t="s">
        <v>15</v>
      </c>
      <c r="K1785">
        <v>3.03</v>
      </c>
      <c r="L1785" t="s">
        <v>52</v>
      </c>
      <c r="M1785" s="8">
        <v>0.4</v>
      </c>
    </row>
    <row r="1786" spans="1:13" x14ac:dyDescent="0.25">
      <c r="A1786">
        <v>1785</v>
      </c>
      <c r="B1786">
        <v>7.7</v>
      </c>
      <c r="C1786">
        <v>3.2</v>
      </c>
      <c r="D1786">
        <v>9</v>
      </c>
      <c r="E1786">
        <v>2.4</v>
      </c>
      <c r="F1786">
        <v>1.7</v>
      </c>
      <c r="G1786">
        <v>3.03</v>
      </c>
      <c r="H1786" t="s">
        <v>8</v>
      </c>
      <c r="I1786">
        <v>15</v>
      </c>
      <c r="J1786" t="s">
        <v>15</v>
      </c>
      <c r="K1786">
        <v>2.7</v>
      </c>
      <c r="L1786" t="s">
        <v>52</v>
      </c>
      <c r="M1786" s="8">
        <v>0.51</v>
      </c>
    </row>
    <row r="1787" spans="1:13" x14ac:dyDescent="0.25">
      <c r="A1787">
        <v>1786</v>
      </c>
      <c r="B1787">
        <v>5.3</v>
      </c>
      <c r="C1787">
        <v>3.5</v>
      </c>
      <c r="D1787">
        <v>5.4</v>
      </c>
      <c r="E1787">
        <v>1.5</v>
      </c>
      <c r="F1787">
        <v>8.3000000000000007</v>
      </c>
      <c r="G1787">
        <v>2.91</v>
      </c>
      <c r="H1787" t="s">
        <v>10</v>
      </c>
      <c r="I1787">
        <v>18.600000000000001</v>
      </c>
      <c r="J1787" t="s">
        <v>13</v>
      </c>
      <c r="K1787">
        <v>2.89</v>
      </c>
      <c r="L1787" t="s">
        <v>52</v>
      </c>
      <c r="M1787" s="8">
        <v>0.28000000000000003</v>
      </c>
    </row>
    <row r="1788" spans="1:13" x14ac:dyDescent="0.25">
      <c r="A1788">
        <v>1787</v>
      </c>
      <c r="B1788">
        <v>8.5</v>
      </c>
      <c r="C1788">
        <v>1.6</v>
      </c>
      <c r="D1788">
        <v>9.4</v>
      </c>
      <c r="E1788">
        <v>1.3</v>
      </c>
      <c r="F1788">
        <v>3.2</v>
      </c>
      <c r="G1788">
        <v>2.9</v>
      </c>
      <c r="H1788" t="s">
        <v>10</v>
      </c>
      <c r="I1788">
        <v>14.600000000000001</v>
      </c>
      <c r="J1788" t="s">
        <v>13</v>
      </c>
      <c r="K1788">
        <v>3.34</v>
      </c>
      <c r="L1788" t="s">
        <v>52</v>
      </c>
      <c r="M1788" s="8">
        <v>0.57999999999999996</v>
      </c>
    </row>
    <row r="1789" spans="1:13" x14ac:dyDescent="0.25">
      <c r="A1789">
        <v>1788</v>
      </c>
      <c r="B1789">
        <v>7.7</v>
      </c>
      <c r="C1789">
        <v>3.5</v>
      </c>
      <c r="D1789">
        <v>9.6</v>
      </c>
      <c r="E1789">
        <v>0.9</v>
      </c>
      <c r="F1789">
        <v>2.2999999999999998</v>
      </c>
      <c r="G1789">
        <v>3.39</v>
      </c>
      <c r="H1789" t="s">
        <v>8</v>
      </c>
      <c r="I1789">
        <v>14.399999999999999</v>
      </c>
      <c r="J1789" t="s">
        <v>15</v>
      </c>
      <c r="K1789">
        <v>2.93</v>
      </c>
      <c r="L1789" t="s">
        <v>52</v>
      </c>
      <c r="M1789" s="8">
        <v>0.53</v>
      </c>
    </row>
    <row r="1790" spans="1:13" x14ac:dyDescent="0.25">
      <c r="A1790">
        <v>1789</v>
      </c>
      <c r="B1790">
        <v>7.3</v>
      </c>
      <c r="C1790">
        <v>2.2000000000000002</v>
      </c>
      <c r="D1790">
        <v>9.6999999999999993</v>
      </c>
      <c r="E1790">
        <v>4.8</v>
      </c>
      <c r="F1790">
        <v>0</v>
      </c>
      <c r="G1790">
        <v>3.25</v>
      </c>
      <c r="H1790" t="s">
        <v>8</v>
      </c>
      <c r="I1790">
        <v>14.3</v>
      </c>
      <c r="J1790" t="s">
        <v>15</v>
      </c>
      <c r="K1790">
        <v>3.16</v>
      </c>
      <c r="L1790" t="s">
        <v>52</v>
      </c>
      <c r="M1790" s="8">
        <v>0.51</v>
      </c>
    </row>
    <row r="1791" spans="1:13" x14ac:dyDescent="0.25">
      <c r="A1791">
        <v>1790</v>
      </c>
      <c r="B1791">
        <v>6.9</v>
      </c>
      <c r="C1791">
        <v>0</v>
      </c>
      <c r="D1791">
        <v>5</v>
      </c>
      <c r="E1791">
        <v>2.8</v>
      </c>
      <c r="F1791">
        <v>9.3000000000000007</v>
      </c>
      <c r="G1791">
        <v>2.85</v>
      </c>
      <c r="H1791" t="s">
        <v>10</v>
      </c>
      <c r="I1791">
        <v>19</v>
      </c>
      <c r="J1791" t="s">
        <v>13</v>
      </c>
      <c r="K1791">
        <v>4.1500000000000004</v>
      </c>
      <c r="L1791" t="s">
        <v>52</v>
      </c>
      <c r="M1791" s="8">
        <v>0.36</v>
      </c>
    </row>
    <row r="1792" spans="1:13" x14ac:dyDescent="0.25">
      <c r="A1792">
        <v>1791</v>
      </c>
      <c r="B1792">
        <v>7.4</v>
      </c>
      <c r="C1792">
        <v>0.1</v>
      </c>
      <c r="D1792">
        <v>8.4</v>
      </c>
      <c r="E1792">
        <v>1.8</v>
      </c>
      <c r="F1792">
        <v>6.3</v>
      </c>
      <c r="G1792">
        <v>2.75</v>
      </c>
      <c r="H1792" t="s">
        <v>8</v>
      </c>
      <c r="I1792">
        <v>15.600000000000001</v>
      </c>
      <c r="J1792" t="s">
        <v>13</v>
      </c>
      <c r="K1792">
        <v>3.51</v>
      </c>
      <c r="L1792" t="s">
        <v>52</v>
      </c>
      <c r="M1792" s="8">
        <v>0.47</v>
      </c>
    </row>
    <row r="1793" spans="1:13" x14ac:dyDescent="0.25">
      <c r="A1793">
        <v>1792</v>
      </c>
      <c r="B1793">
        <v>5.8</v>
      </c>
      <c r="C1793">
        <v>1.6</v>
      </c>
      <c r="D1793">
        <v>6.2</v>
      </c>
      <c r="E1793">
        <v>3.2</v>
      </c>
      <c r="F1793">
        <v>7.2</v>
      </c>
      <c r="G1793">
        <v>2.98</v>
      </c>
      <c r="H1793" t="s">
        <v>9</v>
      </c>
      <c r="I1793">
        <v>17.8</v>
      </c>
      <c r="J1793" t="s">
        <v>13</v>
      </c>
      <c r="K1793">
        <v>2.52</v>
      </c>
      <c r="L1793" t="s">
        <v>52</v>
      </c>
      <c r="M1793" s="8">
        <v>0.33</v>
      </c>
    </row>
    <row r="1794" spans="1:13" x14ac:dyDescent="0.25">
      <c r="A1794">
        <v>1793</v>
      </c>
      <c r="B1794">
        <v>6</v>
      </c>
      <c r="C1794">
        <v>2</v>
      </c>
      <c r="D1794">
        <v>5.8</v>
      </c>
      <c r="E1794">
        <v>4</v>
      </c>
      <c r="F1794">
        <v>6.2</v>
      </c>
      <c r="G1794">
        <v>2.81</v>
      </c>
      <c r="H1794" t="s">
        <v>10</v>
      </c>
      <c r="I1794">
        <v>18.2</v>
      </c>
      <c r="J1794" t="s">
        <v>13</v>
      </c>
      <c r="K1794">
        <v>1.97</v>
      </c>
      <c r="L1794" t="s">
        <v>52</v>
      </c>
      <c r="M1794" s="8">
        <v>0.33</v>
      </c>
    </row>
    <row r="1795" spans="1:13" x14ac:dyDescent="0.25">
      <c r="A1795">
        <v>1794</v>
      </c>
      <c r="B1795">
        <v>7.3</v>
      </c>
      <c r="C1795">
        <v>0.3</v>
      </c>
      <c r="D1795">
        <v>8</v>
      </c>
      <c r="E1795">
        <v>1.6</v>
      </c>
      <c r="F1795">
        <v>6.8</v>
      </c>
      <c r="G1795">
        <v>3.15</v>
      </c>
      <c r="H1795" t="s">
        <v>8</v>
      </c>
      <c r="I1795">
        <v>16</v>
      </c>
      <c r="J1795" t="s">
        <v>15</v>
      </c>
      <c r="K1795">
        <v>3.57</v>
      </c>
      <c r="L1795" t="s">
        <v>52</v>
      </c>
      <c r="M1795" s="8">
        <v>0.46</v>
      </c>
    </row>
    <row r="1796" spans="1:13" x14ac:dyDescent="0.25">
      <c r="A1796">
        <v>1795</v>
      </c>
      <c r="B1796">
        <v>7.6</v>
      </c>
      <c r="C1796">
        <v>2.1</v>
      </c>
      <c r="D1796">
        <v>9.6</v>
      </c>
      <c r="E1796">
        <v>2.6</v>
      </c>
      <c r="F1796">
        <v>2.1</v>
      </c>
      <c r="G1796">
        <v>2.78</v>
      </c>
      <c r="H1796" t="s">
        <v>8</v>
      </c>
      <c r="I1796">
        <v>14.399999999999999</v>
      </c>
      <c r="J1796" t="s">
        <v>13</v>
      </c>
      <c r="K1796">
        <v>2.68</v>
      </c>
      <c r="L1796" t="s">
        <v>52</v>
      </c>
      <c r="M1796" s="8">
        <v>0.53</v>
      </c>
    </row>
    <row r="1797" spans="1:13" x14ac:dyDescent="0.25">
      <c r="A1797">
        <v>1796</v>
      </c>
      <c r="B1797">
        <v>9.6999999999999993</v>
      </c>
      <c r="C1797">
        <v>3.1</v>
      </c>
      <c r="D1797">
        <v>6.4</v>
      </c>
      <c r="E1797">
        <v>4.0999999999999996</v>
      </c>
      <c r="F1797">
        <v>0.7</v>
      </c>
      <c r="G1797">
        <v>3.76</v>
      </c>
      <c r="H1797" t="s">
        <v>10</v>
      </c>
      <c r="I1797">
        <v>17.599999999999998</v>
      </c>
      <c r="J1797" t="s">
        <v>14</v>
      </c>
      <c r="K1797">
        <v>3.81</v>
      </c>
      <c r="L1797" t="s">
        <v>52</v>
      </c>
      <c r="M1797" s="8">
        <v>0.55000000000000004</v>
      </c>
    </row>
    <row r="1798" spans="1:13" x14ac:dyDescent="0.25">
      <c r="A1798">
        <v>1797</v>
      </c>
      <c r="B1798">
        <v>7.2</v>
      </c>
      <c r="C1798">
        <v>3.3</v>
      </c>
      <c r="D1798">
        <v>9.1</v>
      </c>
      <c r="E1798">
        <v>0.8</v>
      </c>
      <c r="F1798">
        <v>3.6</v>
      </c>
      <c r="G1798">
        <v>2.87</v>
      </c>
      <c r="H1798" t="s">
        <v>8</v>
      </c>
      <c r="I1798">
        <v>14.9</v>
      </c>
      <c r="J1798" t="s">
        <v>13</v>
      </c>
      <c r="K1798">
        <v>2.63</v>
      </c>
      <c r="L1798" t="s">
        <v>52</v>
      </c>
      <c r="M1798" s="8">
        <v>0.48</v>
      </c>
    </row>
    <row r="1799" spans="1:13" x14ac:dyDescent="0.25">
      <c r="A1799">
        <v>1798</v>
      </c>
      <c r="B1799">
        <v>6.5</v>
      </c>
      <c r="C1799">
        <v>1.2</v>
      </c>
      <c r="D1799">
        <v>8.6</v>
      </c>
      <c r="E1799">
        <v>1.4</v>
      </c>
      <c r="F1799">
        <v>6.3</v>
      </c>
      <c r="G1799">
        <v>3.18</v>
      </c>
      <c r="H1799" t="s">
        <v>8</v>
      </c>
      <c r="I1799">
        <v>15.399999999999999</v>
      </c>
      <c r="J1799" t="s">
        <v>15</v>
      </c>
      <c r="K1799">
        <v>2.95</v>
      </c>
      <c r="L1799" t="s">
        <v>52</v>
      </c>
      <c r="M1799" s="8">
        <v>0.42</v>
      </c>
    </row>
    <row r="1800" spans="1:13" x14ac:dyDescent="0.25">
      <c r="A1800">
        <v>1799</v>
      </c>
      <c r="B1800">
        <v>5</v>
      </c>
      <c r="C1800">
        <v>2.9</v>
      </c>
      <c r="D1800">
        <v>5.9</v>
      </c>
      <c r="E1800">
        <v>0.6</v>
      </c>
      <c r="F1800">
        <v>9.6</v>
      </c>
      <c r="G1800">
        <v>2.63</v>
      </c>
      <c r="H1800" t="s">
        <v>10</v>
      </c>
      <c r="I1800">
        <v>18.100000000000001</v>
      </c>
      <c r="J1800" t="s">
        <v>13</v>
      </c>
      <c r="K1800">
        <v>3.83</v>
      </c>
      <c r="L1800" t="s">
        <v>52</v>
      </c>
      <c r="M1800" s="8">
        <v>0.28000000000000003</v>
      </c>
    </row>
    <row r="1801" spans="1:13" x14ac:dyDescent="0.25">
      <c r="A1801">
        <v>1800</v>
      </c>
      <c r="B1801">
        <v>7.4</v>
      </c>
      <c r="C1801">
        <v>0.2</v>
      </c>
      <c r="D1801">
        <v>9.9</v>
      </c>
      <c r="E1801">
        <v>4.3</v>
      </c>
      <c r="F1801">
        <v>2.2000000000000002</v>
      </c>
      <c r="G1801">
        <v>2.84</v>
      </c>
      <c r="H1801" t="s">
        <v>8</v>
      </c>
      <c r="I1801">
        <v>14.100000000000001</v>
      </c>
      <c r="J1801" t="s">
        <v>13</v>
      </c>
      <c r="K1801">
        <v>3.08</v>
      </c>
      <c r="L1801" t="s">
        <v>52</v>
      </c>
      <c r="M1801" s="8">
        <v>0.52</v>
      </c>
    </row>
    <row r="1802" spans="1:13" x14ac:dyDescent="0.25">
      <c r="A1802">
        <v>1801</v>
      </c>
      <c r="B1802">
        <v>6.6</v>
      </c>
      <c r="C1802">
        <v>1.3</v>
      </c>
      <c r="D1802">
        <v>7.2</v>
      </c>
      <c r="E1802">
        <v>3.8</v>
      </c>
      <c r="F1802">
        <v>5.0999999999999996</v>
      </c>
      <c r="G1802">
        <v>2.93</v>
      </c>
      <c r="H1802" t="s">
        <v>8</v>
      </c>
      <c r="I1802">
        <v>16.799999999999997</v>
      </c>
      <c r="J1802" t="s">
        <v>13</v>
      </c>
      <c r="K1802">
        <v>2.25</v>
      </c>
      <c r="L1802" t="s">
        <v>52</v>
      </c>
      <c r="M1802" s="8">
        <v>0.39</v>
      </c>
    </row>
    <row r="1803" spans="1:13" x14ac:dyDescent="0.25">
      <c r="A1803">
        <v>1802</v>
      </c>
      <c r="B1803">
        <v>9.3000000000000007</v>
      </c>
      <c r="C1803">
        <v>1</v>
      </c>
      <c r="D1803">
        <v>6.9</v>
      </c>
      <c r="E1803">
        <v>5.2</v>
      </c>
      <c r="F1803">
        <v>1.6</v>
      </c>
      <c r="G1803">
        <v>3.32</v>
      </c>
      <c r="H1803" t="s">
        <v>10</v>
      </c>
      <c r="I1803">
        <v>17.100000000000001</v>
      </c>
      <c r="J1803" t="s">
        <v>15</v>
      </c>
      <c r="K1803">
        <v>3.83</v>
      </c>
      <c r="L1803" t="s">
        <v>52</v>
      </c>
      <c r="M1803" s="8">
        <v>0.54</v>
      </c>
    </row>
    <row r="1804" spans="1:13" x14ac:dyDescent="0.25">
      <c r="A1804">
        <v>1803</v>
      </c>
      <c r="B1804">
        <v>8.3000000000000007</v>
      </c>
      <c r="C1804">
        <v>1.4</v>
      </c>
      <c r="D1804">
        <v>8.4</v>
      </c>
      <c r="E1804">
        <v>0.1</v>
      </c>
      <c r="F1804">
        <v>5.8</v>
      </c>
      <c r="G1804">
        <v>3.23</v>
      </c>
      <c r="H1804" t="s">
        <v>10</v>
      </c>
      <c r="I1804">
        <v>15.600000000000001</v>
      </c>
      <c r="J1804" t="s">
        <v>15</v>
      </c>
      <c r="K1804">
        <v>3.81</v>
      </c>
      <c r="L1804" t="s">
        <v>52</v>
      </c>
      <c r="M1804" s="8">
        <v>0.53</v>
      </c>
    </row>
    <row r="1805" spans="1:13" x14ac:dyDescent="0.25">
      <c r="A1805">
        <v>1804</v>
      </c>
      <c r="B1805">
        <v>9.1</v>
      </c>
      <c r="C1805">
        <v>3.8</v>
      </c>
      <c r="D1805">
        <v>9.6</v>
      </c>
      <c r="E1805">
        <v>1.4</v>
      </c>
      <c r="F1805">
        <v>0.1</v>
      </c>
      <c r="G1805">
        <v>3.71</v>
      </c>
      <c r="H1805" t="s">
        <v>10</v>
      </c>
      <c r="I1805">
        <v>14.399999999999999</v>
      </c>
      <c r="J1805" t="s">
        <v>14</v>
      </c>
      <c r="K1805">
        <v>3.97</v>
      </c>
      <c r="L1805" t="s">
        <v>52</v>
      </c>
      <c r="M1805" s="8">
        <v>0.63</v>
      </c>
    </row>
    <row r="1806" spans="1:13" x14ac:dyDescent="0.25">
      <c r="A1806">
        <v>1805</v>
      </c>
      <c r="B1806">
        <v>7.6</v>
      </c>
      <c r="C1806">
        <v>1.4</v>
      </c>
      <c r="D1806">
        <v>7.3</v>
      </c>
      <c r="E1806">
        <v>4.0999999999999996</v>
      </c>
      <c r="F1806">
        <v>3.6</v>
      </c>
      <c r="G1806">
        <v>3.09</v>
      </c>
      <c r="H1806" t="s">
        <v>8</v>
      </c>
      <c r="I1806">
        <v>16.7</v>
      </c>
      <c r="J1806" t="s">
        <v>15</v>
      </c>
      <c r="K1806">
        <v>2.57</v>
      </c>
      <c r="L1806" t="s">
        <v>52</v>
      </c>
      <c r="M1806" s="8">
        <v>0.46</v>
      </c>
    </row>
    <row r="1807" spans="1:13" x14ac:dyDescent="0.25">
      <c r="A1807">
        <v>1806</v>
      </c>
      <c r="B1807">
        <v>9.6</v>
      </c>
      <c r="C1807">
        <v>3.3</v>
      </c>
      <c r="D1807">
        <v>9.9</v>
      </c>
      <c r="E1807">
        <v>1.1000000000000001</v>
      </c>
      <c r="F1807">
        <v>0.1</v>
      </c>
      <c r="G1807">
        <v>3.5</v>
      </c>
      <c r="H1807" t="s">
        <v>10</v>
      </c>
      <c r="I1807">
        <v>14.099999999999998</v>
      </c>
      <c r="J1807" t="s">
        <v>14</v>
      </c>
      <c r="K1807">
        <v>4.26</v>
      </c>
      <c r="L1807" t="s">
        <v>52</v>
      </c>
      <c r="M1807" s="8">
        <v>0.68</v>
      </c>
    </row>
    <row r="1808" spans="1:13" x14ac:dyDescent="0.25">
      <c r="A1808">
        <v>1807</v>
      </c>
      <c r="B1808">
        <v>6.4</v>
      </c>
      <c r="C1808">
        <v>0.4</v>
      </c>
      <c r="D1808">
        <v>5.6</v>
      </c>
      <c r="E1808">
        <v>1.7</v>
      </c>
      <c r="F1808">
        <v>9.9</v>
      </c>
      <c r="G1808">
        <v>3.21</v>
      </c>
      <c r="H1808" t="s">
        <v>10</v>
      </c>
      <c r="I1808">
        <v>18.399999999999999</v>
      </c>
      <c r="J1808" t="s">
        <v>15</v>
      </c>
      <c r="K1808">
        <v>4.37</v>
      </c>
      <c r="L1808" t="s">
        <v>52</v>
      </c>
      <c r="M1808" s="8">
        <v>0.35</v>
      </c>
    </row>
    <row r="1809" spans="1:13" x14ac:dyDescent="0.25">
      <c r="A1809">
        <v>1808</v>
      </c>
      <c r="B1809">
        <v>9.5</v>
      </c>
      <c r="C1809">
        <v>2.5</v>
      </c>
      <c r="D1809">
        <v>5</v>
      </c>
      <c r="E1809">
        <v>1.1000000000000001</v>
      </c>
      <c r="F1809">
        <v>5.9</v>
      </c>
      <c r="G1809">
        <v>3.52</v>
      </c>
      <c r="H1809" t="s">
        <v>10</v>
      </c>
      <c r="I1809">
        <v>19</v>
      </c>
      <c r="J1809" t="s">
        <v>14</v>
      </c>
      <c r="K1809">
        <v>3.75</v>
      </c>
      <c r="L1809" t="s">
        <v>52</v>
      </c>
      <c r="M1809" s="8">
        <v>0.5</v>
      </c>
    </row>
    <row r="1810" spans="1:13" x14ac:dyDescent="0.25">
      <c r="A1810">
        <v>1809</v>
      </c>
      <c r="B1810">
        <v>5.5</v>
      </c>
      <c r="C1810">
        <v>1.5</v>
      </c>
      <c r="D1810">
        <v>7.5</v>
      </c>
      <c r="E1810">
        <v>0.3</v>
      </c>
      <c r="F1810">
        <v>9.1999999999999993</v>
      </c>
      <c r="G1810">
        <v>2.61</v>
      </c>
      <c r="H1810" t="s">
        <v>9</v>
      </c>
      <c r="I1810">
        <v>16.5</v>
      </c>
      <c r="J1810" t="s">
        <v>13</v>
      </c>
      <c r="K1810">
        <v>4.05</v>
      </c>
      <c r="L1810" t="s">
        <v>52</v>
      </c>
      <c r="M1810" s="8">
        <v>0.33</v>
      </c>
    </row>
    <row r="1811" spans="1:13" x14ac:dyDescent="0.25">
      <c r="A1811">
        <v>1810</v>
      </c>
      <c r="B1811">
        <v>8.1999999999999993</v>
      </c>
      <c r="C1811">
        <v>1.9</v>
      </c>
      <c r="D1811">
        <v>7.5</v>
      </c>
      <c r="E1811">
        <v>2.6</v>
      </c>
      <c r="F1811">
        <v>3.8</v>
      </c>
      <c r="G1811">
        <v>3.13</v>
      </c>
      <c r="H1811" t="s">
        <v>10</v>
      </c>
      <c r="I1811">
        <v>16.5</v>
      </c>
      <c r="J1811" t="s">
        <v>15</v>
      </c>
      <c r="K1811">
        <v>2.83</v>
      </c>
      <c r="L1811" t="s">
        <v>52</v>
      </c>
      <c r="M1811" s="8">
        <v>0.5</v>
      </c>
    </row>
    <row r="1812" spans="1:13" x14ac:dyDescent="0.25">
      <c r="A1812">
        <v>1811</v>
      </c>
      <c r="B1812">
        <v>9.8000000000000007</v>
      </c>
      <c r="C1812">
        <v>0.9</v>
      </c>
      <c r="D1812">
        <v>7.6</v>
      </c>
      <c r="E1812">
        <v>4.2</v>
      </c>
      <c r="F1812">
        <v>1.5</v>
      </c>
      <c r="G1812">
        <v>3.62</v>
      </c>
      <c r="H1812" t="s">
        <v>10</v>
      </c>
      <c r="I1812">
        <v>16.400000000000002</v>
      </c>
      <c r="J1812" t="s">
        <v>14</v>
      </c>
      <c r="K1812">
        <v>4.0599999999999996</v>
      </c>
      <c r="L1812" t="s">
        <v>52</v>
      </c>
      <c r="M1812" s="8">
        <v>0.6</v>
      </c>
    </row>
    <row r="1813" spans="1:13" x14ac:dyDescent="0.25">
      <c r="A1813">
        <v>1812</v>
      </c>
      <c r="B1813">
        <v>6.9</v>
      </c>
      <c r="C1813">
        <v>1.9</v>
      </c>
      <c r="D1813">
        <v>5.4</v>
      </c>
      <c r="E1813">
        <v>3.7</v>
      </c>
      <c r="F1813">
        <v>6.1</v>
      </c>
      <c r="G1813">
        <v>3.05</v>
      </c>
      <c r="H1813" t="s">
        <v>10</v>
      </c>
      <c r="I1813">
        <v>18.600000000000001</v>
      </c>
      <c r="J1813" t="s">
        <v>15</v>
      </c>
      <c r="K1813">
        <v>2.2799999999999998</v>
      </c>
      <c r="L1813" t="s">
        <v>52</v>
      </c>
      <c r="M1813" s="8">
        <v>0.37</v>
      </c>
    </row>
    <row r="1814" spans="1:13" x14ac:dyDescent="0.25">
      <c r="A1814">
        <v>1813</v>
      </c>
      <c r="B1814">
        <v>6.4</v>
      </c>
      <c r="C1814">
        <v>0.6</v>
      </c>
      <c r="D1814">
        <v>7.7</v>
      </c>
      <c r="E1814">
        <v>3.2</v>
      </c>
      <c r="F1814">
        <v>6.1</v>
      </c>
      <c r="G1814">
        <v>3</v>
      </c>
      <c r="H1814" t="s">
        <v>8</v>
      </c>
      <c r="I1814">
        <v>16.299999999999997</v>
      </c>
      <c r="J1814" t="s">
        <v>15</v>
      </c>
      <c r="K1814">
        <v>2.73</v>
      </c>
      <c r="L1814" t="s">
        <v>52</v>
      </c>
      <c r="M1814" s="8">
        <v>0.39</v>
      </c>
    </row>
    <row r="1815" spans="1:13" x14ac:dyDescent="0.25">
      <c r="A1815">
        <v>1814</v>
      </c>
      <c r="B1815">
        <v>8.1</v>
      </c>
      <c r="C1815">
        <v>0.8</v>
      </c>
      <c r="D1815">
        <v>7.3</v>
      </c>
      <c r="E1815">
        <v>4.3</v>
      </c>
      <c r="F1815">
        <v>3.5</v>
      </c>
      <c r="G1815">
        <v>3.12</v>
      </c>
      <c r="H1815" t="s">
        <v>10</v>
      </c>
      <c r="I1815">
        <v>16.7</v>
      </c>
      <c r="J1815" t="s">
        <v>15</v>
      </c>
      <c r="K1815">
        <v>3.01</v>
      </c>
      <c r="L1815" t="s">
        <v>52</v>
      </c>
      <c r="M1815" s="8">
        <v>0.49</v>
      </c>
    </row>
    <row r="1816" spans="1:13" x14ac:dyDescent="0.25">
      <c r="A1816">
        <v>1815</v>
      </c>
      <c r="B1816">
        <v>7.6</v>
      </c>
      <c r="C1816">
        <v>1.6</v>
      </c>
      <c r="D1816">
        <v>6.6</v>
      </c>
      <c r="E1816">
        <v>3.7</v>
      </c>
      <c r="F1816">
        <v>4.5</v>
      </c>
      <c r="G1816">
        <v>3.18</v>
      </c>
      <c r="H1816" t="s">
        <v>8</v>
      </c>
      <c r="I1816">
        <v>17.399999999999999</v>
      </c>
      <c r="J1816" t="s">
        <v>15</v>
      </c>
      <c r="K1816">
        <v>2.4900000000000002</v>
      </c>
      <c r="L1816" t="s">
        <v>52</v>
      </c>
      <c r="M1816" s="8">
        <v>0.44</v>
      </c>
    </row>
    <row r="1817" spans="1:13" x14ac:dyDescent="0.25">
      <c r="A1817">
        <v>1816</v>
      </c>
      <c r="B1817">
        <v>5.4</v>
      </c>
      <c r="C1817">
        <v>1.8</v>
      </c>
      <c r="D1817">
        <v>9.5</v>
      </c>
      <c r="E1817">
        <v>0.6</v>
      </c>
      <c r="F1817">
        <v>6.7</v>
      </c>
      <c r="G1817">
        <v>2.9</v>
      </c>
      <c r="H1817" t="s">
        <v>9</v>
      </c>
      <c r="I1817">
        <v>14.5</v>
      </c>
      <c r="J1817" t="s">
        <v>13</v>
      </c>
      <c r="K1817">
        <v>2.89</v>
      </c>
      <c r="L1817" t="s">
        <v>52</v>
      </c>
      <c r="M1817" s="8">
        <v>0.37</v>
      </c>
    </row>
    <row r="1818" spans="1:13" x14ac:dyDescent="0.25">
      <c r="A1818">
        <v>1817</v>
      </c>
      <c r="B1818">
        <v>9.9</v>
      </c>
      <c r="C1818">
        <v>3.8</v>
      </c>
      <c r="D1818">
        <v>5.4</v>
      </c>
      <c r="E1818">
        <v>4.5999999999999996</v>
      </c>
      <c r="F1818">
        <v>0.3</v>
      </c>
      <c r="G1818">
        <v>3.69</v>
      </c>
      <c r="H1818" t="s">
        <v>10</v>
      </c>
      <c r="I1818">
        <v>18.599999999999998</v>
      </c>
      <c r="J1818" t="s">
        <v>14</v>
      </c>
      <c r="K1818">
        <v>3.97</v>
      </c>
      <c r="L1818" t="s">
        <v>52</v>
      </c>
      <c r="M1818" s="8">
        <v>0.53</v>
      </c>
    </row>
    <row r="1819" spans="1:13" x14ac:dyDescent="0.25">
      <c r="A1819">
        <v>1818</v>
      </c>
      <c r="B1819">
        <v>7.1</v>
      </c>
      <c r="C1819">
        <v>1.8</v>
      </c>
      <c r="D1819">
        <v>8.1999999999999993</v>
      </c>
      <c r="E1819">
        <v>4.5999999999999996</v>
      </c>
      <c r="F1819">
        <v>2.2999999999999998</v>
      </c>
      <c r="G1819">
        <v>2.98</v>
      </c>
      <c r="H1819" t="s">
        <v>8</v>
      </c>
      <c r="I1819">
        <v>15.8</v>
      </c>
      <c r="J1819" t="s">
        <v>13</v>
      </c>
      <c r="K1819">
        <v>2.4300000000000002</v>
      </c>
      <c r="L1819" t="s">
        <v>52</v>
      </c>
      <c r="M1819" s="8">
        <v>0.45</v>
      </c>
    </row>
    <row r="1820" spans="1:13" x14ac:dyDescent="0.25">
      <c r="A1820">
        <v>1819</v>
      </c>
      <c r="B1820">
        <v>5.2</v>
      </c>
      <c r="C1820">
        <v>2.4</v>
      </c>
      <c r="D1820">
        <v>5.9</v>
      </c>
      <c r="E1820">
        <v>2.1</v>
      </c>
      <c r="F1820">
        <v>8.4</v>
      </c>
      <c r="G1820">
        <v>2.69</v>
      </c>
      <c r="H1820" t="s">
        <v>10</v>
      </c>
      <c r="I1820">
        <v>18.100000000000001</v>
      </c>
      <c r="J1820" t="s">
        <v>13</v>
      </c>
      <c r="K1820">
        <v>2.94</v>
      </c>
      <c r="L1820" t="s">
        <v>52</v>
      </c>
      <c r="M1820" s="8">
        <v>0.28999999999999998</v>
      </c>
    </row>
    <row r="1821" spans="1:13" x14ac:dyDescent="0.25">
      <c r="A1821">
        <v>1820</v>
      </c>
      <c r="B1821">
        <v>6.7</v>
      </c>
      <c r="C1821">
        <v>0.4</v>
      </c>
      <c r="D1821">
        <v>5.7</v>
      </c>
      <c r="E1821">
        <v>0.2</v>
      </c>
      <c r="F1821">
        <v>11</v>
      </c>
      <c r="G1821">
        <v>2.58</v>
      </c>
      <c r="H1821" t="s">
        <v>10</v>
      </c>
      <c r="I1821">
        <v>18.3</v>
      </c>
      <c r="J1821" t="s">
        <v>13</v>
      </c>
      <c r="K1821">
        <v>5.24</v>
      </c>
      <c r="L1821" t="s">
        <v>52</v>
      </c>
      <c r="M1821" s="8">
        <v>0.37</v>
      </c>
    </row>
    <row r="1822" spans="1:13" x14ac:dyDescent="0.25">
      <c r="A1822">
        <v>1821</v>
      </c>
      <c r="B1822">
        <v>7.4</v>
      </c>
      <c r="C1822">
        <v>3.8</v>
      </c>
      <c r="D1822">
        <v>5.6</v>
      </c>
      <c r="E1822">
        <v>5.7</v>
      </c>
      <c r="F1822">
        <v>1.5</v>
      </c>
      <c r="G1822">
        <v>3.27</v>
      </c>
      <c r="H1822" t="s">
        <v>10</v>
      </c>
      <c r="I1822">
        <v>18.399999999999999</v>
      </c>
      <c r="J1822" t="s">
        <v>15</v>
      </c>
      <c r="K1822">
        <v>2.54</v>
      </c>
      <c r="L1822" t="s">
        <v>52</v>
      </c>
      <c r="M1822" s="8">
        <v>0.4</v>
      </c>
    </row>
    <row r="1823" spans="1:13" x14ac:dyDescent="0.25">
      <c r="A1823">
        <v>1822</v>
      </c>
      <c r="B1823">
        <v>8.1999999999999993</v>
      </c>
      <c r="C1823">
        <v>3.3</v>
      </c>
      <c r="D1823">
        <v>5.5</v>
      </c>
      <c r="E1823">
        <v>3</v>
      </c>
      <c r="F1823">
        <v>4</v>
      </c>
      <c r="G1823">
        <v>3.5</v>
      </c>
      <c r="H1823" t="s">
        <v>10</v>
      </c>
      <c r="I1823">
        <v>18.5</v>
      </c>
      <c r="J1823" t="s">
        <v>14</v>
      </c>
      <c r="K1823">
        <v>2.42</v>
      </c>
      <c r="L1823" t="s">
        <v>52</v>
      </c>
      <c r="M1823" s="8">
        <v>0.44</v>
      </c>
    </row>
    <row r="1824" spans="1:13" x14ac:dyDescent="0.25">
      <c r="A1824">
        <v>1823</v>
      </c>
      <c r="B1824">
        <v>8.5</v>
      </c>
      <c r="C1824">
        <v>2.2999999999999998</v>
      </c>
      <c r="D1824">
        <v>9.1999999999999993</v>
      </c>
      <c r="E1824">
        <v>0.3</v>
      </c>
      <c r="F1824">
        <v>3.7</v>
      </c>
      <c r="G1824">
        <v>3.34</v>
      </c>
      <c r="H1824" t="s">
        <v>10</v>
      </c>
      <c r="I1824">
        <v>14.8</v>
      </c>
      <c r="J1824" t="s">
        <v>15</v>
      </c>
      <c r="K1824">
        <v>3.49</v>
      </c>
      <c r="L1824" t="s">
        <v>52</v>
      </c>
      <c r="M1824" s="8">
        <v>0.56999999999999995</v>
      </c>
    </row>
    <row r="1825" spans="1:13" x14ac:dyDescent="0.25">
      <c r="A1825">
        <v>1824</v>
      </c>
      <c r="B1825">
        <v>6.9</v>
      </c>
      <c r="C1825">
        <v>1.4</v>
      </c>
      <c r="D1825">
        <v>8.1</v>
      </c>
      <c r="E1825">
        <v>5.3</v>
      </c>
      <c r="F1825">
        <v>2.2999999999999998</v>
      </c>
      <c r="G1825">
        <v>3.42</v>
      </c>
      <c r="H1825" t="s">
        <v>8</v>
      </c>
      <c r="I1825">
        <v>15.900000000000002</v>
      </c>
      <c r="J1825" t="s">
        <v>15</v>
      </c>
      <c r="K1825">
        <v>2.57</v>
      </c>
      <c r="L1825" t="s">
        <v>52</v>
      </c>
      <c r="M1825" s="8">
        <v>0.43</v>
      </c>
    </row>
    <row r="1826" spans="1:13" x14ac:dyDescent="0.25">
      <c r="A1826">
        <v>1825</v>
      </c>
      <c r="B1826">
        <v>7.5</v>
      </c>
      <c r="C1826">
        <v>3.3</v>
      </c>
      <c r="D1826">
        <v>7</v>
      </c>
      <c r="E1826">
        <v>0.6</v>
      </c>
      <c r="F1826">
        <v>5.6</v>
      </c>
      <c r="G1826">
        <v>2.82</v>
      </c>
      <c r="H1826" t="s">
        <v>8</v>
      </c>
      <c r="I1826">
        <v>17</v>
      </c>
      <c r="J1826" t="s">
        <v>13</v>
      </c>
      <c r="K1826">
        <v>2.98</v>
      </c>
      <c r="L1826" t="s">
        <v>52</v>
      </c>
      <c r="M1826" s="8">
        <v>0.44</v>
      </c>
    </row>
    <row r="1827" spans="1:13" x14ac:dyDescent="0.25">
      <c r="A1827">
        <v>1826</v>
      </c>
      <c r="B1827">
        <v>8.6</v>
      </c>
      <c r="C1827">
        <v>3</v>
      </c>
      <c r="D1827">
        <v>5.3</v>
      </c>
      <c r="E1827">
        <v>1.3</v>
      </c>
      <c r="F1827">
        <v>5.8</v>
      </c>
      <c r="G1827">
        <v>3.06</v>
      </c>
      <c r="H1827" t="s">
        <v>10</v>
      </c>
      <c r="I1827">
        <v>18.7</v>
      </c>
      <c r="J1827" t="s">
        <v>15</v>
      </c>
      <c r="K1827">
        <v>3.21</v>
      </c>
      <c r="L1827" t="s">
        <v>52</v>
      </c>
      <c r="M1827" s="8">
        <v>0.46</v>
      </c>
    </row>
    <row r="1828" spans="1:13" x14ac:dyDescent="0.25">
      <c r="A1828">
        <v>1827</v>
      </c>
      <c r="B1828">
        <v>6.4</v>
      </c>
      <c r="C1828">
        <v>2.2000000000000002</v>
      </c>
      <c r="D1828">
        <v>5.7</v>
      </c>
      <c r="E1828">
        <v>0.8</v>
      </c>
      <c r="F1828">
        <v>8.9</v>
      </c>
      <c r="G1828">
        <v>2.89</v>
      </c>
      <c r="H1828" t="s">
        <v>10</v>
      </c>
      <c r="I1828">
        <v>18.300000000000004</v>
      </c>
      <c r="J1828" t="s">
        <v>13</v>
      </c>
      <c r="K1828">
        <v>3.74</v>
      </c>
      <c r="L1828" t="s">
        <v>52</v>
      </c>
      <c r="M1828" s="8">
        <v>0.35</v>
      </c>
    </row>
    <row r="1829" spans="1:13" x14ac:dyDescent="0.25">
      <c r="A1829">
        <v>1828</v>
      </c>
      <c r="B1829">
        <v>6.8</v>
      </c>
      <c r="C1829">
        <v>3.2</v>
      </c>
      <c r="D1829">
        <v>7.6</v>
      </c>
      <c r="E1829">
        <v>0.8</v>
      </c>
      <c r="F1829">
        <v>5.6</v>
      </c>
      <c r="G1829">
        <v>2.78</v>
      </c>
      <c r="H1829" t="s">
        <v>8</v>
      </c>
      <c r="I1829">
        <v>16.399999999999999</v>
      </c>
      <c r="J1829" t="s">
        <v>13</v>
      </c>
      <c r="K1829">
        <v>2.66</v>
      </c>
      <c r="L1829" t="s">
        <v>52</v>
      </c>
      <c r="M1829" s="8">
        <v>0.41</v>
      </c>
    </row>
    <row r="1830" spans="1:13" x14ac:dyDescent="0.25">
      <c r="A1830">
        <v>1829</v>
      </c>
      <c r="B1830">
        <v>8.6999999999999993</v>
      </c>
      <c r="C1830">
        <v>1.6</v>
      </c>
      <c r="D1830">
        <v>6.3</v>
      </c>
      <c r="E1830">
        <v>2.2999999999999998</v>
      </c>
      <c r="F1830">
        <v>5.0999999999999996</v>
      </c>
      <c r="G1830">
        <v>2.87</v>
      </c>
      <c r="H1830" t="s">
        <v>10</v>
      </c>
      <c r="I1830">
        <v>17.699999999999996</v>
      </c>
      <c r="J1830" t="s">
        <v>13</v>
      </c>
      <c r="K1830">
        <v>3.23</v>
      </c>
      <c r="L1830" t="s">
        <v>52</v>
      </c>
      <c r="M1830" s="8">
        <v>0.49</v>
      </c>
    </row>
    <row r="1831" spans="1:13" x14ac:dyDescent="0.25">
      <c r="A1831">
        <v>1830</v>
      </c>
      <c r="B1831">
        <v>6.2</v>
      </c>
      <c r="C1831">
        <v>1.6</v>
      </c>
      <c r="D1831">
        <v>5.0999999999999996</v>
      </c>
      <c r="E1831">
        <v>4.5999999999999996</v>
      </c>
      <c r="F1831">
        <v>6.5</v>
      </c>
      <c r="G1831">
        <v>2.92</v>
      </c>
      <c r="H1831" t="s">
        <v>10</v>
      </c>
      <c r="I1831">
        <v>18.899999999999999</v>
      </c>
      <c r="J1831" t="s">
        <v>13</v>
      </c>
      <c r="K1831">
        <v>2.2400000000000002</v>
      </c>
      <c r="L1831" t="s">
        <v>52</v>
      </c>
      <c r="M1831" s="8">
        <v>0.33</v>
      </c>
    </row>
    <row r="1832" spans="1:13" x14ac:dyDescent="0.25">
      <c r="A1832">
        <v>1831</v>
      </c>
      <c r="B1832">
        <v>5.9</v>
      </c>
      <c r="C1832">
        <v>0.2</v>
      </c>
      <c r="D1832">
        <v>8.3000000000000007</v>
      </c>
      <c r="E1832">
        <v>4.5999999999999996</v>
      </c>
      <c r="F1832">
        <v>5</v>
      </c>
      <c r="G1832">
        <v>2.88</v>
      </c>
      <c r="H1832" t="s">
        <v>9</v>
      </c>
      <c r="I1832">
        <v>15.7</v>
      </c>
      <c r="J1832" t="s">
        <v>13</v>
      </c>
      <c r="K1832">
        <v>2.54</v>
      </c>
      <c r="L1832" t="s">
        <v>52</v>
      </c>
      <c r="M1832" s="8">
        <v>0.38</v>
      </c>
    </row>
    <row r="1833" spans="1:13" x14ac:dyDescent="0.25">
      <c r="A1833">
        <v>1832</v>
      </c>
      <c r="B1833">
        <v>6</v>
      </c>
      <c r="C1833">
        <v>2.9</v>
      </c>
      <c r="D1833">
        <v>8.5</v>
      </c>
      <c r="E1833">
        <v>1.5</v>
      </c>
      <c r="F1833">
        <v>5.0999999999999996</v>
      </c>
      <c r="G1833">
        <v>3.17</v>
      </c>
      <c r="H1833" t="s">
        <v>8</v>
      </c>
      <c r="I1833">
        <v>15.5</v>
      </c>
      <c r="J1833" t="s">
        <v>15</v>
      </c>
      <c r="K1833">
        <v>2.0499999999999998</v>
      </c>
      <c r="L1833" t="s">
        <v>52</v>
      </c>
      <c r="M1833" s="8">
        <v>0.39</v>
      </c>
    </row>
    <row r="1834" spans="1:13" x14ac:dyDescent="0.25">
      <c r="A1834">
        <v>1833</v>
      </c>
      <c r="B1834">
        <v>9.5</v>
      </c>
      <c r="C1834">
        <v>0.4</v>
      </c>
      <c r="D1834">
        <v>9.9</v>
      </c>
      <c r="E1834">
        <v>3.6</v>
      </c>
      <c r="F1834">
        <v>0.6</v>
      </c>
      <c r="G1834">
        <v>3.5</v>
      </c>
      <c r="H1834" t="s">
        <v>10</v>
      </c>
      <c r="I1834">
        <v>14.1</v>
      </c>
      <c r="J1834" t="s">
        <v>14</v>
      </c>
      <c r="K1834">
        <v>4.24</v>
      </c>
      <c r="L1834" t="s">
        <v>52</v>
      </c>
      <c r="M1834" s="8">
        <v>0.67</v>
      </c>
    </row>
    <row r="1835" spans="1:13" x14ac:dyDescent="0.25">
      <c r="A1835">
        <v>1834</v>
      </c>
      <c r="B1835">
        <v>8.6</v>
      </c>
      <c r="C1835">
        <v>0.8</v>
      </c>
      <c r="D1835">
        <v>7.2</v>
      </c>
      <c r="E1835">
        <v>0.4</v>
      </c>
      <c r="F1835">
        <v>7</v>
      </c>
      <c r="G1835">
        <v>3.32</v>
      </c>
      <c r="H1835" t="s">
        <v>10</v>
      </c>
      <c r="I1835">
        <v>16.8</v>
      </c>
      <c r="J1835" t="s">
        <v>15</v>
      </c>
      <c r="K1835">
        <v>4.21</v>
      </c>
      <c r="L1835" t="s">
        <v>52</v>
      </c>
      <c r="M1835" s="8">
        <v>0.51</v>
      </c>
    </row>
    <row r="1836" spans="1:13" x14ac:dyDescent="0.25">
      <c r="A1836">
        <v>1835</v>
      </c>
      <c r="B1836">
        <v>6.9</v>
      </c>
      <c r="C1836">
        <v>3</v>
      </c>
      <c r="D1836">
        <v>6.9</v>
      </c>
      <c r="E1836">
        <v>2</v>
      </c>
      <c r="F1836">
        <v>5.2</v>
      </c>
      <c r="G1836">
        <v>3.23</v>
      </c>
      <c r="H1836" t="s">
        <v>8</v>
      </c>
      <c r="I1836">
        <v>17.100000000000001</v>
      </c>
      <c r="J1836" t="s">
        <v>15</v>
      </c>
      <c r="K1836">
        <v>2.2000000000000002</v>
      </c>
      <c r="L1836" t="s">
        <v>52</v>
      </c>
      <c r="M1836" s="8">
        <v>0.4</v>
      </c>
    </row>
    <row r="1837" spans="1:13" x14ac:dyDescent="0.25">
      <c r="A1837">
        <v>1836</v>
      </c>
      <c r="B1837">
        <v>5.2</v>
      </c>
      <c r="C1837">
        <v>1.5</v>
      </c>
      <c r="D1837">
        <v>5.8</v>
      </c>
      <c r="E1837">
        <v>4.2</v>
      </c>
      <c r="F1837">
        <v>7.3</v>
      </c>
      <c r="G1837">
        <v>2.83</v>
      </c>
      <c r="H1837" t="s">
        <v>10</v>
      </c>
      <c r="I1837">
        <v>18.2</v>
      </c>
      <c r="J1837" t="s">
        <v>13</v>
      </c>
      <c r="K1837">
        <v>2.41</v>
      </c>
      <c r="L1837" t="s">
        <v>52</v>
      </c>
      <c r="M1837" s="8">
        <v>0.28999999999999998</v>
      </c>
    </row>
    <row r="1838" spans="1:13" x14ac:dyDescent="0.25">
      <c r="A1838">
        <v>1837</v>
      </c>
      <c r="B1838">
        <v>5.5</v>
      </c>
      <c r="C1838">
        <v>2.7</v>
      </c>
      <c r="D1838">
        <v>6.4</v>
      </c>
      <c r="E1838">
        <v>1.2</v>
      </c>
      <c r="F1838">
        <v>8.1999999999999993</v>
      </c>
      <c r="G1838">
        <v>2.75</v>
      </c>
      <c r="H1838" t="s">
        <v>9</v>
      </c>
      <c r="I1838">
        <v>17.599999999999998</v>
      </c>
      <c r="J1838" t="s">
        <v>13</v>
      </c>
      <c r="K1838">
        <v>3.1</v>
      </c>
      <c r="L1838" t="s">
        <v>52</v>
      </c>
      <c r="M1838" s="8">
        <v>0.31</v>
      </c>
    </row>
    <row r="1839" spans="1:13" x14ac:dyDescent="0.25">
      <c r="A1839">
        <v>1838</v>
      </c>
      <c r="B1839">
        <v>7.4</v>
      </c>
      <c r="C1839">
        <v>2</v>
      </c>
      <c r="D1839">
        <v>6.6</v>
      </c>
      <c r="E1839">
        <v>0.8</v>
      </c>
      <c r="F1839">
        <v>7.2</v>
      </c>
      <c r="G1839">
        <v>3.1</v>
      </c>
      <c r="H1839" t="s">
        <v>8</v>
      </c>
      <c r="I1839">
        <v>17.400000000000002</v>
      </c>
      <c r="J1839" t="s">
        <v>15</v>
      </c>
      <c r="K1839">
        <v>3.44</v>
      </c>
      <c r="L1839" t="s">
        <v>52</v>
      </c>
      <c r="M1839" s="8">
        <v>0.43</v>
      </c>
    </row>
    <row r="1840" spans="1:13" x14ac:dyDescent="0.25">
      <c r="A1840">
        <v>1839</v>
      </c>
      <c r="B1840">
        <v>6.9</v>
      </c>
      <c r="C1840">
        <v>2.7</v>
      </c>
      <c r="D1840">
        <v>8.9</v>
      </c>
      <c r="E1840">
        <v>2.9</v>
      </c>
      <c r="F1840">
        <v>2.6</v>
      </c>
      <c r="G1840">
        <v>2.77</v>
      </c>
      <c r="H1840" t="s">
        <v>8</v>
      </c>
      <c r="I1840">
        <v>15.100000000000001</v>
      </c>
      <c r="J1840" t="s">
        <v>13</v>
      </c>
      <c r="K1840">
        <v>2.09</v>
      </c>
      <c r="L1840" t="s">
        <v>52</v>
      </c>
      <c r="M1840" s="8">
        <v>0.46</v>
      </c>
    </row>
    <row r="1841" spans="1:13" x14ac:dyDescent="0.25">
      <c r="A1841">
        <v>1840</v>
      </c>
      <c r="B1841">
        <v>6.4</v>
      </c>
      <c r="C1841">
        <v>0.6</v>
      </c>
      <c r="D1841">
        <v>6.2</v>
      </c>
      <c r="E1841">
        <v>1.3</v>
      </c>
      <c r="F1841">
        <v>9.5</v>
      </c>
      <c r="G1841">
        <v>3.04</v>
      </c>
      <c r="H1841" t="s">
        <v>8</v>
      </c>
      <c r="I1841">
        <v>17.8</v>
      </c>
      <c r="J1841" t="s">
        <v>15</v>
      </c>
      <c r="K1841">
        <v>4.24</v>
      </c>
      <c r="L1841" t="s">
        <v>52</v>
      </c>
      <c r="M1841" s="8">
        <v>0.36</v>
      </c>
    </row>
    <row r="1842" spans="1:13" x14ac:dyDescent="0.25">
      <c r="A1842">
        <v>1841</v>
      </c>
      <c r="B1842">
        <v>7.6</v>
      </c>
      <c r="C1842">
        <v>2.2999999999999998</v>
      </c>
      <c r="D1842">
        <v>9.6999999999999993</v>
      </c>
      <c r="E1842">
        <v>0.9</v>
      </c>
      <c r="F1842">
        <v>3.5</v>
      </c>
      <c r="G1842">
        <v>3.36</v>
      </c>
      <c r="H1842" t="s">
        <v>8</v>
      </c>
      <c r="I1842">
        <v>14.299999999999999</v>
      </c>
      <c r="J1842" t="s">
        <v>15</v>
      </c>
      <c r="K1842">
        <v>2.89</v>
      </c>
      <c r="L1842" t="s">
        <v>52</v>
      </c>
      <c r="M1842" s="8">
        <v>0.53</v>
      </c>
    </row>
    <row r="1843" spans="1:13" x14ac:dyDescent="0.25">
      <c r="A1843">
        <v>1842</v>
      </c>
      <c r="B1843">
        <v>7.8</v>
      </c>
      <c r="C1843">
        <v>1</v>
      </c>
      <c r="D1843">
        <v>6.3</v>
      </c>
      <c r="E1843">
        <v>0.2</v>
      </c>
      <c r="F1843">
        <v>8.6999999999999993</v>
      </c>
      <c r="G1843">
        <v>3.27</v>
      </c>
      <c r="H1843" t="s">
        <v>8</v>
      </c>
      <c r="I1843">
        <v>17.7</v>
      </c>
      <c r="J1843" t="s">
        <v>15</v>
      </c>
      <c r="K1843">
        <v>4.4400000000000004</v>
      </c>
      <c r="L1843" t="s">
        <v>52</v>
      </c>
      <c r="M1843" s="8">
        <v>0.44</v>
      </c>
    </row>
    <row r="1844" spans="1:13" x14ac:dyDescent="0.25">
      <c r="A1844">
        <v>1843</v>
      </c>
      <c r="B1844">
        <v>6.5</v>
      </c>
      <c r="C1844">
        <v>3</v>
      </c>
      <c r="D1844">
        <v>5.2</v>
      </c>
      <c r="E1844">
        <v>1.3</v>
      </c>
      <c r="F1844">
        <v>8</v>
      </c>
      <c r="G1844">
        <v>3.17</v>
      </c>
      <c r="H1844" t="s">
        <v>10</v>
      </c>
      <c r="I1844">
        <v>18.8</v>
      </c>
      <c r="J1844" t="s">
        <v>15</v>
      </c>
      <c r="K1844">
        <v>3.09</v>
      </c>
      <c r="L1844" t="s">
        <v>52</v>
      </c>
      <c r="M1844" s="8">
        <v>0.35</v>
      </c>
    </row>
    <row r="1845" spans="1:13" x14ac:dyDescent="0.25">
      <c r="A1845">
        <v>1844</v>
      </c>
      <c r="B1845">
        <v>7.3</v>
      </c>
      <c r="C1845">
        <v>2.8</v>
      </c>
      <c r="D1845">
        <v>6.9</v>
      </c>
      <c r="E1845">
        <v>1</v>
      </c>
      <c r="F1845">
        <v>6</v>
      </c>
      <c r="G1845">
        <v>3.24</v>
      </c>
      <c r="H1845" t="s">
        <v>8</v>
      </c>
      <c r="I1845">
        <v>17.100000000000001</v>
      </c>
      <c r="J1845" t="s">
        <v>15</v>
      </c>
      <c r="K1845">
        <v>2.89</v>
      </c>
      <c r="L1845" t="s">
        <v>52</v>
      </c>
      <c r="M1845" s="8">
        <v>0.43</v>
      </c>
    </row>
    <row r="1846" spans="1:13" x14ac:dyDescent="0.25">
      <c r="A1846">
        <v>1845</v>
      </c>
      <c r="B1846">
        <v>7</v>
      </c>
      <c r="C1846">
        <v>2.2999999999999998</v>
      </c>
      <c r="D1846">
        <v>9.6999999999999993</v>
      </c>
      <c r="E1846">
        <v>0.3</v>
      </c>
      <c r="F1846">
        <v>4.7</v>
      </c>
      <c r="G1846">
        <v>2.64</v>
      </c>
      <c r="H1846" t="s">
        <v>8</v>
      </c>
      <c r="I1846">
        <v>14.3</v>
      </c>
      <c r="J1846" t="s">
        <v>13</v>
      </c>
      <c r="K1846">
        <v>2.91</v>
      </c>
      <c r="L1846" t="s">
        <v>52</v>
      </c>
      <c r="M1846" s="8">
        <v>0.49</v>
      </c>
    </row>
    <row r="1847" spans="1:13" x14ac:dyDescent="0.25">
      <c r="A1847">
        <v>1846</v>
      </c>
      <c r="B1847">
        <v>7.5</v>
      </c>
      <c r="C1847">
        <v>0.1</v>
      </c>
      <c r="D1847">
        <v>6.6</v>
      </c>
      <c r="E1847">
        <v>4.9000000000000004</v>
      </c>
      <c r="F1847">
        <v>4.9000000000000004</v>
      </c>
      <c r="G1847">
        <v>3.14</v>
      </c>
      <c r="H1847" t="s">
        <v>8</v>
      </c>
      <c r="I1847">
        <v>17.399999999999999</v>
      </c>
      <c r="J1847" t="s">
        <v>15</v>
      </c>
      <c r="K1847">
        <v>3.09</v>
      </c>
      <c r="L1847" t="s">
        <v>52</v>
      </c>
      <c r="M1847" s="8">
        <v>0.43</v>
      </c>
    </row>
    <row r="1848" spans="1:13" x14ac:dyDescent="0.25">
      <c r="A1848">
        <v>1847</v>
      </c>
      <c r="B1848">
        <v>7.8</v>
      </c>
      <c r="C1848">
        <v>1.8</v>
      </c>
      <c r="D1848">
        <v>6.4</v>
      </c>
      <c r="E1848">
        <v>1.8</v>
      </c>
      <c r="F1848">
        <v>6.2</v>
      </c>
      <c r="G1848">
        <v>3.39</v>
      </c>
      <c r="H1848" t="s">
        <v>8</v>
      </c>
      <c r="I1848">
        <v>17.600000000000001</v>
      </c>
      <c r="J1848" t="s">
        <v>15</v>
      </c>
      <c r="K1848">
        <v>3.07</v>
      </c>
      <c r="L1848" t="s">
        <v>52</v>
      </c>
      <c r="M1848" s="8">
        <v>0.44</v>
      </c>
    </row>
    <row r="1849" spans="1:13" x14ac:dyDescent="0.25">
      <c r="A1849">
        <v>1848</v>
      </c>
      <c r="B1849">
        <v>9.8000000000000007</v>
      </c>
      <c r="C1849">
        <v>1.8</v>
      </c>
      <c r="D1849">
        <v>7</v>
      </c>
      <c r="E1849">
        <v>4.5999999999999996</v>
      </c>
      <c r="F1849">
        <v>0.8</v>
      </c>
      <c r="G1849">
        <v>3.39</v>
      </c>
      <c r="H1849" t="s">
        <v>10</v>
      </c>
      <c r="I1849">
        <v>17.000000000000004</v>
      </c>
      <c r="J1849" t="s">
        <v>15</v>
      </c>
      <c r="K1849">
        <v>4.03</v>
      </c>
      <c r="L1849" t="s">
        <v>52</v>
      </c>
      <c r="M1849" s="8">
        <v>0.57999999999999996</v>
      </c>
    </row>
    <row r="1850" spans="1:13" x14ac:dyDescent="0.25">
      <c r="A1850">
        <v>1849</v>
      </c>
      <c r="B1850">
        <v>7.1</v>
      </c>
      <c r="C1850">
        <v>2.2000000000000002</v>
      </c>
      <c r="D1850">
        <v>6.2</v>
      </c>
      <c r="E1850">
        <v>4.5</v>
      </c>
      <c r="F1850">
        <v>4</v>
      </c>
      <c r="G1850">
        <v>3.34</v>
      </c>
      <c r="H1850" t="s">
        <v>8</v>
      </c>
      <c r="I1850">
        <v>17.8</v>
      </c>
      <c r="J1850" t="s">
        <v>15</v>
      </c>
      <c r="K1850">
        <v>2.02</v>
      </c>
      <c r="L1850" t="s">
        <v>52</v>
      </c>
      <c r="M1850" s="8">
        <v>0.4</v>
      </c>
    </row>
    <row r="1851" spans="1:13" x14ac:dyDescent="0.25">
      <c r="A1851">
        <v>1850</v>
      </c>
      <c r="B1851">
        <v>8.9</v>
      </c>
      <c r="C1851">
        <v>0.9</v>
      </c>
      <c r="D1851">
        <v>8.6</v>
      </c>
      <c r="E1851">
        <v>4.5</v>
      </c>
      <c r="F1851">
        <v>1.1000000000000001</v>
      </c>
      <c r="G1851">
        <v>3.36</v>
      </c>
      <c r="H1851" t="s">
        <v>10</v>
      </c>
      <c r="I1851">
        <v>15.4</v>
      </c>
      <c r="J1851" t="s">
        <v>15</v>
      </c>
      <c r="K1851">
        <v>3.75</v>
      </c>
      <c r="L1851" t="s">
        <v>52</v>
      </c>
      <c r="M1851" s="8">
        <v>0.57999999999999996</v>
      </c>
    </row>
    <row r="1852" spans="1:13" x14ac:dyDescent="0.25">
      <c r="A1852">
        <v>1851</v>
      </c>
      <c r="B1852">
        <v>6.7</v>
      </c>
      <c r="C1852">
        <v>0.7</v>
      </c>
      <c r="D1852">
        <v>5</v>
      </c>
      <c r="E1852">
        <v>2.7</v>
      </c>
      <c r="F1852">
        <v>8.9</v>
      </c>
      <c r="G1852">
        <v>3.15</v>
      </c>
      <c r="H1852" t="s">
        <v>10</v>
      </c>
      <c r="I1852">
        <v>19</v>
      </c>
      <c r="J1852" t="s">
        <v>15</v>
      </c>
      <c r="K1852">
        <v>3.73</v>
      </c>
      <c r="L1852" t="s">
        <v>52</v>
      </c>
      <c r="M1852" s="8">
        <v>0.35</v>
      </c>
    </row>
    <row r="1853" spans="1:13" x14ac:dyDescent="0.25">
      <c r="A1853">
        <v>1852</v>
      </c>
      <c r="B1853">
        <v>5.9</v>
      </c>
      <c r="C1853">
        <v>3.4</v>
      </c>
      <c r="D1853">
        <v>6.3</v>
      </c>
      <c r="E1853">
        <v>1.4</v>
      </c>
      <c r="F1853">
        <v>7</v>
      </c>
      <c r="G1853">
        <v>2.48</v>
      </c>
      <c r="H1853" t="s">
        <v>9</v>
      </c>
      <c r="I1853">
        <v>17.700000000000003</v>
      </c>
      <c r="J1853" t="s">
        <v>16</v>
      </c>
      <c r="K1853">
        <v>2.52</v>
      </c>
      <c r="L1853" t="s">
        <v>52</v>
      </c>
      <c r="M1853" s="8">
        <v>0.33</v>
      </c>
    </row>
    <row r="1854" spans="1:13" x14ac:dyDescent="0.25">
      <c r="A1854">
        <v>1853</v>
      </c>
      <c r="B1854">
        <v>7.4</v>
      </c>
      <c r="C1854">
        <v>2</v>
      </c>
      <c r="D1854">
        <v>6.1</v>
      </c>
      <c r="E1854">
        <v>1.6</v>
      </c>
      <c r="F1854">
        <v>6.9</v>
      </c>
      <c r="G1854">
        <v>3.22</v>
      </c>
      <c r="H1854" t="s">
        <v>8</v>
      </c>
      <c r="I1854">
        <v>17.899999999999999</v>
      </c>
      <c r="J1854" t="s">
        <v>15</v>
      </c>
      <c r="K1854">
        <v>3.1</v>
      </c>
      <c r="L1854" t="s">
        <v>52</v>
      </c>
      <c r="M1854" s="8">
        <v>0.41</v>
      </c>
    </row>
    <row r="1855" spans="1:13" x14ac:dyDescent="0.25">
      <c r="A1855">
        <v>1854</v>
      </c>
      <c r="B1855">
        <v>8.9</v>
      </c>
      <c r="C1855">
        <v>1.8</v>
      </c>
      <c r="D1855">
        <v>8.6</v>
      </c>
      <c r="E1855">
        <v>3.5</v>
      </c>
      <c r="F1855">
        <v>1.2</v>
      </c>
      <c r="G1855">
        <v>3.17</v>
      </c>
      <c r="H1855" t="s">
        <v>10</v>
      </c>
      <c r="I1855">
        <v>15.4</v>
      </c>
      <c r="J1855" t="s">
        <v>15</v>
      </c>
      <c r="K1855">
        <v>3.5</v>
      </c>
      <c r="L1855" t="s">
        <v>52</v>
      </c>
      <c r="M1855" s="8">
        <v>0.57999999999999996</v>
      </c>
    </row>
    <row r="1856" spans="1:13" x14ac:dyDescent="0.25">
      <c r="A1856">
        <v>1855</v>
      </c>
      <c r="B1856">
        <v>5.7</v>
      </c>
      <c r="C1856">
        <v>3.9</v>
      </c>
      <c r="D1856">
        <v>9.1</v>
      </c>
      <c r="E1856">
        <v>1.1000000000000001</v>
      </c>
      <c r="F1856">
        <v>4.2</v>
      </c>
      <c r="G1856">
        <v>2.81</v>
      </c>
      <c r="H1856" t="s">
        <v>9</v>
      </c>
      <c r="I1856">
        <v>14.899999999999999</v>
      </c>
      <c r="J1856" t="s">
        <v>13</v>
      </c>
      <c r="K1856">
        <v>1.92</v>
      </c>
      <c r="L1856" t="s">
        <v>52</v>
      </c>
      <c r="M1856" s="8">
        <v>0.38</v>
      </c>
    </row>
    <row r="1857" spans="1:13" x14ac:dyDescent="0.25">
      <c r="A1857">
        <v>1856</v>
      </c>
      <c r="B1857">
        <v>5.7</v>
      </c>
      <c r="C1857">
        <v>3</v>
      </c>
      <c r="D1857">
        <v>7.3</v>
      </c>
      <c r="E1857">
        <v>4.7</v>
      </c>
      <c r="F1857">
        <v>3.3</v>
      </c>
      <c r="G1857">
        <v>2.82</v>
      </c>
      <c r="H1857" t="s">
        <v>9</v>
      </c>
      <c r="I1857">
        <v>16.7</v>
      </c>
      <c r="J1857" t="s">
        <v>13</v>
      </c>
      <c r="K1857">
        <v>1.26</v>
      </c>
      <c r="L1857" t="s">
        <v>51</v>
      </c>
      <c r="M1857" s="8">
        <v>0.34</v>
      </c>
    </row>
    <row r="1858" spans="1:13" x14ac:dyDescent="0.25">
      <c r="A1858">
        <v>1857</v>
      </c>
      <c r="B1858">
        <v>8.6999999999999993</v>
      </c>
      <c r="C1858">
        <v>2.4</v>
      </c>
      <c r="D1858">
        <v>8.4</v>
      </c>
      <c r="E1858">
        <v>0.1</v>
      </c>
      <c r="F1858">
        <v>4.4000000000000004</v>
      </c>
      <c r="G1858">
        <v>3.51</v>
      </c>
      <c r="H1858" t="s">
        <v>10</v>
      </c>
      <c r="I1858">
        <v>15.6</v>
      </c>
      <c r="J1858" t="s">
        <v>14</v>
      </c>
      <c r="K1858">
        <v>3.65</v>
      </c>
      <c r="L1858" t="s">
        <v>52</v>
      </c>
      <c r="M1858" s="8">
        <v>0.56000000000000005</v>
      </c>
    </row>
    <row r="1859" spans="1:13" x14ac:dyDescent="0.25">
      <c r="A1859">
        <v>1858</v>
      </c>
      <c r="B1859">
        <v>5</v>
      </c>
      <c r="C1859">
        <v>0.1</v>
      </c>
      <c r="D1859">
        <v>9.3000000000000007</v>
      </c>
      <c r="E1859">
        <v>4.0999999999999996</v>
      </c>
      <c r="F1859">
        <v>5.5</v>
      </c>
      <c r="G1859">
        <v>2.4700000000000002</v>
      </c>
      <c r="H1859" t="s">
        <v>9</v>
      </c>
      <c r="I1859">
        <v>14.7</v>
      </c>
      <c r="J1859" t="s">
        <v>16</v>
      </c>
      <c r="K1859">
        <v>2.4500000000000002</v>
      </c>
      <c r="L1859" t="s">
        <v>52</v>
      </c>
      <c r="M1859" s="8">
        <v>0.34</v>
      </c>
    </row>
    <row r="1860" spans="1:13" x14ac:dyDescent="0.25">
      <c r="A1860">
        <v>1859</v>
      </c>
      <c r="B1860">
        <v>6.3</v>
      </c>
      <c r="C1860">
        <v>2.8</v>
      </c>
      <c r="D1860">
        <v>9</v>
      </c>
      <c r="E1860">
        <v>1.8</v>
      </c>
      <c r="F1860">
        <v>4.0999999999999996</v>
      </c>
      <c r="G1860">
        <v>2.79</v>
      </c>
      <c r="H1860" t="s">
        <v>8</v>
      </c>
      <c r="I1860">
        <v>15</v>
      </c>
      <c r="J1860" t="s">
        <v>13</v>
      </c>
      <c r="K1860">
        <v>1.94</v>
      </c>
      <c r="L1860" t="s">
        <v>52</v>
      </c>
      <c r="M1860" s="8">
        <v>0.42</v>
      </c>
    </row>
    <row r="1861" spans="1:13" x14ac:dyDescent="0.25">
      <c r="A1861">
        <v>1860</v>
      </c>
      <c r="B1861">
        <v>7.5</v>
      </c>
      <c r="C1861">
        <v>3.1</v>
      </c>
      <c r="D1861">
        <v>6.1</v>
      </c>
      <c r="E1861">
        <v>1.6</v>
      </c>
      <c r="F1861">
        <v>5.7</v>
      </c>
      <c r="G1861">
        <v>3.07</v>
      </c>
      <c r="H1861" t="s">
        <v>8</v>
      </c>
      <c r="I1861">
        <v>17.899999999999999</v>
      </c>
      <c r="J1861" t="s">
        <v>15</v>
      </c>
      <c r="K1861">
        <v>2.63</v>
      </c>
      <c r="L1861" t="s">
        <v>52</v>
      </c>
      <c r="M1861" s="8">
        <v>0.42</v>
      </c>
    </row>
    <row r="1862" spans="1:13" x14ac:dyDescent="0.25">
      <c r="A1862">
        <v>1861</v>
      </c>
      <c r="B1862">
        <v>6.2</v>
      </c>
      <c r="C1862">
        <v>4</v>
      </c>
      <c r="D1862">
        <v>6</v>
      </c>
      <c r="E1862">
        <v>3.5</v>
      </c>
      <c r="F1862">
        <v>4.3</v>
      </c>
      <c r="G1862">
        <v>2.88</v>
      </c>
      <c r="H1862" t="s">
        <v>8</v>
      </c>
      <c r="I1862">
        <v>18</v>
      </c>
      <c r="J1862" t="s">
        <v>13</v>
      </c>
      <c r="K1862">
        <v>1.18</v>
      </c>
      <c r="L1862" t="s">
        <v>51</v>
      </c>
      <c r="M1862" s="8">
        <v>0.34</v>
      </c>
    </row>
    <row r="1863" spans="1:13" x14ac:dyDescent="0.25">
      <c r="A1863">
        <v>1862</v>
      </c>
      <c r="B1863">
        <v>8.1999999999999993</v>
      </c>
      <c r="C1863">
        <v>3</v>
      </c>
      <c r="D1863">
        <v>9.9</v>
      </c>
      <c r="E1863">
        <v>0.5</v>
      </c>
      <c r="F1863">
        <v>2.4</v>
      </c>
      <c r="G1863">
        <v>3.3</v>
      </c>
      <c r="H1863" t="s">
        <v>10</v>
      </c>
      <c r="I1863">
        <v>14.1</v>
      </c>
      <c r="J1863" t="s">
        <v>15</v>
      </c>
      <c r="K1863">
        <v>3.29</v>
      </c>
      <c r="L1863" t="s">
        <v>52</v>
      </c>
      <c r="M1863" s="8">
        <v>0.57999999999999996</v>
      </c>
    </row>
    <row r="1864" spans="1:13" x14ac:dyDescent="0.25">
      <c r="A1864">
        <v>1863</v>
      </c>
      <c r="B1864">
        <v>8.8000000000000007</v>
      </c>
      <c r="C1864">
        <v>1.4</v>
      </c>
      <c r="D1864">
        <v>5.9</v>
      </c>
      <c r="E1864">
        <v>2.5</v>
      </c>
      <c r="F1864">
        <v>5.4</v>
      </c>
      <c r="G1864">
        <v>3.29</v>
      </c>
      <c r="H1864" t="s">
        <v>10</v>
      </c>
      <c r="I1864">
        <v>18.100000000000001</v>
      </c>
      <c r="J1864" t="s">
        <v>15</v>
      </c>
      <c r="K1864">
        <v>3.31</v>
      </c>
      <c r="L1864" t="s">
        <v>52</v>
      </c>
      <c r="M1864" s="8">
        <v>0.49</v>
      </c>
    </row>
    <row r="1865" spans="1:13" x14ac:dyDescent="0.25">
      <c r="A1865">
        <v>1864</v>
      </c>
      <c r="B1865">
        <v>7.7</v>
      </c>
      <c r="C1865">
        <v>4</v>
      </c>
      <c r="D1865">
        <v>7</v>
      </c>
      <c r="E1865">
        <v>3.3</v>
      </c>
      <c r="F1865">
        <v>2</v>
      </c>
      <c r="G1865">
        <v>3.44</v>
      </c>
      <c r="H1865" t="s">
        <v>8</v>
      </c>
      <c r="I1865">
        <v>17</v>
      </c>
      <c r="J1865" t="s">
        <v>15</v>
      </c>
      <c r="K1865">
        <v>2.44</v>
      </c>
      <c r="L1865" t="s">
        <v>52</v>
      </c>
      <c r="M1865" s="8">
        <v>0.45</v>
      </c>
    </row>
    <row r="1866" spans="1:13" x14ac:dyDescent="0.25">
      <c r="A1866">
        <v>1865</v>
      </c>
      <c r="B1866">
        <v>6.8</v>
      </c>
      <c r="C1866">
        <v>1.6</v>
      </c>
      <c r="D1866">
        <v>8.5</v>
      </c>
      <c r="E1866">
        <v>5.6</v>
      </c>
      <c r="F1866">
        <v>1.5</v>
      </c>
      <c r="G1866">
        <v>3.33</v>
      </c>
      <c r="H1866" t="s">
        <v>8</v>
      </c>
      <c r="I1866">
        <v>15.5</v>
      </c>
      <c r="J1866" t="s">
        <v>15</v>
      </c>
      <c r="K1866">
        <v>2.73</v>
      </c>
      <c r="L1866" t="s">
        <v>52</v>
      </c>
      <c r="M1866" s="8">
        <v>0.44</v>
      </c>
    </row>
    <row r="1867" spans="1:13" x14ac:dyDescent="0.25">
      <c r="A1867">
        <v>1866</v>
      </c>
      <c r="B1867">
        <v>5.4</v>
      </c>
      <c r="C1867">
        <v>0.8</v>
      </c>
      <c r="D1867">
        <v>7.5</v>
      </c>
      <c r="E1867">
        <v>0.1</v>
      </c>
      <c r="F1867">
        <v>10.199999999999999</v>
      </c>
      <c r="G1867">
        <v>2.86</v>
      </c>
      <c r="H1867" t="s">
        <v>9</v>
      </c>
      <c r="I1867">
        <v>16.5</v>
      </c>
      <c r="J1867" t="s">
        <v>13</v>
      </c>
      <c r="K1867">
        <v>4.68</v>
      </c>
      <c r="L1867" t="s">
        <v>52</v>
      </c>
      <c r="M1867" s="8">
        <v>0.33</v>
      </c>
    </row>
    <row r="1868" spans="1:13" x14ac:dyDescent="0.25">
      <c r="A1868">
        <v>1867</v>
      </c>
      <c r="B1868">
        <v>6.3</v>
      </c>
      <c r="C1868">
        <v>2.1</v>
      </c>
      <c r="D1868">
        <v>5.0999999999999996</v>
      </c>
      <c r="E1868">
        <v>1.6</v>
      </c>
      <c r="F1868">
        <v>8.9</v>
      </c>
      <c r="G1868">
        <v>3.49</v>
      </c>
      <c r="H1868" t="s">
        <v>10</v>
      </c>
      <c r="I1868">
        <v>18.899999999999999</v>
      </c>
      <c r="J1868" t="s">
        <v>15</v>
      </c>
      <c r="K1868">
        <v>3.49</v>
      </c>
      <c r="L1868" t="s">
        <v>52</v>
      </c>
      <c r="M1868" s="8">
        <v>0.33</v>
      </c>
    </row>
    <row r="1869" spans="1:13" x14ac:dyDescent="0.25">
      <c r="A1869">
        <v>1868</v>
      </c>
      <c r="B1869">
        <v>9.6</v>
      </c>
      <c r="C1869">
        <v>2.6</v>
      </c>
      <c r="D1869">
        <v>7.1</v>
      </c>
      <c r="E1869">
        <v>4.4000000000000004</v>
      </c>
      <c r="F1869">
        <v>0.3</v>
      </c>
      <c r="G1869">
        <v>3.54</v>
      </c>
      <c r="H1869" t="s">
        <v>10</v>
      </c>
      <c r="I1869">
        <v>16.900000000000002</v>
      </c>
      <c r="J1869" t="s">
        <v>14</v>
      </c>
      <c r="K1869">
        <v>3.96</v>
      </c>
      <c r="L1869" t="s">
        <v>52</v>
      </c>
      <c r="M1869" s="8">
        <v>0.56999999999999995</v>
      </c>
    </row>
    <row r="1870" spans="1:13" x14ac:dyDescent="0.25">
      <c r="A1870">
        <v>1869</v>
      </c>
      <c r="B1870">
        <v>8.9</v>
      </c>
      <c r="C1870">
        <v>0.8</v>
      </c>
      <c r="D1870">
        <v>5.7</v>
      </c>
      <c r="E1870">
        <v>4.0999999999999996</v>
      </c>
      <c r="F1870">
        <v>4.5</v>
      </c>
      <c r="G1870">
        <v>3.62</v>
      </c>
      <c r="H1870" t="s">
        <v>10</v>
      </c>
      <c r="I1870">
        <v>18.3</v>
      </c>
      <c r="J1870" t="s">
        <v>14</v>
      </c>
      <c r="K1870">
        <v>3.33</v>
      </c>
      <c r="L1870" t="s">
        <v>52</v>
      </c>
      <c r="M1870" s="8">
        <v>0.49</v>
      </c>
    </row>
    <row r="1871" spans="1:13" x14ac:dyDescent="0.25">
      <c r="A1871">
        <v>1870</v>
      </c>
      <c r="B1871">
        <v>8.6999999999999993</v>
      </c>
      <c r="C1871">
        <v>2.5</v>
      </c>
      <c r="D1871">
        <v>9.9</v>
      </c>
      <c r="E1871">
        <v>1.5</v>
      </c>
      <c r="F1871">
        <v>1.4</v>
      </c>
      <c r="G1871">
        <v>3.36</v>
      </c>
      <c r="H1871" t="s">
        <v>10</v>
      </c>
      <c r="I1871">
        <v>14.1</v>
      </c>
      <c r="J1871" t="s">
        <v>15</v>
      </c>
      <c r="K1871">
        <v>3.49</v>
      </c>
      <c r="L1871" t="s">
        <v>52</v>
      </c>
      <c r="M1871" s="8">
        <v>0.62</v>
      </c>
    </row>
    <row r="1872" spans="1:13" x14ac:dyDescent="0.25">
      <c r="A1872">
        <v>1871</v>
      </c>
      <c r="B1872">
        <v>5.6</v>
      </c>
      <c r="C1872">
        <v>3.3</v>
      </c>
      <c r="D1872">
        <v>6.3</v>
      </c>
      <c r="E1872">
        <v>4.7</v>
      </c>
      <c r="F1872">
        <v>4.0999999999999996</v>
      </c>
      <c r="G1872">
        <v>2.85</v>
      </c>
      <c r="H1872" t="s">
        <v>9</v>
      </c>
      <c r="I1872">
        <v>17.699999999999996</v>
      </c>
      <c r="J1872" t="s">
        <v>13</v>
      </c>
      <c r="K1872">
        <v>0.97</v>
      </c>
      <c r="L1872" t="s">
        <v>51</v>
      </c>
      <c r="M1872" s="8">
        <v>0.32</v>
      </c>
    </row>
    <row r="1873" spans="1:13" x14ac:dyDescent="0.25">
      <c r="A1873">
        <v>1872</v>
      </c>
      <c r="B1873">
        <v>8</v>
      </c>
      <c r="C1873">
        <v>1.8</v>
      </c>
      <c r="D1873">
        <v>6.8</v>
      </c>
      <c r="E1873">
        <v>2.1</v>
      </c>
      <c r="F1873">
        <v>5.3</v>
      </c>
      <c r="G1873">
        <v>3.23</v>
      </c>
      <c r="H1873" t="s">
        <v>8</v>
      </c>
      <c r="I1873">
        <v>17.2</v>
      </c>
      <c r="J1873" t="s">
        <v>15</v>
      </c>
      <c r="K1873">
        <v>2.93</v>
      </c>
      <c r="L1873" t="s">
        <v>52</v>
      </c>
      <c r="M1873" s="8">
        <v>0.47</v>
      </c>
    </row>
    <row r="1874" spans="1:13" x14ac:dyDescent="0.25">
      <c r="A1874">
        <v>1873</v>
      </c>
      <c r="B1874">
        <v>8.1999999999999993</v>
      </c>
      <c r="C1874">
        <v>3</v>
      </c>
      <c r="D1874">
        <v>8.4</v>
      </c>
      <c r="E1874">
        <v>0.9</v>
      </c>
      <c r="F1874">
        <v>3.5</v>
      </c>
      <c r="G1874">
        <v>3.52</v>
      </c>
      <c r="H1874" t="s">
        <v>10</v>
      </c>
      <c r="I1874">
        <v>15.6</v>
      </c>
      <c r="J1874" t="s">
        <v>14</v>
      </c>
      <c r="K1874">
        <v>3.08</v>
      </c>
      <c r="L1874" t="s">
        <v>52</v>
      </c>
      <c r="M1874" s="8">
        <v>0.53</v>
      </c>
    </row>
    <row r="1875" spans="1:13" x14ac:dyDescent="0.25">
      <c r="A1875">
        <v>1874</v>
      </c>
      <c r="B1875">
        <v>7.4</v>
      </c>
      <c r="C1875">
        <v>2.1</v>
      </c>
      <c r="D1875">
        <v>8.9</v>
      </c>
      <c r="E1875">
        <v>3.7</v>
      </c>
      <c r="F1875">
        <v>1.9</v>
      </c>
      <c r="G1875">
        <v>3.1</v>
      </c>
      <c r="H1875" t="s">
        <v>8</v>
      </c>
      <c r="I1875">
        <v>15.1</v>
      </c>
      <c r="J1875" t="s">
        <v>15</v>
      </c>
      <c r="K1875">
        <v>2.5499999999999998</v>
      </c>
      <c r="L1875" t="s">
        <v>52</v>
      </c>
      <c r="M1875" s="8">
        <v>0.49</v>
      </c>
    </row>
    <row r="1876" spans="1:13" x14ac:dyDescent="0.25">
      <c r="A1876">
        <v>1875</v>
      </c>
      <c r="B1876">
        <v>7</v>
      </c>
      <c r="C1876">
        <v>3.6</v>
      </c>
      <c r="D1876">
        <v>5.8</v>
      </c>
      <c r="E1876">
        <v>6</v>
      </c>
      <c r="F1876">
        <v>1.6</v>
      </c>
      <c r="G1876">
        <v>2.99</v>
      </c>
      <c r="H1876" t="s">
        <v>10</v>
      </c>
      <c r="I1876">
        <v>18.200000000000003</v>
      </c>
      <c r="J1876" t="s">
        <v>13</v>
      </c>
      <c r="K1876">
        <v>2.4300000000000002</v>
      </c>
      <c r="L1876" t="s">
        <v>52</v>
      </c>
      <c r="M1876" s="8">
        <v>0.38</v>
      </c>
    </row>
    <row r="1877" spans="1:13" x14ac:dyDescent="0.25">
      <c r="A1877">
        <v>1876</v>
      </c>
      <c r="B1877">
        <v>8.6</v>
      </c>
      <c r="C1877">
        <v>3.2</v>
      </c>
      <c r="D1877">
        <v>9.3000000000000007</v>
      </c>
      <c r="E1877">
        <v>2.9</v>
      </c>
      <c r="F1877">
        <v>0</v>
      </c>
      <c r="G1877">
        <v>3.38</v>
      </c>
      <c r="H1877" t="s">
        <v>10</v>
      </c>
      <c r="I1877">
        <v>14.700000000000001</v>
      </c>
      <c r="J1877" t="s">
        <v>15</v>
      </c>
      <c r="K1877">
        <v>3.59</v>
      </c>
      <c r="L1877" t="s">
        <v>52</v>
      </c>
      <c r="M1877" s="8">
        <v>0.59</v>
      </c>
    </row>
    <row r="1878" spans="1:13" x14ac:dyDescent="0.25">
      <c r="A1878">
        <v>1877</v>
      </c>
      <c r="B1878">
        <v>6.5</v>
      </c>
      <c r="C1878">
        <v>2.8</v>
      </c>
      <c r="D1878">
        <v>5.6</v>
      </c>
      <c r="E1878">
        <v>2.4</v>
      </c>
      <c r="F1878">
        <v>6.7</v>
      </c>
      <c r="G1878">
        <v>2.9</v>
      </c>
      <c r="H1878" t="s">
        <v>10</v>
      </c>
      <c r="I1878">
        <v>18.400000000000002</v>
      </c>
      <c r="J1878" t="s">
        <v>13</v>
      </c>
      <c r="K1878">
        <v>2.3199999999999998</v>
      </c>
      <c r="L1878" t="s">
        <v>52</v>
      </c>
      <c r="M1878" s="8">
        <v>0.35</v>
      </c>
    </row>
    <row r="1879" spans="1:13" x14ac:dyDescent="0.25">
      <c r="A1879">
        <v>1878</v>
      </c>
      <c r="B1879">
        <v>8</v>
      </c>
      <c r="C1879">
        <v>2</v>
      </c>
      <c r="D1879">
        <v>8.1999999999999993</v>
      </c>
      <c r="E1879">
        <v>5.6</v>
      </c>
      <c r="F1879">
        <v>0.2</v>
      </c>
      <c r="G1879">
        <v>3.4</v>
      </c>
      <c r="H1879" t="s">
        <v>8</v>
      </c>
      <c r="I1879">
        <v>15.799999999999999</v>
      </c>
      <c r="J1879" t="s">
        <v>15</v>
      </c>
      <c r="K1879">
        <v>3.51</v>
      </c>
      <c r="L1879" t="s">
        <v>52</v>
      </c>
      <c r="M1879" s="8">
        <v>0.51</v>
      </c>
    </row>
    <row r="1880" spans="1:13" x14ac:dyDescent="0.25">
      <c r="A1880">
        <v>1879</v>
      </c>
      <c r="B1880">
        <v>5.3</v>
      </c>
      <c r="C1880">
        <v>2.2999999999999998</v>
      </c>
      <c r="D1880">
        <v>9.3000000000000007</v>
      </c>
      <c r="E1880">
        <v>2.9</v>
      </c>
      <c r="F1880">
        <v>4.2</v>
      </c>
      <c r="G1880">
        <v>2.82</v>
      </c>
      <c r="H1880" t="s">
        <v>9</v>
      </c>
      <c r="I1880">
        <v>14.7</v>
      </c>
      <c r="J1880" t="s">
        <v>13</v>
      </c>
      <c r="K1880">
        <v>1.34</v>
      </c>
      <c r="L1880" t="s">
        <v>51</v>
      </c>
      <c r="M1880" s="8">
        <v>0.36</v>
      </c>
    </row>
    <row r="1881" spans="1:13" x14ac:dyDescent="0.25">
      <c r="A1881">
        <v>1880</v>
      </c>
      <c r="B1881">
        <v>6.7</v>
      </c>
      <c r="C1881">
        <v>0.6</v>
      </c>
      <c r="D1881">
        <v>9.1999999999999993</v>
      </c>
      <c r="E1881">
        <v>3.1</v>
      </c>
      <c r="F1881">
        <v>4.4000000000000004</v>
      </c>
      <c r="G1881">
        <v>2.85</v>
      </c>
      <c r="H1881" t="s">
        <v>8</v>
      </c>
      <c r="I1881">
        <v>14.8</v>
      </c>
      <c r="J1881" t="s">
        <v>13</v>
      </c>
      <c r="K1881">
        <v>2.5499999999999998</v>
      </c>
      <c r="L1881" t="s">
        <v>52</v>
      </c>
      <c r="M1881" s="8">
        <v>0.45</v>
      </c>
    </row>
    <row r="1882" spans="1:13" x14ac:dyDescent="0.25">
      <c r="A1882">
        <v>1881</v>
      </c>
      <c r="B1882">
        <v>9.6999999999999993</v>
      </c>
      <c r="C1882">
        <v>3.2</v>
      </c>
      <c r="D1882">
        <v>8.5</v>
      </c>
      <c r="E1882">
        <v>0</v>
      </c>
      <c r="F1882">
        <v>2.6</v>
      </c>
      <c r="G1882">
        <v>3.19</v>
      </c>
      <c r="H1882" t="s">
        <v>10</v>
      </c>
      <c r="I1882">
        <v>15.499999999999998</v>
      </c>
      <c r="J1882" t="s">
        <v>15</v>
      </c>
      <c r="K1882">
        <v>4.12</v>
      </c>
      <c r="L1882" t="s">
        <v>52</v>
      </c>
      <c r="M1882" s="8">
        <v>0.63</v>
      </c>
    </row>
    <row r="1883" spans="1:13" x14ac:dyDescent="0.25">
      <c r="A1883">
        <v>1882</v>
      </c>
      <c r="B1883">
        <v>9.6</v>
      </c>
      <c r="C1883">
        <v>0.7</v>
      </c>
      <c r="D1883">
        <v>6.4</v>
      </c>
      <c r="E1883">
        <v>3.1</v>
      </c>
      <c r="F1883">
        <v>4.2</v>
      </c>
      <c r="G1883">
        <v>3.38</v>
      </c>
      <c r="H1883" t="s">
        <v>10</v>
      </c>
      <c r="I1883">
        <v>17.599999999999998</v>
      </c>
      <c r="J1883" t="s">
        <v>15</v>
      </c>
      <c r="K1883">
        <v>3.76</v>
      </c>
      <c r="L1883" t="s">
        <v>52</v>
      </c>
      <c r="M1883" s="8">
        <v>0.55000000000000004</v>
      </c>
    </row>
    <row r="1884" spans="1:13" x14ac:dyDescent="0.25">
      <c r="A1884">
        <v>1883</v>
      </c>
      <c r="B1884">
        <v>6.3</v>
      </c>
      <c r="C1884">
        <v>0.8</v>
      </c>
      <c r="D1884">
        <v>8</v>
      </c>
      <c r="E1884">
        <v>0.5</v>
      </c>
      <c r="F1884">
        <v>8.4</v>
      </c>
      <c r="G1884">
        <v>2.91</v>
      </c>
      <c r="H1884" t="s">
        <v>8</v>
      </c>
      <c r="I1884">
        <v>16</v>
      </c>
      <c r="J1884" t="s">
        <v>13</v>
      </c>
      <c r="K1884">
        <v>3.96</v>
      </c>
      <c r="L1884" t="s">
        <v>52</v>
      </c>
      <c r="M1884" s="8">
        <v>0.39</v>
      </c>
    </row>
    <row r="1885" spans="1:13" x14ac:dyDescent="0.25">
      <c r="A1885">
        <v>1884</v>
      </c>
      <c r="B1885">
        <v>8.6</v>
      </c>
      <c r="C1885">
        <v>2.2000000000000002</v>
      </c>
      <c r="D1885">
        <v>7.1</v>
      </c>
      <c r="E1885">
        <v>3.4</v>
      </c>
      <c r="F1885">
        <v>2.7</v>
      </c>
      <c r="G1885">
        <v>3.18</v>
      </c>
      <c r="H1885" t="s">
        <v>10</v>
      </c>
      <c r="I1885">
        <v>16.900000000000002</v>
      </c>
      <c r="J1885" t="s">
        <v>15</v>
      </c>
      <c r="K1885">
        <v>2.96</v>
      </c>
      <c r="L1885" t="s">
        <v>52</v>
      </c>
      <c r="M1885" s="8">
        <v>0.51</v>
      </c>
    </row>
    <row r="1886" spans="1:13" x14ac:dyDescent="0.25">
      <c r="A1886">
        <v>1885</v>
      </c>
      <c r="B1886">
        <v>6.8</v>
      </c>
      <c r="C1886">
        <v>3.7</v>
      </c>
      <c r="D1886">
        <v>5.3</v>
      </c>
      <c r="E1886">
        <v>4</v>
      </c>
      <c r="F1886">
        <v>4.2</v>
      </c>
      <c r="G1886">
        <v>3.04</v>
      </c>
      <c r="H1886" t="s">
        <v>10</v>
      </c>
      <c r="I1886">
        <v>18.7</v>
      </c>
      <c r="J1886" t="s">
        <v>15</v>
      </c>
      <c r="K1886">
        <v>1.43</v>
      </c>
      <c r="L1886" t="s">
        <v>51</v>
      </c>
      <c r="M1886" s="8">
        <v>0.36</v>
      </c>
    </row>
    <row r="1887" spans="1:13" x14ac:dyDescent="0.25">
      <c r="A1887">
        <v>1886</v>
      </c>
      <c r="B1887">
        <v>5.9</v>
      </c>
      <c r="C1887">
        <v>1.2</v>
      </c>
      <c r="D1887">
        <v>8.6</v>
      </c>
      <c r="E1887">
        <v>0.5</v>
      </c>
      <c r="F1887">
        <v>7.8</v>
      </c>
      <c r="G1887">
        <v>2.92</v>
      </c>
      <c r="H1887" t="s">
        <v>9</v>
      </c>
      <c r="I1887">
        <v>15.4</v>
      </c>
      <c r="J1887" t="s">
        <v>13</v>
      </c>
      <c r="K1887">
        <v>3.56</v>
      </c>
      <c r="L1887" t="s">
        <v>52</v>
      </c>
      <c r="M1887" s="8">
        <v>0.38</v>
      </c>
    </row>
    <row r="1888" spans="1:13" x14ac:dyDescent="0.25">
      <c r="A1888">
        <v>1887</v>
      </c>
      <c r="B1888">
        <v>9.1</v>
      </c>
      <c r="C1888">
        <v>2.9</v>
      </c>
      <c r="D1888">
        <v>8.6</v>
      </c>
      <c r="E1888">
        <v>0.3</v>
      </c>
      <c r="F1888">
        <v>3.1</v>
      </c>
      <c r="G1888">
        <v>3.56</v>
      </c>
      <c r="H1888" t="s">
        <v>10</v>
      </c>
      <c r="I1888">
        <v>15.4</v>
      </c>
      <c r="J1888" t="s">
        <v>14</v>
      </c>
      <c r="K1888">
        <v>3.73</v>
      </c>
      <c r="L1888" t="s">
        <v>52</v>
      </c>
      <c r="M1888" s="8">
        <v>0.59</v>
      </c>
    </row>
    <row r="1889" spans="1:13" x14ac:dyDescent="0.25">
      <c r="A1889">
        <v>1888</v>
      </c>
      <c r="B1889">
        <v>9.1999999999999993</v>
      </c>
      <c r="C1889">
        <v>0.2</v>
      </c>
      <c r="D1889">
        <v>5.0999999999999996</v>
      </c>
      <c r="E1889">
        <v>2.2000000000000002</v>
      </c>
      <c r="F1889">
        <v>7.3</v>
      </c>
      <c r="G1889">
        <v>3.61</v>
      </c>
      <c r="H1889" t="s">
        <v>10</v>
      </c>
      <c r="I1889">
        <v>18.899999999999999</v>
      </c>
      <c r="J1889" t="s">
        <v>14</v>
      </c>
      <c r="K1889">
        <v>4.22</v>
      </c>
      <c r="L1889" t="s">
        <v>52</v>
      </c>
      <c r="M1889" s="8">
        <v>0.49</v>
      </c>
    </row>
    <row r="1890" spans="1:13" x14ac:dyDescent="0.25">
      <c r="A1890">
        <v>1889</v>
      </c>
      <c r="B1890">
        <v>5.7</v>
      </c>
      <c r="C1890">
        <v>2.2000000000000002</v>
      </c>
      <c r="D1890">
        <v>9.6</v>
      </c>
      <c r="E1890">
        <v>2.2999999999999998</v>
      </c>
      <c r="F1890">
        <v>4.2</v>
      </c>
      <c r="G1890">
        <v>2.98</v>
      </c>
      <c r="H1890" t="s">
        <v>9</v>
      </c>
      <c r="I1890">
        <v>14.399999999999999</v>
      </c>
      <c r="J1890" t="s">
        <v>13</v>
      </c>
      <c r="K1890">
        <v>1.68</v>
      </c>
      <c r="L1890" t="s">
        <v>52</v>
      </c>
      <c r="M1890" s="8">
        <v>0.4</v>
      </c>
    </row>
    <row r="1891" spans="1:13" x14ac:dyDescent="0.25">
      <c r="A1891">
        <v>1890</v>
      </c>
      <c r="B1891">
        <v>5.5</v>
      </c>
      <c r="C1891">
        <v>2.4</v>
      </c>
      <c r="D1891">
        <v>7.3</v>
      </c>
      <c r="E1891">
        <v>5.6</v>
      </c>
      <c r="F1891">
        <v>3.2</v>
      </c>
      <c r="G1891">
        <v>2.77</v>
      </c>
      <c r="H1891" t="s">
        <v>9</v>
      </c>
      <c r="I1891">
        <v>16.7</v>
      </c>
      <c r="J1891" t="s">
        <v>13</v>
      </c>
      <c r="K1891">
        <v>1.62</v>
      </c>
      <c r="L1891" t="s">
        <v>52</v>
      </c>
      <c r="M1891" s="8">
        <v>0.33</v>
      </c>
    </row>
    <row r="1892" spans="1:13" x14ac:dyDescent="0.25">
      <c r="A1892">
        <v>1891</v>
      </c>
      <c r="B1892">
        <v>5.6</v>
      </c>
      <c r="C1892">
        <v>0.8</v>
      </c>
      <c r="D1892">
        <v>5.0999999999999996</v>
      </c>
      <c r="E1892">
        <v>2.6</v>
      </c>
      <c r="F1892">
        <v>9.9</v>
      </c>
      <c r="G1892">
        <v>2.97</v>
      </c>
      <c r="H1892" t="s">
        <v>10</v>
      </c>
      <c r="I1892">
        <v>18.899999999999999</v>
      </c>
      <c r="J1892" t="s">
        <v>13</v>
      </c>
      <c r="K1892">
        <v>3.98</v>
      </c>
      <c r="L1892" t="s">
        <v>52</v>
      </c>
      <c r="M1892" s="8">
        <v>0.3</v>
      </c>
    </row>
    <row r="1893" spans="1:13" x14ac:dyDescent="0.25">
      <c r="A1893">
        <v>1892</v>
      </c>
      <c r="B1893">
        <v>8</v>
      </c>
      <c r="C1893">
        <v>2.5</v>
      </c>
      <c r="D1893">
        <v>7.7</v>
      </c>
      <c r="E1893">
        <v>0.5</v>
      </c>
      <c r="F1893">
        <v>5.3</v>
      </c>
      <c r="G1893">
        <v>3.12</v>
      </c>
      <c r="H1893" t="s">
        <v>8</v>
      </c>
      <c r="I1893">
        <v>16.3</v>
      </c>
      <c r="J1893" t="s">
        <v>15</v>
      </c>
      <c r="K1893">
        <v>3.27</v>
      </c>
      <c r="L1893" t="s">
        <v>52</v>
      </c>
      <c r="M1893" s="8">
        <v>0.49</v>
      </c>
    </row>
    <row r="1894" spans="1:13" x14ac:dyDescent="0.25">
      <c r="A1894">
        <v>1893</v>
      </c>
      <c r="B1894">
        <v>7.2</v>
      </c>
      <c r="C1894">
        <v>4</v>
      </c>
      <c r="D1894">
        <v>9.1999999999999993</v>
      </c>
      <c r="E1894">
        <v>3.2</v>
      </c>
      <c r="F1894">
        <v>0.4</v>
      </c>
      <c r="G1894">
        <v>2.95</v>
      </c>
      <c r="H1894" t="s">
        <v>8</v>
      </c>
      <c r="I1894">
        <v>14.799999999999999</v>
      </c>
      <c r="J1894" t="s">
        <v>13</v>
      </c>
      <c r="K1894">
        <v>2.8</v>
      </c>
      <c r="L1894" t="s">
        <v>52</v>
      </c>
      <c r="M1894" s="8">
        <v>0.49</v>
      </c>
    </row>
    <row r="1895" spans="1:13" x14ac:dyDescent="0.25">
      <c r="A1895">
        <v>1894</v>
      </c>
      <c r="B1895">
        <v>7.4</v>
      </c>
      <c r="C1895">
        <v>2.7</v>
      </c>
      <c r="D1895">
        <v>9.4</v>
      </c>
      <c r="E1895">
        <v>3.4</v>
      </c>
      <c r="F1895">
        <v>1.1000000000000001</v>
      </c>
      <c r="G1895">
        <v>3.04</v>
      </c>
      <c r="H1895" t="s">
        <v>8</v>
      </c>
      <c r="I1895">
        <v>14.600000000000001</v>
      </c>
      <c r="J1895" t="s">
        <v>15</v>
      </c>
      <c r="K1895">
        <v>2.68</v>
      </c>
      <c r="L1895" t="s">
        <v>52</v>
      </c>
      <c r="M1895" s="8">
        <v>0.51</v>
      </c>
    </row>
    <row r="1896" spans="1:13" x14ac:dyDescent="0.25">
      <c r="A1896">
        <v>1895</v>
      </c>
      <c r="B1896">
        <v>9.6999999999999993</v>
      </c>
      <c r="C1896">
        <v>0.2</v>
      </c>
      <c r="D1896">
        <v>5.0999999999999996</v>
      </c>
      <c r="E1896">
        <v>4</v>
      </c>
      <c r="F1896">
        <v>5</v>
      </c>
      <c r="G1896">
        <v>3.25</v>
      </c>
      <c r="H1896" t="s">
        <v>10</v>
      </c>
      <c r="I1896">
        <v>18.899999999999999</v>
      </c>
      <c r="J1896" t="s">
        <v>15</v>
      </c>
      <c r="K1896">
        <v>3.91</v>
      </c>
      <c r="L1896" t="s">
        <v>52</v>
      </c>
      <c r="M1896" s="8">
        <v>0.51</v>
      </c>
    </row>
    <row r="1897" spans="1:13" x14ac:dyDescent="0.25">
      <c r="A1897">
        <v>1896</v>
      </c>
      <c r="B1897">
        <v>6.7</v>
      </c>
      <c r="C1897">
        <v>1.1000000000000001</v>
      </c>
      <c r="D1897">
        <v>7.6</v>
      </c>
      <c r="E1897">
        <v>2.6</v>
      </c>
      <c r="F1897">
        <v>6</v>
      </c>
      <c r="G1897">
        <v>2.83</v>
      </c>
      <c r="H1897" t="s">
        <v>8</v>
      </c>
      <c r="I1897">
        <v>16.399999999999999</v>
      </c>
      <c r="J1897" t="s">
        <v>13</v>
      </c>
      <c r="K1897">
        <v>2.68</v>
      </c>
      <c r="L1897" t="s">
        <v>52</v>
      </c>
      <c r="M1897" s="8">
        <v>0.41</v>
      </c>
    </row>
    <row r="1898" spans="1:13" x14ac:dyDescent="0.25">
      <c r="A1898">
        <v>1897</v>
      </c>
      <c r="B1898">
        <v>7.6</v>
      </c>
      <c r="C1898">
        <v>2.7</v>
      </c>
      <c r="D1898">
        <v>6.9</v>
      </c>
      <c r="E1898">
        <v>1.5</v>
      </c>
      <c r="F1898">
        <v>5.3</v>
      </c>
      <c r="G1898">
        <v>3.05</v>
      </c>
      <c r="H1898" t="s">
        <v>8</v>
      </c>
      <c r="I1898">
        <v>17.100000000000001</v>
      </c>
      <c r="J1898" t="s">
        <v>15</v>
      </c>
      <c r="K1898">
        <v>2.73</v>
      </c>
      <c r="L1898" t="s">
        <v>52</v>
      </c>
      <c r="M1898" s="8">
        <v>0.44</v>
      </c>
    </row>
    <row r="1899" spans="1:13" x14ac:dyDescent="0.25">
      <c r="A1899">
        <v>1898</v>
      </c>
      <c r="B1899">
        <v>8.6999999999999993</v>
      </c>
      <c r="C1899">
        <v>3</v>
      </c>
      <c r="D1899">
        <v>8.3000000000000007</v>
      </c>
      <c r="E1899">
        <v>0.9</v>
      </c>
      <c r="F1899">
        <v>3.1</v>
      </c>
      <c r="G1899">
        <v>3.1</v>
      </c>
      <c r="H1899" t="s">
        <v>10</v>
      </c>
      <c r="I1899">
        <v>15.7</v>
      </c>
      <c r="J1899" t="s">
        <v>15</v>
      </c>
      <c r="K1899">
        <v>3.34</v>
      </c>
      <c r="L1899" t="s">
        <v>52</v>
      </c>
      <c r="M1899" s="8">
        <v>0.55000000000000004</v>
      </c>
    </row>
    <row r="1900" spans="1:13" x14ac:dyDescent="0.25">
      <c r="A1900">
        <v>1899</v>
      </c>
      <c r="B1900">
        <v>7.9</v>
      </c>
      <c r="C1900">
        <v>2.2999999999999998</v>
      </c>
      <c r="D1900">
        <v>7.4</v>
      </c>
      <c r="E1900">
        <v>3.3</v>
      </c>
      <c r="F1900">
        <v>3.1</v>
      </c>
      <c r="G1900">
        <v>3.75</v>
      </c>
      <c r="H1900" t="s">
        <v>8</v>
      </c>
      <c r="I1900">
        <v>16.600000000000001</v>
      </c>
      <c r="J1900" t="s">
        <v>14</v>
      </c>
      <c r="K1900">
        <v>2.54</v>
      </c>
      <c r="L1900" t="s">
        <v>52</v>
      </c>
      <c r="M1900" s="8">
        <v>0.48</v>
      </c>
    </row>
    <row r="1901" spans="1:13" x14ac:dyDescent="0.25">
      <c r="A1901">
        <v>1900</v>
      </c>
      <c r="B1901">
        <v>8.6</v>
      </c>
      <c r="C1901">
        <v>0.4</v>
      </c>
      <c r="D1901">
        <v>8.6999999999999993</v>
      </c>
      <c r="E1901">
        <v>0.8</v>
      </c>
      <c r="F1901">
        <v>5.5</v>
      </c>
      <c r="G1901">
        <v>3.22</v>
      </c>
      <c r="H1901" t="s">
        <v>10</v>
      </c>
      <c r="I1901">
        <v>15.3</v>
      </c>
      <c r="J1901" t="s">
        <v>15</v>
      </c>
      <c r="K1901">
        <v>3.94</v>
      </c>
      <c r="L1901" t="s">
        <v>52</v>
      </c>
      <c r="M1901" s="8">
        <v>0.56000000000000005</v>
      </c>
    </row>
    <row r="1902" spans="1:13" x14ac:dyDescent="0.25">
      <c r="A1902">
        <v>1901</v>
      </c>
      <c r="B1902">
        <v>5.3</v>
      </c>
      <c r="C1902">
        <v>3.9</v>
      </c>
      <c r="D1902">
        <v>9.8000000000000007</v>
      </c>
      <c r="E1902">
        <v>0.3</v>
      </c>
      <c r="F1902">
        <v>4.7</v>
      </c>
      <c r="G1902">
        <v>2.5299999999999998</v>
      </c>
      <c r="H1902" t="s">
        <v>9</v>
      </c>
      <c r="I1902">
        <v>14.2</v>
      </c>
      <c r="J1902" t="s">
        <v>13</v>
      </c>
      <c r="K1902">
        <v>2.2400000000000002</v>
      </c>
      <c r="L1902" t="s">
        <v>52</v>
      </c>
      <c r="M1902" s="8">
        <v>0.37</v>
      </c>
    </row>
    <row r="1903" spans="1:13" x14ac:dyDescent="0.25">
      <c r="A1903">
        <v>1902</v>
      </c>
      <c r="B1903">
        <v>7.4</v>
      </c>
      <c r="C1903">
        <v>3.3</v>
      </c>
      <c r="D1903">
        <v>9.8000000000000007</v>
      </c>
      <c r="E1903">
        <v>2.2000000000000002</v>
      </c>
      <c r="F1903">
        <v>1.3</v>
      </c>
      <c r="G1903">
        <v>3.06</v>
      </c>
      <c r="H1903" t="s">
        <v>8</v>
      </c>
      <c r="I1903">
        <v>14.2</v>
      </c>
      <c r="J1903" t="s">
        <v>15</v>
      </c>
      <c r="K1903">
        <v>2.69</v>
      </c>
      <c r="L1903" t="s">
        <v>52</v>
      </c>
      <c r="M1903" s="8">
        <v>0.52</v>
      </c>
    </row>
    <row r="1904" spans="1:13" x14ac:dyDescent="0.25">
      <c r="A1904">
        <v>1903</v>
      </c>
      <c r="B1904">
        <v>6.8</v>
      </c>
      <c r="C1904">
        <v>2.4</v>
      </c>
      <c r="D1904">
        <v>6.6</v>
      </c>
      <c r="E1904">
        <v>5.5</v>
      </c>
      <c r="F1904">
        <v>2.7</v>
      </c>
      <c r="G1904">
        <v>3.05</v>
      </c>
      <c r="H1904" t="s">
        <v>8</v>
      </c>
      <c r="I1904">
        <v>17.399999999999999</v>
      </c>
      <c r="J1904" t="s">
        <v>15</v>
      </c>
      <c r="K1904">
        <v>2.15</v>
      </c>
      <c r="L1904" t="s">
        <v>52</v>
      </c>
      <c r="M1904" s="8">
        <v>0.39</v>
      </c>
    </row>
    <row r="1905" spans="1:13" x14ac:dyDescent="0.25">
      <c r="A1905">
        <v>1904</v>
      </c>
      <c r="B1905">
        <v>6.6</v>
      </c>
      <c r="C1905">
        <v>1.2</v>
      </c>
      <c r="D1905">
        <v>5.2</v>
      </c>
      <c r="E1905">
        <v>4.9000000000000004</v>
      </c>
      <c r="F1905">
        <v>6.1</v>
      </c>
      <c r="G1905">
        <v>3.2</v>
      </c>
      <c r="H1905" t="s">
        <v>10</v>
      </c>
      <c r="I1905">
        <v>18.799999999999997</v>
      </c>
      <c r="J1905" t="s">
        <v>15</v>
      </c>
      <c r="K1905">
        <v>2.44</v>
      </c>
      <c r="L1905" t="s">
        <v>52</v>
      </c>
      <c r="M1905" s="8">
        <v>0.35</v>
      </c>
    </row>
    <row r="1906" spans="1:13" x14ac:dyDescent="0.25">
      <c r="A1906">
        <v>1905</v>
      </c>
      <c r="B1906">
        <v>7.3</v>
      </c>
      <c r="C1906">
        <v>1.3</v>
      </c>
      <c r="D1906">
        <v>7.4</v>
      </c>
      <c r="E1906">
        <v>4.9000000000000004</v>
      </c>
      <c r="F1906">
        <v>3.1</v>
      </c>
      <c r="G1906">
        <v>2.83</v>
      </c>
      <c r="H1906" t="s">
        <v>8</v>
      </c>
      <c r="I1906">
        <v>16.600000000000001</v>
      </c>
      <c r="J1906" t="s">
        <v>13</v>
      </c>
      <c r="K1906">
        <v>2.56</v>
      </c>
      <c r="L1906" t="s">
        <v>52</v>
      </c>
      <c r="M1906" s="8">
        <v>0.44</v>
      </c>
    </row>
    <row r="1907" spans="1:13" x14ac:dyDescent="0.25">
      <c r="A1907">
        <v>1906</v>
      </c>
      <c r="B1907">
        <v>6.9</v>
      </c>
      <c r="C1907">
        <v>1.3</v>
      </c>
      <c r="D1907">
        <v>5.9</v>
      </c>
      <c r="E1907">
        <v>3.6</v>
      </c>
      <c r="F1907">
        <v>6.3</v>
      </c>
      <c r="G1907">
        <v>2.94</v>
      </c>
      <c r="H1907" t="s">
        <v>10</v>
      </c>
      <c r="I1907">
        <v>18.100000000000001</v>
      </c>
      <c r="J1907" t="s">
        <v>13</v>
      </c>
      <c r="K1907">
        <v>2.59</v>
      </c>
      <c r="L1907" t="s">
        <v>52</v>
      </c>
      <c r="M1907" s="8">
        <v>0.38</v>
      </c>
    </row>
    <row r="1908" spans="1:13" x14ac:dyDescent="0.25">
      <c r="A1908">
        <v>1907</v>
      </c>
      <c r="B1908">
        <v>7.4</v>
      </c>
      <c r="C1908">
        <v>3.5</v>
      </c>
      <c r="D1908">
        <v>5.2</v>
      </c>
      <c r="E1908">
        <v>3.9</v>
      </c>
      <c r="F1908">
        <v>4</v>
      </c>
      <c r="G1908">
        <v>3.26</v>
      </c>
      <c r="H1908" t="s">
        <v>10</v>
      </c>
      <c r="I1908">
        <v>18.8</v>
      </c>
      <c r="J1908" t="s">
        <v>15</v>
      </c>
      <c r="K1908">
        <v>1.81</v>
      </c>
      <c r="L1908" t="s">
        <v>52</v>
      </c>
      <c r="M1908" s="8">
        <v>0.39</v>
      </c>
    </row>
    <row r="1909" spans="1:13" x14ac:dyDescent="0.25">
      <c r="A1909">
        <v>1908</v>
      </c>
      <c r="B1909">
        <v>9.4</v>
      </c>
      <c r="C1909">
        <v>2.9</v>
      </c>
      <c r="D1909">
        <v>9.6</v>
      </c>
      <c r="E1909">
        <v>0.7</v>
      </c>
      <c r="F1909">
        <v>1.4</v>
      </c>
      <c r="G1909">
        <v>3.57</v>
      </c>
      <c r="H1909" t="s">
        <v>10</v>
      </c>
      <c r="I1909">
        <v>14.4</v>
      </c>
      <c r="J1909" t="s">
        <v>14</v>
      </c>
      <c r="K1909">
        <v>3.97</v>
      </c>
      <c r="L1909" t="s">
        <v>52</v>
      </c>
      <c r="M1909" s="8">
        <v>0.65</v>
      </c>
    </row>
    <row r="1910" spans="1:13" x14ac:dyDescent="0.25">
      <c r="A1910">
        <v>1909</v>
      </c>
      <c r="B1910">
        <v>7.5</v>
      </c>
      <c r="C1910">
        <v>0.1</v>
      </c>
      <c r="D1910">
        <v>5</v>
      </c>
      <c r="E1910">
        <v>1.4</v>
      </c>
      <c r="F1910">
        <v>10</v>
      </c>
      <c r="G1910">
        <v>3.07</v>
      </c>
      <c r="H1910" t="s">
        <v>10</v>
      </c>
      <c r="I1910">
        <v>19</v>
      </c>
      <c r="J1910" t="s">
        <v>15</v>
      </c>
      <c r="K1910">
        <v>4.76</v>
      </c>
      <c r="L1910" t="s">
        <v>52</v>
      </c>
      <c r="M1910" s="8">
        <v>0.39</v>
      </c>
    </row>
    <row r="1911" spans="1:13" x14ac:dyDescent="0.25">
      <c r="A1911">
        <v>1910</v>
      </c>
      <c r="B1911">
        <v>5.9</v>
      </c>
      <c r="C1911">
        <v>0.1</v>
      </c>
      <c r="D1911">
        <v>9.5</v>
      </c>
      <c r="E1911">
        <v>0</v>
      </c>
      <c r="F1911">
        <v>8.5</v>
      </c>
      <c r="G1911">
        <v>2.79</v>
      </c>
      <c r="H1911" t="s">
        <v>9</v>
      </c>
      <c r="I1911">
        <v>14.5</v>
      </c>
      <c r="J1911" t="s">
        <v>13</v>
      </c>
      <c r="K1911">
        <v>4.26</v>
      </c>
      <c r="L1911" t="s">
        <v>52</v>
      </c>
      <c r="M1911" s="8">
        <v>0.41</v>
      </c>
    </row>
    <row r="1912" spans="1:13" x14ac:dyDescent="0.25">
      <c r="A1912">
        <v>1911</v>
      </c>
      <c r="B1912">
        <v>8.6999999999999993</v>
      </c>
      <c r="C1912">
        <v>0.6</v>
      </c>
      <c r="D1912">
        <v>9.6</v>
      </c>
      <c r="E1912">
        <v>4.5999999999999996</v>
      </c>
      <c r="F1912">
        <v>0.5</v>
      </c>
      <c r="G1912">
        <v>3.57</v>
      </c>
      <c r="H1912" t="s">
        <v>10</v>
      </c>
      <c r="I1912">
        <v>14.399999999999999</v>
      </c>
      <c r="J1912" t="s">
        <v>14</v>
      </c>
      <c r="K1912">
        <v>3.9</v>
      </c>
      <c r="L1912" t="s">
        <v>52</v>
      </c>
      <c r="M1912" s="8">
        <v>0.6</v>
      </c>
    </row>
    <row r="1913" spans="1:13" x14ac:dyDescent="0.25">
      <c r="A1913">
        <v>1912</v>
      </c>
      <c r="B1913">
        <v>5</v>
      </c>
      <c r="C1913">
        <v>3.9</v>
      </c>
      <c r="D1913">
        <v>9.4</v>
      </c>
      <c r="E1913">
        <v>5.0999999999999996</v>
      </c>
      <c r="F1913">
        <v>0.6</v>
      </c>
      <c r="G1913">
        <v>2.98</v>
      </c>
      <c r="H1913" t="s">
        <v>9</v>
      </c>
      <c r="I1913">
        <v>14.6</v>
      </c>
      <c r="J1913" t="s">
        <v>13</v>
      </c>
      <c r="K1913">
        <v>2.1</v>
      </c>
      <c r="L1913" t="s">
        <v>52</v>
      </c>
      <c r="M1913" s="8">
        <v>0.34</v>
      </c>
    </row>
    <row r="1914" spans="1:13" x14ac:dyDescent="0.25">
      <c r="A1914">
        <v>1913</v>
      </c>
      <c r="B1914">
        <v>8.3000000000000007</v>
      </c>
      <c r="C1914">
        <v>1.4</v>
      </c>
      <c r="D1914">
        <v>9.5</v>
      </c>
      <c r="E1914">
        <v>1.4</v>
      </c>
      <c r="F1914">
        <v>3.4</v>
      </c>
      <c r="G1914">
        <v>3.06</v>
      </c>
      <c r="H1914" t="s">
        <v>10</v>
      </c>
      <c r="I1914">
        <v>14.500000000000002</v>
      </c>
      <c r="J1914" t="s">
        <v>15</v>
      </c>
      <c r="K1914">
        <v>3.26</v>
      </c>
      <c r="L1914" t="s">
        <v>52</v>
      </c>
      <c r="M1914" s="8">
        <v>0.56999999999999995</v>
      </c>
    </row>
    <row r="1915" spans="1:13" x14ac:dyDescent="0.25">
      <c r="A1915">
        <v>1914</v>
      </c>
      <c r="B1915">
        <v>9.6</v>
      </c>
      <c r="C1915">
        <v>0.6</v>
      </c>
      <c r="D1915">
        <v>6.1</v>
      </c>
      <c r="E1915">
        <v>3.3</v>
      </c>
      <c r="F1915">
        <v>4.4000000000000004</v>
      </c>
      <c r="G1915">
        <v>3.47</v>
      </c>
      <c r="H1915" t="s">
        <v>10</v>
      </c>
      <c r="I1915">
        <v>17.899999999999999</v>
      </c>
      <c r="J1915" t="s">
        <v>15</v>
      </c>
      <c r="K1915">
        <v>3.77</v>
      </c>
      <c r="L1915" t="s">
        <v>52</v>
      </c>
      <c r="M1915" s="8">
        <v>0.54</v>
      </c>
    </row>
    <row r="1916" spans="1:13" x14ac:dyDescent="0.25">
      <c r="A1916">
        <v>1915</v>
      </c>
      <c r="B1916">
        <v>8.8000000000000007</v>
      </c>
      <c r="C1916">
        <v>2.5</v>
      </c>
      <c r="D1916">
        <v>6.2</v>
      </c>
      <c r="E1916">
        <v>0</v>
      </c>
      <c r="F1916">
        <v>6.5</v>
      </c>
      <c r="G1916">
        <v>3.29</v>
      </c>
      <c r="H1916" t="s">
        <v>10</v>
      </c>
      <c r="I1916">
        <v>17.8</v>
      </c>
      <c r="J1916" t="s">
        <v>15</v>
      </c>
      <c r="K1916">
        <v>3.95</v>
      </c>
      <c r="L1916" t="s">
        <v>52</v>
      </c>
      <c r="M1916" s="8">
        <v>0.49</v>
      </c>
    </row>
    <row r="1917" spans="1:13" x14ac:dyDescent="0.25">
      <c r="A1917">
        <v>1916</v>
      </c>
      <c r="B1917">
        <v>9.5</v>
      </c>
      <c r="C1917">
        <v>1.6</v>
      </c>
      <c r="D1917">
        <v>7.6</v>
      </c>
      <c r="E1917">
        <v>2.5</v>
      </c>
      <c r="F1917">
        <v>2.8</v>
      </c>
      <c r="G1917">
        <v>3.7</v>
      </c>
      <c r="H1917" t="s">
        <v>10</v>
      </c>
      <c r="I1917">
        <v>16.399999999999999</v>
      </c>
      <c r="J1917" t="s">
        <v>14</v>
      </c>
      <c r="K1917">
        <v>3.64</v>
      </c>
      <c r="L1917" t="s">
        <v>52</v>
      </c>
      <c r="M1917" s="8">
        <v>0.57999999999999996</v>
      </c>
    </row>
    <row r="1918" spans="1:13" x14ac:dyDescent="0.25">
      <c r="A1918">
        <v>1917</v>
      </c>
      <c r="B1918">
        <v>7.2</v>
      </c>
      <c r="C1918">
        <v>3.1</v>
      </c>
      <c r="D1918">
        <v>7.6</v>
      </c>
      <c r="E1918">
        <v>1.9</v>
      </c>
      <c r="F1918">
        <v>4.2</v>
      </c>
      <c r="G1918">
        <v>2.79</v>
      </c>
      <c r="H1918" t="s">
        <v>8</v>
      </c>
      <c r="I1918">
        <v>16.400000000000002</v>
      </c>
      <c r="J1918" t="s">
        <v>13</v>
      </c>
      <c r="K1918">
        <v>2.27</v>
      </c>
      <c r="L1918" t="s">
        <v>52</v>
      </c>
      <c r="M1918" s="8">
        <v>0.44</v>
      </c>
    </row>
    <row r="1919" spans="1:13" x14ac:dyDescent="0.25">
      <c r="A1919">
        <v>1918</v>
      </c>
      <c r="B1919">
        <v>5.7</v>
      </c>
      <c r="C1919">
        <v>2.6</v>
      </c>
      <c r="D1919">
        <v>8.4</v>
      </c>
      <c r="E1919">
        <v>4.5</v>
      </c>
      <c r="F1919">
        <v>2.8</v>
      </c>
      <c r="G1919">
        <v>2.94</v>
      </c>
      <c r="H1919" t="s">
        <v>9</v>
      </c>
      <c r="I1919">
        <v>15.600000000000001</v>
      </c>
      <c r="J1919" t="s">
        <v>13</v>
      </c>
      <c r="K1919">
        <v>1.47</v>
      </c>
      <c r="L1919" t="s">
        <v>51</v>
      </c>
      <c r="M1919" s="8">
        <v>0.37</v>
      </c>
    </row>
    <row r="1920" spans="1:13" x14ac:dyDescent="0.25">
      <c r="A1920">
        <v>1919</v>
      </c>
      <c r="B1920">
        <v>7.5</v>
      </c>
      <c r="C1920">
        <v>3.6</v>
      </c>
      <c r="D1920">
        <v>9.6999999999999993</v>
      </c>
      <c r="E1920">
        <v>2.6</v>
      </c>
      <c r="F1920">
        <v>0.6</v>
      </c>
      <c r="G1920">
        <v>2.84</v>
      </c>
      <c r="H1920" t="s">
        <v>8</v>
      </c>
      <c r="I1920">
        <v>14.299999999999999</v>
      </c>
      <c r="J1920" t="s">
        <v>13</v>
      </c>
      <c r="K1920">
        <v>2.9</v>
      </c>
      <c r="L1920" t="s">
        <v>52</v>
      </c>
      <c r="M1920" s="8">
        <v>0.52</v>
      </c>
    </row>
    <row r="1921" spans="1:13" x14ac:dyDescent="0.25">
      <c r="A1921">
        <v>1920</v>
      </c>
      <c r="B1921">
        <v>9.9</v>
      </c>
      <c r="C1921">
        <v>1.1000000000000001</v>
      </c>
      <c r="D1921">
        <v>6</v>
      </c>
      <c r="E1921">
        <v>2.7</v>
      </c>
      <c r="F1921">
        <v>4.3</v>
      </c>
      <c r="G1921">
        <v>3.68</v>
      </c>
      <c r="H1921" t="s">
        <v>10</v>
      </c>
      <c r="I1921">
        <v>18</v>
      </c>
      <c r="J1921" t="s">
        <v>14</v>
      </c>
      <c r="K1921">
        <v>3.83</v>
      </c>
      <c r="L1921" t="s">
        <v>52</v>
      </c>
      <c r="M1921" s="8">
        <v>0.55000000000000004</v>
      </c>
    </row>
    <row r="1922" spans="1:13" x14ac:dyDescent="0.25">
      <c r="A1922">
        <v>1921</v>
      </c>
      <c r="B1922">
        <v>5.3</v>
      </c>
      <c r="C1922">
        <v>3.9</v>
      </c>
      <c r="D1922">
        <v>7.9</v>
      </c>
      <c r="E1922">
        <v>3.3</v>
      </c>
      <c r="F1922">
        <v>3.6</v>
      </c>
      <c r="G1922">
        <v>2.79</v>
      </c>
      <c r="H1922" t="s">
        <v>9</v>
      </c>
      <c r="I1922">
        <v>16.100000000000001</v>
      </c>
      <c r="J1922" t="s">
        <v>13</v>
      </c>
      <c r="K1922">
        <v>0.88</v>
      </c>
      <c r="L1922" t="s">
        <v>51</v>
      </c>
      <c r="M1922" s="8">
        <v>0.33</v>
      </c>
    </row>
    <row r="1923" spans="1:13" x14ac:dyDescent="0.25">
      <c r="A1923">
        <v>1922</v>
      </c>
      <c r="B1923">
        <v>5.2</v>
      </c>
      <c r="C1923">
        <v>2.4</v>
      </c>
      <c r="D1923">
        <v>8.6</v>
      </c>
      <c r="E1923">
        <v>2.5</v>
      </c>
      <c r="F1923">
        <v>5.3</v>
      </c>
      <c r="G1923">
        <v>3.21</v>
      </c>
      <c r="H1923" t="s">
        <v>9</v>
      </c>
      <c r="I1923">
        <v>15.399999999999999</v>
      </c>
      <c r="J1923" t="s">
        <v>15</v>
      </c>
      <c r="K1923">
        <v>1.62</v>
      </c>
      <c r="L1923" t="s">
        <v>52</v>
      </c>
      <c r="M1923" s="8">
        <v>0.34</v>
      </c>
    </row>
    <row r="1924" spans="1:13" x14ac:dyDescent="0.25">
      <c r="A1924">
        <v>1923</v>
      </c>
      <c r="B1924">
        <v>8.8000000000000007</v>
      </c>
      <c r="C1924">
        <v>0.9</v>
      </c>
      <c r="D1924">
        <v>6.1</v>
      </c>
      <c r="E1924">
        <v>1</v>
      </c>
      <c r="F1924">
        <v>7.2</v>
      </c>
      <c r="G1924">
        <v>3.53</v>
      </c>
      <c r="H1924" t="s">
        <v>10</v>
      </c>
      <c r="I1924">
        <v>17.900000000000002</v>
      </c>
      <c r="J1924" t="s">
        <v>14</v>
      </c>
      <c r="K1924">
        <v>4.12</v>
      </c>
      <c r="L1924" t="s">
        <v>52</v>
      </c>
      <c r="M1924" s="8">
        <v>0.49</v>
      </c>
    </row>
    <row r="1925" spans="1:13" x14ac:dyDescent="0.25">
      <c r="A1925">
        <v>1924</v>
      </c>
      <c r="B1925">
        <v>9.1</v>
      </c>
      <c r="C1925">
        <v>1.5</v>
      </c>
      <c r="D1925">
        <v>7.9</v>
      </c>
      <c r="E1925">
        <v>4</v>
      </c>
      <c r="F1925">
        <v>1.5</v>
      </c>
      <c r="G1925">
        <v>3.29</v>
      </c>
      <c r="H1925" t="s">
        <v>10</v>
      </c>
      <c r="I1925">
        <v>16.100000000000001</v>
      </c>
      <c r="J1925" t="s">
        <v>15</v>
      </c>
      <c r="K1925">
        <v>3.58</v>
      </c>
      <c r="L1925" t="s">
        <v>52</v>
      </c>
      <c r="M1925" s="8">
        <v>0.56999999999999995</v>
      </c>
    </row>
    <row r="1926" spans="1:13" x14ac:dyDescent="0.25">
      <c r="A1926">
        <v>1925</v>
      </c>
      <c r="B1926">
        <v>6.2</v>
      </c>
      <c r="C1926">
        <v>0.7</v>
      </c>
      <c r="D1926">
        <v>9.9</v>
      </c>
      <c r="E1926">
        <v>3.7</v>
      </c>
      <c r="F1926">
        <v>3.5</v>
      </c>
      <c r="G1926">
        <v>2.73</v>
      </c>
      <c r="H1926" t="s">
        <v>8</v>
      </c>
      <c r="I1926">
        <v>14.100000000000001</v>
      </c>
      <c r="J1926" t="s">
        <v>13</v>
      </c>
      <c r="K1926">
        <v>2.25</v>
      </c>
      <c r="L1926" t="s">
        <v>52</v>
      </c>
      <c r="M1926" s="8">
        <v>0.44</v>
      </c>
    </row>
    <row r="1927" spans="1:13" x14ac:dyDescent="0.25">
      <c r="A1927">
        <v>1926</v>
      </c>
      <c r="B1927">
        <v>6.3</v>
      </c>
      <c r="C1927">
        <v>2</v>
      </c>
      <c r="D1927">
        <v>6.6</v>
      </c>
      <c r="E1927">
        <v>1</v>
      </c>
      <c r="F1927">
        <v>8.1</v>
      </c>
      <c r="G1927">
        <v>3.09</v>
      </c>
      <c r="H1927" t="s">
        <v>8</v>
      </c>
      <c r="I1927">
        <v>17.399999999999999</v>
      </c>
      <c r="J1927" t="s">
        <v>15</v>
      </c>
      <c r="K1927">
        <v>3.4</v>
      </c>
      <c r="L1927" t="s">
        <v>52</v>
      </c>
      <c r="M1927" s="8">
        <v>0.36</v>
      </c>
    </row>
    <row r="1928" spans="1:13" x14ac:dyDescent="0.25">
      <c r="A1928">
        <v>1927</v>
      </c>
      <c r="B1928">
        <v>6.3</v>
      </c>
      <c r="C1928">
        <v>0.1</v>
      </c>
      <c r="D1928">
        <v>8.5</v>
      </c>
      <c r="E1928">
        <v>3</v>
      </c>
      <c r="F1928">
        <v>6.1</v>
      </c>
      <c r="G1928">
        <v>2.99</v>
      </c>
      <c r="H1928" t="s">
        <v>8</v>
      </c>
      <c r="I1928">
        <v>15.499999999999998</v>
      </c>
      <c r="J1928" t="s">
        <v>13</v>
      </c>
      <c r="K1928">
        <v>2.94</v>
      </c>
      <c r="L1928" t="s">
        <v>52</v>
      </c>
      <c r="M1928" s="8">
        <v>0.41</v>
      </c>
    </row>
    <row r="1929" spans="1:13" x14ac:dyDescent="0.25">
      <c r="A1929">
        <v>1928</v>
      </c>
      <c r="B1929">
        <v>5.5</v>
      </c>
      <c r="C1929">
        <v>3</v>
      </c>
      <c r="D1929">
        <v>5.0999999999999996</v>
      </c>
      <c r="E1929">
        <v>1.5</v>
      </c>
      <c r="F1929">
        <v>8.9</v>
      </c>
      <c r="G1929">
        <v>2.66</v>
      </c>
      <c r="H1929" t="s">
        <v>10</v>
      </c>
      <c r="I1929">
        <v>18.899999999999999</v>
      </c>
      <c r="J1929" t="s">
        <v>13</v>
      </c>
      <c r="K1929">
        <v>3.24</v>
      </c>
      <c r="L1929" t="s">
        <v>52</v>
      </c>
      <c r="M1929" s="8">
        <v>0.28999999999999998</v>
      </c>
    </row>
    <row r="1930" spans="1:13" x14ac:dyDescent="0.25">
      <c r="A1930">
        <v>1929</v>
      </c>
      <c r="B1930">
        <v>9.5</v>
      </c>
      <c r="C1930">
        <v>2.9</v>
      </c>
      <c r="D1930">
        <v>5.4</v>
      </c>
      <c r="E1930">
        <v>4.9000000000000004</v>
      </c>
      <c r="F1930">
        <v>1.3</v>
      </c>
      <c r="G1930">
        <v>3.67</v>
      </c>
      <c r="H1930" t="s">
        <v>10</v>
      </c>
      <c r="I1930">
        <v>18.600000000000001</v>
      </c>
      <c r="J1930" t="s">
        <v>14</v>
      </c>
      <c r="K1930">
        <v>3.55</v>
      </c>
      <c r="L1930" t="s">
        <v>52</v>
      </c>
      <c r="M1930" s="8">
        <v>0.51</v>
      </c>
    </row>
    <row r="1931" spans="1:13" x14ac:dyDescent="0.25">
      <c r="A1931">
        <v>1930</v>
      </c>
      <c r="B1931">
        <v>8</v>
      </c>
      <c r="C1931">
        <v>2.7</v>
      </c>
      <c r="D1931">
        <v>10</v>
      </c>
      <c r="E1931">
        <v>0.8</v>
      </c>
      <c r="F1931">
        <v>2.5</v>
      </c>
      <c r="G1931">
        <v>3.2</v>
      </c>
      <c r="H1931" t="s">
        <v>8</v>
      </c>
      <c r="I1931">
        <v>14</v>
      </c>
      <c r="J1931" t="s">
        <v>15</v>
      </c>
      <c r="K1931">
        <v>3.12</v>
      </c>
      <c r="L1931" t="s">
        <v>52</v>
      </c>
      <c r="M1931" s="8">
        <v>0.56999999999999995</v>
      </c>
    </row>
    <row r="1932" spans="1:13" x14ac:dyDescent="0.25">
      <c r="A1932">
        <v>1931</v>
      </c>
      <c r="B1932">
        <v>8.1</v>
      </c>
      <c r="C1932">
        <v>1.8</v>
      </c>
      <c r="D1932">
        <v>5.2</v>
      </c>
      <c r="E1932">
        <v>0.1</v>
      </c>
      <c r="F1932">
        <v>8.8000000000000007</v>
      </c>
      <c r="G1932">
        <v>3.28</v>
      </c>
      <c r="H1932" t="s">
        <v>10</v>
      </c>
      <c r="I1932">
        <v>18.8</v>
      </c>
      <c r="J1932" t="s">
        <v>15</v>
      </c>
      <c r="K1932">
        <v>4.3899999999999997</v>
      </c>
      <c r="L1932" t="s">
        <v>52</v>
      </c>
      <c r="M1932" s="8">
        <v>0.43</v>
      </c>
    </row>
    <row r="1933" spans="1:13" x14ac:dyDescent="0.25">
      <c r="A1933">
        <v>1932</v>
      </c>
      <c r="B1933">
        <v>7.8</v>
      </c>
      <c r="C1933">
        <v>2.2000000000000002</v>
      </c>
      <c r="D1933">
        <v>5.2</v>
      </c>
      <c r="E1933">
        <v>2.8</v>
      </c>
      <c r="F1933">
        <v>6</v>
      </c>
      <c r="G1933">
        <v>3</v>
      </c>
      <c r="H1933" t="s">
        <v>10</v>
      </c>
      <c r="I1933">
        <v>18.8</v>
      </c>
      <c r="J1933" t="s">
        <v>15</v>
      </c>
      <c r="K1933">
        <v>2.66</v>
      </c>
      <c r="L1933" t="s">
        <v>52</v>
      </c>
      <c r="M1933" s="8">
        <v>0.41</v>
      </c>
    </row>
    <row r="1934" spans="1:13" x14ac:dyDescent="0.25">
      <c r="A1934">
        <v>1933</v>
      </c>
      <c r="B1934">
        <v>9.6</v>
      </c>
      <c r="C1934">
        <v>1.6</v>
      </c>
      <c r="D1934">
        <v>8.1</v>
      </c>
      <c r="E1934">
        <v>3.7</v>
      </c>
      <c r="F1934">
        <v>1</v>
      </c>
      <c r="G1934">
        <v>3.46</v>
      </c>
      <c r="H1934" t="s">
        <v>10</v>
      </c>
      <c r="I1934">
        <v>15.899999999999999</v>
      </c>
      <c r="J1934" t="s">
        <v>15</v>
      </c>
      <c r="K1934">
        <v>3.92</v>
      </c>
      <c r="L1934" t="s">
        <v>52</v>
      </c>
      <c r="M1934" s="8">
        <v>0.6</v>
      </c>
    </row>
    <row r="1935" spans="1:13" x14ac:dyDescent="0.25">
      <c r="A1935">
        <v>1934</v>
      </c>
      <c r="B1935">
        <v>9.3000000000000007</v>
      </c>
      <c r="C1935">
        <v>1.6</v>
      </c>
      <c r="D1935">
        <v>9.4</v>
      </c>
      <c r="E1935">
        <v>0.9</v>
      </c>
      <c r="F1935">
        <v>2.8</v>
      </c>
      <c r="G1935">
        <v>3.69</v>
      </c>
      <c r="H1935" t="s">
        <v>10</v>
      </c>
      <c r="I1935">
        <v>14.600000000000001</v>
      </c>
      <c r="J1935" t="s">
        <v>14</v>
      </c>
      <c r="K1935">
        <v>3.85</v>
      </c>
      <c r="L1935" t="s">
        <v>52</v>
      </c>
      <c r="M1935" s="8">
        <v>0.64</v>
      </c>
    </row>
    <row r="1936" spans="1:13" x14ac:dyDescent="0.25">
      <c r="A1936">
        <v>1935</v>
      </c>
      <c r="B1936">
        <v>6.4</v>
      </c>
      <c r="C1936">
        <v>0.2</v>
      </c>
      <c r="D1936">
        <v>9</v>
      </c>
      <c r="E1936">
        <v>2.5</v>
      </c>
      <c r="F1936">
        <v>5.9</v>
      </c>
      <c r="G1936">
        <v>2.81</v>
      </c>
      <c r="H1936" t="s">
        <v>8</v>
      </c>
      <c r="I1936">
        <v>15.000000000000002</v>
      </c>
      <c r="J1936" t="s">
        <v>13</v>
      </c>
      <c r="K1936">
        <v>2.93</v>
      </c>
      <c r="L1936" t="s">
        <v>52</v>
      </c>
      <c r="M1936" s="8">
        <v>0.43</v>
      </c>
    </row>
    <row r="1937" spans="1:13" x14ac:dyDescent="0.25">
      <c r="A1937">
        <v>1936</v>
      </c>
      <c r="B1937">
        <v>9.5</v>
      </c>
      <c r="C1937">
        <v>3.3</v>
      </c>
      <c r="D1937">
        <v>7.8</v>
      </c>
      <c r="E1937">
        <v>2.1</v>
      </c>
      <c r="F1937">
        <v>1.3</v>
      </c>
      <c r="G1937">
        <v>3.28</v>
      </c>
      <c r="H1937" t="s">
        <v>10</v>
      </c>
      <c r="I1937">
        <v>16.2</v>
      </c>
      <c r="J1937" t="s">
        <v>15</v>
      </c>
      <c r="K1937">
        <v>3.73</v>
      </c>
      <c r="L1937" t="s">
        <v>52</v>
      </c>
      <c r="M1937" s="8">
        <v>0.59</v>
      </c>
    </row>
    <row r="1938" spans="1:13" x14ac:dyDescent="0.25">
      <c r="A1938">
        <v>1937</v>
      </c>
      <c r="B1938">
        <v>7.4</v>
      </c>
      <c r="C1938">
        <v>1.6</v>
      </c>
      <c r="D1938">
        <v>9.6</v>
      </c>
      <c r="E1938">
        <v>0.7</v>
      </c>
      <c r="F1938">
        <v>4.7</v>
      </c>
      <c r="G1938">
        <v>2.75</v>
      </c>
      <c r="H1938" t="s">
        <v>8</v>
      </c>
      <c r="I1938">
        <v>14.399999999999999</v>
      </c>
      <c r="J1938" t="s">
        <v>13</v>
      </c>
      <c r="K1938">
        <v>3.06</v>
      </c>
      <c r="L1938" t="s">
        <v>52</v>
      </c>
      <c r="M1938" s="8">
        <v>0.51</v>
      </c>
    </row>
    <row r="1939" spans="1:13" x14ac:dyDescent="0.25">
      <c r="A1939">
        <v>1938</v>
      </c>
      <c r="B1939">
        <v>7.5</v>
      </c>
      <c r="C1939">
        <v>1.8</v>
      </c>
      <c r="D1939">
        <v>7.6</v>
      </c>
      <c r="E1939">
        <v>0.8</v>
      </c>
      <c r="F1939">
        <v>6.3</v>
      </c>
      <c r="G1939">
        <v>2.93</v>
      </c>
      <c r="H1939" t="s">
        <v>8</v>
      </c>
      <c r="I1939">
        <v>16.400000000000002</v>
      </c>
      <c r="J1939" t="s">
        <v>13</v>
      </c>
      <c r="K1939">
        <v>3.3</v>
      </c>
      <c r="L1939" t="s">
        <v>52</v>
      </c>
      <c r="M1939" s="8">
        <v>0.46</v>
      </c>
    </row>
    <row r="1940" spans="1:13" x14ac:dyDescent="0.25">
      <c r="A1940">
        <v>1939</v>
      </c>
      <c r="B1940">
        <v>7.6</v>
      </c>
      <c r="C1940">
        <v>1</v>
      </c>
      <c r="D1940">
        <v>5.9</v>
      </c>
      <c r="E1940">
        <v>0.4</v>
      </c>
      <c r="F1940">
        <v>9.1</v>
      </c>
      <c r="G1940">
        <v>3.06</v>
      </c>
      <c r="H1940" t="s">
        <v>10</v>
      </c>
      <c r="I1940">
        <v>18.100000000000001</v>
      </c>
      <c r="J1940" t="s">
        <v>15</v>
      </c>
      <c r="K1940">
        <v>4.47</v>
      </c>
      <c r="L1940" t="s">
        <v>52</v>
      </c>
      <c r="M1940" s="8">
        <v>0.42</v>
      </c>
    </row>
    <row r="1941" spans="1:13" x14ac:dyDescent="0.25">
      <c r="A1941">
        <v>1940</v>
      </c>
      <c r="B1941">
        <v>8.1</v>
      </c>
      <c r="C1941">
        <v>2.9</v>
      </c>
      <c r="D1941">
        <v>8.4</v>
      </c>
      <c r="E1941">
        <v>2.2000000000000002</v>
      </c>
      <c r="F1941">
        <v>2.4</v>
      </c>
      <c r="G1941">
        <v>3.52</v>
      </c>
      <c r="H1941" t="s">
        <v>10</v>
      </c>
      <c r="I1941">
        <v>15.6</v>
      </c>
      <c r="J1941" t="s">
        <v>14</v>
      </c>
      <c r="K1941">
        <v>2.82</v>
      </c>
      <c r="L1941" t="s">
        <v>52</v>
      </c>
      <c r="M1941" s="8">
        <v>0.52</v>
      </c>
    </row>
    <row r="1942" spans="1:13" x14ac:dyDescent="0.25">
      <c r="A1942">
        <v>1941</v>
      </c>
      <c r="B1942">
        <v>6.9</v>
      </c>
      <c r="C1942">
        <v>1.5</v>
      </c>
      <c r="D1942">
        <v>8.1999999999999993</v>
      </c>
      <c r="E1942">
        <v>3</v>
      </c>
      <c r="F1942">
        <v>4.4000000000000004</v>
      </c>
      <c r="G1942">
        <v>2.99</v>
      </c>
      <c r="H1942" t="s">
        <v>8</v>
      </c>
      <c r="I1942">
        <v>15.8</v>
      </c>
      <c r="J1942" t="s">
        <v>13</v>
      </c>
      <c r="K1942">
        <v>2.2999999999999998</v>
      </c>
      <c r="L1942" t="s">
        <v>52</v>
      </c>
      <c r="M1942" s="8">
        <v>0.44</v>
      </c>
    </row>
    <row r="1943" spans="1:13" x14ac:dyDescent="0.25">
      <c r="A1943">
        <v>1942</v>
      </c>
      <c r="B1943">
        <v>8.1999999999999993</v>
      </c>
      <c r="C1943">
        <v>1.2</v>
      </c>
      <c r="D1943">
        <v>5.0999999999999996</v>
      </c>
      <c r="E1943">
        <v>5.3</v>
      </c>
      <c r="F1943">
        <v>4.2</v>
      </c>
      <c r="G1943">
        <v>3.19</v>
      </c>
      <c r="H1943" t="s">
        <v>10</v>
      </c>
      <c r="I1943">
        <v>18.899999999999999</v>
      </c>
      <c r="J1943" t="s">
        <v>15</v>
      </c>
      <c r="K1943">
        <v>2.89</v>
      </c>
      <c r="L1943" t="s">
        <v>52</v>
      </c>
      <c r="M1943" s="8">
        <v>0.43</v>
      </c>
    </row>
    <row r="1944" spans="1:13" x14ac:dyDescent="0.25">
      <c r="A1944">
        <v>1943</v>
      </c>
      <c r="B1944">
        <v>6.1</v>
      </c>
      <c r="C1944">
        <v>3.7</v>
      </c>
      <c r="D1944">
        <v>8.6</v>
      </c>
      <c r="E1944">
        <v>4.3</v>
      </c>
      <c r="F1944">
        <v>1.3</v>
      </c>
      <c r="G1944">
        <v>2.79</v>
      </c>
      <c r="H1944" t="s">
        <v>8</v>
      </c>
      <c r="I1944">
        <v>15.400000000000002</v>
      </c>
      <c r="J1944" t="s">
        <v>13</v>
      </c>
      <c r="K1944">
        <v>1.98</v>
      </c>
      <c r="L1944" t="s">
        <v>52</v>
      </c>
      <c r="M1944" s="8">
        <v>0.4</v>
      </c>
    </row>
    <row r="1945" spans="1:13" x14ac:dyDescent="0.25">
      <c r="A1945">
        <v>1944</v>
      </c>
      <c r="B1945">
        <v>7.6</v>
      </c>
      <c r="C1945">
        <v>0.7</v>
      </c>
      <c r="D1945">
        <v>6.5</v>
      </c>
      <c r="E1945">
        <v>1.9</v>
      </c>
      <c r="F1945">
        <v>7.3</v>
      </c>
      <c r="G1945">
        <v>3</v>
      </c>
      <c r="H1945" t="s">
        <v>8</v>
      </c>
      <c r="I1945">
        <v>17.5</v>
      </c>
      <c r="J1945" t="s">
        <v>15</v>
      </c>
      <c r="K1945">
        <v>3.59</v>
      </c>
      <c r="L1945" t="s">
        <v>52</v>
      </c>
      <c r="M1945" s="8">
        <v>0.43</v>
      </c>
    </row>
    <row r="1946" spans="1:13" x14ac:dyDescent="0.25">
      <c r="A1946">
        <v>1945</v>
      </c>
      <c r="B1946">
        <v>5.8</v>
      </c>
      <c r="C1946">
        <v>0.8</v>
      </c>
      <c r="D1946">
        <v>8.9</v>
      </c>
      <c r="E1946">
        <v>1</v>
      </c>
      <c r="F1946">
        <v>7.5</v>
      </c>
      <c r="G1946">
        <v>2.89</v>
      </c>
      <c r="H1946" t="s">
        <v>9</v>
      </c>
      <c r="I1946">
        <v>15.1</v>
      </c>
      <c r="J1946" t="s">
        <v>13</v>
      </c>
      <c r="K1946">
        <v>3.39</v>
      </c>
      <c r="L1946" t="s">
        <v>52</v>
      </c>
      <c r="M1946" s="8">
        <v>0.38</v>
      </c>
    </row>
    <row r="1947" spans="1:13" x14ac:dyDescent="0.25">
      <c r="A1947">
        <v>1946</v>
      </c>
      <c r="B1947">
        <v>9.9</v>
      </c>
      <c r="C1947">
        <v>1.3</v>
      </c>
      <c r="D1947">
        <v>5.6</v>
      </c>
      <c r="E1947">
        <v>3.4</v>
      </c>
      <c r="F1947">
        <v>3.8</v>
      </c>
      <c r="G1947">
        <v>3.43</v>
      </c>
      <c r="H1947" t="s">
        <v>10</v>
      </c>
      <c r="I1947">
        <v>18.400000000000002</v>
      </c>
      <c r="J1947" t="s">
        <v>15</v>
      </c>
      <c r="K1947">
        <v>3.7</v>
      </c>
      <c r="L1947" t="s">
        <v>52</v>
      </c>
      <c r="M1947" s="8">
        <v>0.54</v>
      </c>
    </row>
    <row r="1948" spans="1:13" x14ac:dyDescent="0.25">
      <c r="A1948">
        <v>1947</v>
      </c>
      <c r="B1948">
        <v>9.5</v>
      </c>
      <c r="C1948">
        <v>3.1</v>
      </c>
      <c r="D1948">
        <v>8.1</v>
      </c>
      <c r="E1948">
        <v>1</v>
      </c>
      <c r="F1948">
        <v>2.2999999999999998</v>
      </c>
      <c r="G1948">
        <v>3.25</v>
      </c>
      <c r="H1948" t="s">
        <v>10</v>
      </c>
      <c r="I1948">
        <v>15.899999999999999</v>
      </c>
      <c r="J1948" t="s">
        <v>15</v>
      </c>
      <c r="K1948">
        <v>3.78</v>
      </c>
      <c r="L1948" t="s">
        <v>52</v>
      </c>
      <c r="M1948" s="8">
        <v>0.6</v>
      </c>
    </row>
    <row r="1949" spans="1:13" x14ac:dyDescent="0.25">
      <c r="A1949">
        <v>1948</v>
      </c>
      <c r="B1949">
        <v>8.4</v>
      </c>
      <c r="C1949">
        <v>2.9</v>
      </c>
      <c r="D1949">
        <v>9.8000000000000007</v>
      </c>
      <c r="E1949">
        <v>0.8</v>
      </c>
      <c r="F1949">
        <v>2.1</v>
      </c>
      <c r="G1949">
        <v>3.28</v>
      </c>
      <c r="H1949" t="s">
        <v>10</v>
      </c>
      <c r="I1949">
        <v>14.200000000000001</v>
      </c>
      <c r="J1949" t="s">
        <v>15</v>
      </c>
      <c r="K1949">
        <v>3.35</v>
      </c>
      <c r="L1949" t="s">
        <v>52</v>
      </c>
      <c r="M1949" s="8">
        <v>0.59</v>
      </c>
    </row>
    <row r="1950" spans="1:13" x14ac:dyDescent="0.25">
      <c r="A1950">
        <v>1949</v>
      </c>
      <c r="B1950">
        <v>5.0999999999999996</v>
      </c>
      <c r="C1950">
        <v>2.2000000000000002</v>
      </c>
      <c r="D1950">
        <v>8.5</v>
      </c>
      <c r="E1950">
        <v>4.7</v>
      </c>
      <c r="F1950">
        <v>3.5</v>
      </c>
      <c r="G1950">
        <v>2.64</v>
      </c>
      <c r="H1950" t="s">
        <v>9</v>
      </c>
      <c r="I1950">
        <v>15.5</v>
      </c>
      <c r="J1950" t="s">
        <v>13</v>
      </c>
      <c r="K1950">
        <v>1.31</v>
      </c>
      <c r="L1950" t="s">
        <v>51</v>
      </c>
      <c r="M1950" s="8">
        <v>0.33</v>
      </c>
    </row>
    <row r="1951" spans="1:13" x14ac:dyDescent="0.25">
      <c r="A1951">
        <v>1950</v>
      </c>
      <c r="B1951">
        <v>7.6</v>
      </c>
      <c r="C1951">
        <v>1.3</v>
      </c>
      <c r="D1951">
        <v>9.3000000000000007</v>
      </c>
      <c r="E1951">
        <v>2.7</v>
      </c>
      <c r="F1951">
        <v>3.1</v>
      </c>
      <c r="G1951">
        <v>2.98</v>
      </c>
      <c r="H1951" t="s">
        <v>8</v>
      </c>
      <c r="I1951">
        <v>14.700000000000001</v>
      </c>
      <c r="J1951" t="s">
        <v>13</v>
      </c>
      <c r="K1951">
        <v>2.73</v>
      </c>
      <c r="L1951" t="s">
        <v>52</v>
      </c>
      <c r="M1951" s="8">
        <v>0.52</v>
      </c>
    </row>
    <row r="1952" spans="1:13" x14ac:dyDescent="0.25">
      <c r="A1952">
        <v>1951</v>
      </c>
      <c r="B1952">
        <v>9</v>
      </c>
      <c r="C1952">
        <v>2.2999999999999998</v>
      </c>
      <c r="D1952">
        <v>8.9</v>
      </c>
      <c r="E1952">
        <v>1.3</v>
      </c>
      <c r="F1952">
        <v>2.5</v>
      </c>
      <c r="G1952">
        <v>3.24</v>
      </c>
      <c r="H1952" t="s">
        <v>10</v>
      </c>
      <c r="I1952">
        <v>15.100000000000001</v>
      </c>
      <c r="J1952" t="s">
        <v>15</v>
      </c>
      <c r="K1952">
        <v>3.52</v>
      </c>
      <c r="L1952" t="s">
        <v>52</v>
      </c>
      <c r="M1952" s="8">
        <v>0.6</v>
      </c>
    </row>
    <row r="1953" spans="1:13" x14ac:dyDescent="0.25">
      <c r="A1953">
        <v>1952</v>
      </c>
      <c r="B1953">
        <v>7.7</v>
      </c>
      <c r="C1953">
        <v>0.9</v>
      </c>
      <c r="D1953">
        <v>7.4</v>
      </c>
      <c r="E1953">
        <v>1.9</v>
      </c>
      <c r="F1953">
        <v>6.1</v>
      </c>
      <c r="G1953">
        <v>3.31</v>
      </c>
      <c r="H1953" t="s">
        <v>8</v>
      </c>
      <c r="I1953">
        <v>16.600000000000001</v>
      </c>
      <c r="J1953" t="s">
        <v>15</v>
      </c>
      <c r="K1953">
        <v>3.27</v>
      </c>
      <c r="L1953" t="s">
        <v>52</v>
      </c>
      <c r="M1953" s="8">
        <v>0.46</v>
      </c>
    </row>
    <row r="1954" spans="1:13" x14ac:dyDescent="0.25">
      <c r="A1954">
        <v>1953</v>
      </c>
      <c r="B1954">
        <v>6.3</v>
      </c>
      <c r="C1954">
        <v>3.9</v>
      </c>
      <c r="D1954">
        <v>5.8</v>
      </c>
      <c r="E1954">
        <v>4.7</v>
      </c>
      <c r="F1954">
        <v>3.3</v>
      </c>
      <c r="G1954">
        <v>2.73</v>
      </c>
      <c r="H1954" t="s">
        <v>10</v>
      </c>
      <c r="I1954">
        <v>18.2</v>
      </c>
      <c r="J1954" t="s">
        <v>13</v>
      </c>
      <c r="K1954">
        <v>1.3</v>
      </c>
      <c r="L1954" t="s">
        <v>51</v>
      </c>
      <c r="M1954" s="8">
        <v>0.35</v>
      </c>
    </row>
    <row r="1955" spans="1:13" x14ac:dyDescent="0.25">
      <c r="A1955">
        <v>1954</v>
      </c>
      <c r="B1955">
        <v>5.2</v>
      </c>
      <c r="C1955">
        <v>1.6</v>
      </c>
      <c r="D1955">
        <v>9.6999999999999993</v>
      </c>
      <c r="E1955">
        <v>0.1</v>
      </c>
      <c r="F1955">
        <v>7.4</v>
      </c>
      <c r="G1955">
        <v>2.95</v>
      </c>
      <c r="H1955" t="s">
        <v>9</v>
      </c>
      <c r="I1955">
        <v>14.3</v>
      </c>
      <c r="J1955" t="s">
        <v>13</v>
      </c>
      <c r="K1955">
        <v>3.33</v>
      </c>
      <c r="L1955" t="s">
        <v>52</v>
      </c>
      <c r="M1955" s="8">
        <v>0.36</v>
      </c>
    </row>
    <row r="1956" spans="1:13" x14ac:dyDescent="0.25">
      <c r="A1956">
        <v>1955</v>
      </c>
      <c r="B1956">
        <v>7.9</v>
      </c>
      <c r="C1956">
        <v>2</v>
      </c>
      <c r="D1956">
        <v>9.4</v>
      </c>
      <c r="E1956">
        <v>0.4</v>
      </c>
      <c r="F1956">
        <v>4.3</v>
      </c>
      <c r="G1956">
        <v>3.42</v>
      </c>
      <c r="H1956" t="s">
        <v>8</v>
      </c>
      <c r="I1956">
        <v>14.600000000000001</v>
      </c>
      <c r="J1956" t="s">
        <v>15</v>
      </c>
      <c r="K1956">
        <v>3.25</v>
      </c>
      <c r="L1956" t="s">
        <v>52</v>
      </c>
      <c r="M1956" s="8">
        <v>0.54</v>
      </c>
    </row>
    <row r="1957" spans="1:13" x14ac:dyDescent="0.25">
      <c r="A1957">
        <v>1956</v>
      </c>
      <c r="B1957">
        <v>8.3000000000000007</v>
      </c>
      <c r="C1957">
        <v>3.8</v>
      </c>
      <c r="D1957">
        <v>9.1</v>
      </c>
      <c r="E1957">
        <v>0.1</v>
      </c>
      <c r="F1957">
        <v>2.7</v>
      </c>
      <c r="G1957">
        <v>3.48</v>
      </c>
      <c r="H1957" t="s">
        <v>10</v>
      </c>
      <c r="I1957">
        <v>14.900000000000002</v>
      </c>
      <c r="J1957" t="s">
        <v>15</v>
      </c>
      <c r="K1957">
        <v>3.42</v>
      </c>
      <c r="L1957" t="s">
        <v>52</v>
      </c>
      <c r="M1957" s="8">
        <v>0.56000000000000005</v>
      </c>
    </row>
    <row r="1958" spans="1:13" x14ac:dyDescent="0.25">
      <c r="A1958">
        <v>1957</v>
      </c>
      <c r="B1958">
        <v>7.4</v>
      </c>
      <c r="C1958">
        <v>1.6</v>
      </c>
      <c r="D1958">
        <v>6.6</v>
      </c>
      <c r="E1958">
        <v>2.7</v>
      </c>
      <c r="F1958">
        <v>5.7</v>
      </c>
      <c r="G1958">
        <v>2.88</v>
      </c>
      <c r="H1958" t="s">
        <v>8</v>
      </c>
      <c r="I1958">
        <v>17.399999999999999</v>
      </c>
      <c r="J1958" t="s">
        <v>13</v>
      </c>
      <c r="K1958">
        <v>2.67</v>
      </c>
      <c r="L1958" t="s">
        <v>52</v>
      </c>
      <c r="M1958" s="8">
        <v>0.43</v>
      </c>
    </row>
    <row r="1959" spans="1:13" x14ac:dyDescent="0.25">
      <c r="A1959">
        <v>1958</v>
      </c>
      <c r="B1959">
        <v>9.9</v>
      </c>
      <c r="C1959">
        <v>0.4</v>
      </c>
      <c r="D1959">
        <v>9.6</v>
      </c>
      <c r="E1959">
        <v>2</v>
      </c>
      <c r="F1959">
        <v>2.1</v>
      </c>
      <c r="G1959">
        <v>3.09</v>
      </c>
      <c r="H1959" t="s">
        <v>10</v>
      </c>
      <c r="I1959">
        <v>14.4</v>
      </c>
      <c r="J1959" t="s">
        <v>15</v>
      </c>
      <c r="K1959">
        <v>4.2699999999999996</v>
      </c>
      <c r="L1959" t="s">
        <v>52</v>
      </c>
      <c r="M1959" s="8">
        <v>0.69</v>
      </c>
    </row>
    <row r="1960" spans="1:13" x14ac:dyDescent="0.25">
      <c r="A1960">
        <v>1959</v>
      </c>
      <c r="B1960">
        <v>8.1</v>
      </c>
      <c r="C1960">
        <v>3.3</v>
      </c>
      <c r="D1960">
        <v>6.8</v>
      </c>
      <c r="E1960">
        <v>2.5</v>
      </c>
      <c r="F1960">
        <v>3.3</v>
      </c>
      <c r="G1960">
        <v>2.86</v>
      </c>
      <c r="H1960" t="s">
        <v>10</v>
      </c>
      <c r="I1960">
        <v>17.2</v>
      </c>
      <c r="J1960" t="s">
        <v>13</v>
      </c>
      <c r="K1960">
        <v>2.56</v>
      </c>
      <c r="L1960" t="s">
        <v>52</v>
      </c>
      <c r="M1960" s="8">
        <v>0.47</v>
      </c>
    </row>
    <row r="1961" spans="1:13" x14ac:dyDescent="0.25">
      <c r="A1961">
        <v>1960</v>
      </c>
      <c r="B1961">
        <v>9.6</v>
      </c>
      <c r="C1961">
        <v>3.3</v>
      </c>
      <c r="D1961">
        <v>5.5</v>
      </c>
      <c r="E1961">
        <v>0.6</v>
      </c>
      <c r="F1961">
        <v>5</v>
      </c>
      <c r="G1961">
        <v>3.19</v>
      </c>
      <c r="H1961" t="s">
        <v>10</v>
      </c>
      <c r="I1961">
        <v>18.5</v>
      </c>
      <c r="J1961" t="s">
        <v>15</v>
      </c>
      <c r="K1961">
        <v>3.78</v>
      </c>
      <c r="L1961" t="s">
        <v>52</v>
      </c>
      <c r="M1961" s="8">
        <v>0.52</v>
      </c>
    </row>
    <row r="1962" spans="1:13" x14ac:dyDescent="0.25">
      <c r="A1962">
        <v>1961</v>
      </c>
      <c r="B1962">
        <v>7.1</v>
      </c>
      <c r="C1962">
        <v>0.4</v>
      </c>
      <c r="D1962">
        <v>8.1</v>
      </c>
      <c r="E1962">
        <v>0.9</v>
      </c>
      <c r="F1962">
        <v>7.5</v>
      </c>
      <c r="G1962">
        <v>3.02</v>
      </c>
      <c r="H1962" t="s">
        <v>8</v>
      </c>
      <c r="I1962">
        <v>15.9</v>
      </c>
      <c r="J1962" t="s">
        <v>15</v>
      </c>
      <c r="K1962">
        <v>3.85</v>
      </c>
      <c r="L1962" t="s">
        <v>52</v>
      </c>
      <c r="M1962" s="8">
        <v>0.45</v>
      </c>
    </row>
    <row r="1963" spans="1:13" x14ac:dyDescent="0.25">
      <c r="A1963">
        <v>1962</v>
      </c>
      <c r="B1963">
        <v>6.6</v>
      </c>
      <c r="C1963">
        <v>2.7</v>
      </c>
      <c r="D1963">
        <v>7.4</v>
      </c>
      <c r="E1963">
        <v>5.9</v>
      </c>
      <c r="F1963">
        <v>1.4</v>
      </c>
      <c r="G1963">
        <v>2.99</v>
      </c>
      <c r="H1963" t="s">
        <v>8</v>
      </c>
      <c r="I1963">
        <v>16.600000000000001</v>
      </c>
      <c r="J1963" t="s">
        <v>13</v>
      </c>
      <c r="K1963">
        <v>2.5</v>
      </c>
      <c r="L1963" t="s">
        <v>52</v>
      </c>
      <c r="M1963" s="8">
        <v>0.4</v>
      </c>
    </row>
    <row r="1964" spans="1:13" x14ac:dyDescent="0.25">
      <c r="A1964">
        <v>1963</v>
      </c>
      <c r="B1964">
        <v>9.4</v>
      </c>
      <c r="C1964">
        <v>1.4</v>
      </c>
      <c r="D1964">
        <v>5.2</v>
      </c>
      <c r="E1964">
        <v>5.0999999999999996</v>
      </c>
      <c r="F1964">
        <v>2.9</v>
      </c>
      <c r="G1964">
        <v>3.59</v>
      </c>
      <c r="H1964" t="s">
        <v>10</v>
      </c>
      <c r="I1964">
        <v>18.8</v>
      </c>
      <c r="J1964" t="s">
        <v>14</v>
      </c>
      <c r="K1964">
        <v>3.48</v>
      </c>
      <c r="L1964" t="s">
        <v>52</v>
      </c>
      <c r="M1964" s="8">
        <v>0.5</v>
      </c>
    </row>
    <row r="1965" spans="1:13" x14ac:dyDescent="0.25">
      <c r="A1965">
        <v>1964</v>
      </c>
      <c r="B1965">
        <v>9.5</v>
      </c>
      <c r="C1965">
        <v>0.9</v>
      </c>
      <c r="D1965">
        <v>9.5</v>
      </c>
      <c r="E1965">
        <v>1.3</v>
      </c>
      <c r="F1965">
        <v>2.8</v>
      </c>
      <c r="G1965">
        <v>3.24</v>
      </c>
      <c r="H1965" t="s">
        <v>10</v>
      </c>
      <c r="I1965">
        <v>14.5</v>
      </c>
      <c r="J1965" t="s">
        <v>15</v>
      </c>
      <c r="K1965">
        <v>4</v>
      </c>
      <c r="L1965" t="s">
        <v>52</v>
      </c>
      <c r="M1965" s="8">
        <v>0.66</v>
      </c>
    </row>
    <row r="1966" spans="1:13" x14ac:dyDescent="0.25">
      <c r="A1966">
        <v>1965</v>
      </c>
      <c r="B1966">
        <v>9.9</v>
      </c>
      <c r="C1966">
        <v>1.1000000000000001</v>
      </c>
      <c r="D1966">
        <v>9.8000000000000007</v>
      </c>
      <c r="E1966">
        <v>0.2</v>
      </c>
      <c r="F1966">
        <v>3</v>
      </c>
      <c r="G1966">
        <v>3.54</v>
      </c>
      <c r="H1966" t="s">
        <v>10</v>
      </c>
      <c r="I1966">
        <v>14.2</v>
      </c>
      <c r="J1966" t="s">
        <v>14</v>
      </c>
      <c r="K1966">
        <v>4.3899999999999997</v>
      </c>
      <c r="L1966" t="s">
        <v>52</v>
      </c>
      <c r="M1966" s="8">
        <v>0.7</v>
      </c>
    </row>
    <row r="1967" spans="1:13" x14ac:dyDescent="0.25">
      <c r="A1967">
        <v>1966</v>
      </c>
      <c r="B1967">
        <v>7.4</v>
      </c>
      <c r="C1967">
        <v>0.9</v>
      </c>
      <c r="D1967">
        <v>8.5</v>
      </c>
      <c r="E1967">
        <v>1.1000000000000001</v>
      </c>
      <c r="F1967">
        <v>6.1</v>
      </c>
      <c r="G1967">
        <v>3.48</v>
      </c>
      <c r="H1967" t="s">
        <v>8</v>
      </c>
      <c r="I1967">
        <v>15.5</v>
      </c>
      <c r="J1967" t="s">
        <v>15</v>
      </c>
      <c r="K1967">
        <v>3.36</v>
      </c>
      <c r="L1967" t="s">
        <v>52</v>
      </c>
      <c r="M1967" s="8">
        <v>0.48</v>
      </c>
    </row>
    <row r="1968" spans="1:13" x14ac:dyDescent="0.25">
      <c r="A1968">
        <v>1967</v>
      </c>
      <c r="B1968">
        <v>7.8</v>
      </c>
      <c r="C1968">
        <v>1</v>
      </c>
      <c r="D1968">
        <v>9.8000000000000007</v>
      </c>
      <c r="E1968">
        <v>0.2</v>
      </c>
      <c r="F1968">
        <v>5.2</v>
      </c>
      <c r="G1968">
        <v>3.04</v>
      </c>
      <c r="H1968" t="s">
        <v>8</v>
      </c>
      <c r="I1968">
        <v>14.2</v>
      </c>
      <c r="J1968" t="s">
        <v>15</v>
      </c>
      <c r="K1968">
        <v>3.58</v>
      </c>
      <c r="L1968" t="s">
        <v>52</v>
      </c>
      <c r="M1968" s="8">
        <v>0.55000000000000004</v>
      </c>
    </row>
    <row r="1969" spans="1:13" x14ac:dyDescent="0.25">
      <c r="A1969">
        <v>1968</v>
      </c>
      <c r="B1969">
        <v>7.1</v>
      </c>
      <c r="C1969">
        <v>0.9</v>
      </c>
      <c r="D1969">
        <v>7.5</v>
      </c>
      <c r="E1969">
        <v>5.2</v>
      </c>
      <c r="F1969">
        <v>3.3</v>
      </c>
      <c r="G1969">
        <v>2.92</v>
      </c>
      <c r="H1969" t="s">
        <v>8</v>
      </c>
      <c r="I1969">
        <v>16.5</v>
      </c>
      <c r="J1969" t="s">
        <v>13</v>
      </c>
      <c r="K1969">
        <v>2.65</v>
      </c>
      <c r="L1969" t="s">
        <v>52</v>
      </c>
      <c r="M1969" s="8">
        <v>0.43</v>
      </c>
    </row>
    <row r="1970" spans="1:13" x14ac:dyDescent="0.25">
      <c r="A1970">
        <v>1969</v>
      </c>
      <c r="B1970">
        <v>8.6</v>
      </c>
      <c r="C1970">
        <v>2.2999999999999998</v>
      </c>
      <c r="D1970">
        <v>5.4</v>
      </c>
      <c r="E1970">
        <v>4.2</v>
      </c>
      <c r="F1970">
        <v>3.5</v>
      </c>
      <c r="G1970">
        <v>3.38</v>
      </c>
      <c r="H1970" t="s">
        <v>10</v>
      </c>
      <c r="I1970">
        <v>18.599999999999998</v>
      </c>
      <c r="J1970" t="s">
        <v>15</v>
      </c>
      <c r="K1970">
        <v>2.75</v>
      </c>
      <c r="L1970" t="s">
        <v>52</v>
      </c>
      <c r="M1970" s="8">
        <v>0.46</v>
      </c>
    </row>
    <row r="1971" spans="1:13" x14ac:dyDescent="0.25">
      <c r="A1971">
        <v>1970</v>
      </c>
      <c r="B1971">
        <v>6.3</v>
      </c>
      <c r="C1971">
        <v>1.7</v>
      </c>
      <c r="D1971">
        <v>6.8</v>
      </c>
      <c r="E1971">
        <v>5.2</v>
      </c>
      <c r="F1971">
        <v>4</v>
      </c>
      <c r="G1971">
        <v>2.84</v>
      </c>
      <c r="H1971" t="s">
        <v>8</v>
      </c>
      <c r="I1971">
        <v>17.2</v>
      </c>
      <c r="J1971" t="s">
        <v>13</v>
      </c>
      <c r="K1971">
        <v>1.97</v>
      </c>
      <c r="L1971" t="s">
        <v>52</v>
      </c>
      <c r="M1971" s="8">
        <v>0.37</v>
      </c>
    </row>
    <row r="1972" spans="1:13" x14ac:dyDescent="0.25">
      <c r="A1972">
        <v>1971</v>
      </c>
      <c r="B1972">
        <v>5.6</v>
      </c>
      <c r="C1972">
        <v>2.2999999999999998</v>
      </c>
      <c r="D1972">
        <v>5.7</v>
      </c>
      <c r="E1972">
        <v>4.2</v>
      </c>
      <c r="F1972">
        <v>6.2</v>
      </c>
      <c r="G1972">
        <v>2.81</v>
      </c>
      <c r="H1972" t="s">
        <v>10</v>
      </c>
      <c r="I1972">
        <v>18.3</v>
      </c>
      <c r="J1972" t="s">
        <v>13</v>
      </c>
      <c r="K1972">
        <v>1.73</v>
      </c>
      <c r="L1972" t="s">
        <v>52</v>
      </c>
      <c r="M1972" s="8">
        <v>0.31</v>
      </c>
    </row>
    <row r="1973" spans="1:13" x14ac:dyDescent="0.25">
      <c r="A1973">
        <v>1972</v>
      </c>
      <c r="B1973">
        <v>7.4</v>
      </c>
      <c r="C1973">
        <v>3.7</v>
      </c>
      <c r="D1973">
        <v>7.6</v>
      </c>
      <c r="E1973">
        <v>2.6</v>
      </c>
      <c r="F1973">
        <v>2.7</v>
      </c>
      <c r="G1973">
        <v>3.29</v>
      </c>
      <c r="H1973" t="s">
        <v>8</v>
      </c>
      <c r="I1973">
        <v>16.400000000000002</v>
      </c>
      <c r="J1973" t="s">
        <v>15</v>
      </c>
      <c r="K1973">
        <v>2.2599999999999998</v>
      </c>
      <c r="L1973" t="s">
        <v>52</v>
      </c>
      <c r="M1973" s="8">
        <v>0.45</v>
      </c>
    </row>
    <row r="1974" spans="1:13" x14ac:dyDescent="0.25">
      <c r="A1974">
        <v>1973</v>
      </c>
      <c r="B1974">
        <v>7.9</v>
      </c>
      <c r="C1974">
        <v>2.8</v>
      </c>
      <c r="D1974">
        <v>5.5</v>
      </c>
      <c r="E1974">
        <v>4.9000000000000004</v>
      </c>
      <c r="F1974">
        <v>2.9</v>
      </c>
      <c r="G1974">
        <v>3.03</v>
      </c>
      <c r="H1974" t="s">
        <v>10</v>
      </c>
      <c r="I1974">
        <v>18.5</v>
      </c>
      <c r="J1974" t="s">
        <v>15</v>
      </c>
      <c r="K1974">
        <v>2.39</v>
      </c>
      <c r="L1974" t="s">
        <v>52</v>
      </c>
      <c r="M1974" s="8">
        <v>0.43</v>
      </c>
    </row>
    <row r="1975" spans="1:13" x14ac:dyDescent="0.25">
      <c r="A1975">
        <v>1974</v>
      </c>
      <c r="B1975">
        <v>8.9</v>
      </c>
      <c r="C1975">
        <v>1.5</v>
      </c>
      <c r="D1975">
        <v>5.5</v>
      </c>
      <c r="E1975">
        <v>3.8</v>
      </c>
      <c r="F1975">
        <v>4.3</v>
      </c>
      <c r="G1975">
        <v>3.31</v>
      </c>
      <c r="H1975" t="s">
        <v>10</v>
      </c>
      <c r="I1975">
        <v>18.5</v>
      </c>
      <c r="J1975" t="s">
        <v>15</v>
      </c>
      <c r="K1975">
        <v>3.1</v>
      </c>
      <c r="L1975" t="s">
        <v>52</v>
      </c>
      <c r="M1975" s="8">
        <v>0.48</v>
      </c>
    </row>
    <row r="1976" spans="1:13" x14ac:dyDescent="0.25">
      <c r="A1976">
        <v>1975</v>
      </c>
      <c r="B1976">
        <v>9.4</v>
      </c>
      <c r="C1976">
        <v>3.6</v>
      </c>
      <c r="D1976">
        <v>9.8000000000000007</v>
      </c>
      <c r="E1976">
        <v>1</v>
      </c>
      <c r="F1976">
        <v>0.2</v>
      </c>
      <c r="G1976">
        <v>3.32</v>
      </c>
      <c r="H1976" t="s">
        <v>10</v>
      </c>
      <c r="I1976">
        <v>14.2</v>
      </c>
      <c r="J1976" t="s">
        <v>15</v>
      </c>
      <c r="K1976">
        <v>4.16</v>
      </c>
      <c r="L1976" t="s">
        <v>52</v>
      </c>
      <c r="M1976" s="8">
        <v>0.66</v>
      </c>
    </row>
    <row r="1977" spans="1:13" x14ac:dyDescent="0.25">
      <c r="A1977">
        <v>1976</v>
      </c>
      <c r="B1977">
        <v>8</v>
      </c>
      <c r="C1977">
        <v>2.4</v>
      </c>
      <c r="D1977">
        <v>6.8</v>
      </c>
      <c r="E1977">
        <v>5.4</v>
      </c>
      <c r="F1977">
        <v>1.4</v>
      </c>
      <c r="G1977">
        <v>3.42</v>
      </c>
      <c r="H1977" t="s">
        <v>8</v>
      </c>
      <c r="I1977">
        <v>17.2</v>
      </c>
      <c r="J1977" t="s">
        <v>15</v>
      </c>
      <c r="K1977">
        <v>3</v>
      </c>
      <c r="L1977" t="s">
        <v>52</v>
      </c>
      <c r="M1977" s="8">
        <v>0.47</v>
      </c>
    </row>
    <row r="1978" spans="1:13" x14ac:dyDescent="0.25">
      <c r="A1978">
        <v>1977</v>
      </c>
      <c r="B1978">
        <v>7.5</v>
      </c>
      <c r="C1978">
        <v>1.9</v>
      </c>
      <c r="D1978">
        <v>10</v>
      </c>
      <c r="E1978">
        <v>2.2999999999999998</v>
      </c>
      <c r="F1978">
        <v>2.2999999999999998</v>
      </c>
      <c r="G1978">
        <v>3.14</v>
      </c>
      <c r="H1978" t="s">
        <v>8</v>
      </c>
      <c r="I1978">
        <v>14</v>
      </c>
      <c r="J1978" t="s">
        <v>15</v>
      </c>
      <c r="K1978">
        <v>2.67</v>
      </c>
      <c r="L1978" t="s">
        <v>52</v>
      </c>
      <c r="M1978" s="8">
        <v>0.54</v>
      </c>
    </row>
    <row r="1979" spans="1:13" x14ac:dyDescent="0.25">
      <c r="A1979">
        <v>1978</v>
      </c>
      <c r="B1979">
        <v>9.1</v>
      </c>
      <c r="C1979">
        <v>3.1</v>
      </c>
      <c r="D1979">
        <v>8.9</v>
      </c>
      <c r="E1979">
        <v>2.1</v>
      </c>
      <c r="F1979">
        <v>0.8</v>
      </c>
      <c r="G1979">
        <v>3.1</v>
      </c>
      <c r="H1979" t="s">
        <v>10</v>
      </c>
      <c r="I1979">
        <v>15.1</v>
      </c>
      <c r="J1979" t="s">
        <v>15</v>
      </c>
      <c r="K1979">
        <v>3.67</v>
      </c>
      <c r="L1979" t="s">
        <v>52</v>
      </c>
      <c r="M1979" s="8">
        <v>0.6</v>
      </c>
    </row>
    <row r="1980" spans="1:13" x14ac:dyDescent="0.25">
      <c r="A1980">
        <v>1979</v>
      </c>
      <c r="B1980">
        <v>6.3</v>
      </c>
      <c r="C1980">
        <v>3.4</v>
      </c>
      <c r="D1980">
        <v>9.5</v>
      </c>
      <c r="E1980">
        <v>0.9</v>
      </c>
      <c r="F1980">
        <v>3.9</v>
      </c>
      <c r="G1980">
        <v>2.97</v>
      </c>
      <c r="H1980" t="s">
        <v>8</v>
      </c>
      <c r="I1980">
        <v>14.5</v>
      </c>
      <c r="J1980" t="s">
        <v>13</v>
      </c>
      <c r="K1980">
        <v>2.21</v>
      </c>
      <c r="L1980" t="s">
        <v>52</v>
      </c>
      <c r="M1980" s="8">
        <v>0.43</v>
      </c>
    </row>
    <row r="1981" spans="1:13" x14ac:dyDescent="0.25">
      <c r="A1981">
        <v>1980</v>
      </c>
      <c r="B1981">
        <v>8.1999999999999993</v>
      </c>
      <c r="C1981">
        <v>2.2000000000000002</v>
      </c>
      <c r="D1981">
        <v>5.3</v>
      </c>
      <c r="E1981">
        <v>4.5</v>
      </c>
      <c r="F1981">
        <v>3.8</v>
      </c>
      <c r="G1981">
        <v>3.43</v>
      </c>
      <c r="H1981" t="s">
        <v>10</v>
      </c>
      <c r="I1981">
        <v>18.7</v>
      </c>
      <c r="J1981" t="s">
        <v>15</v>
      </c>
      <c r="K1981">
        <v>2.54</v>
      </c>
      <c r="L1981" t="s">
        <v>52</v>
      </c>
      <c r="M1981" s="8">
        <v>0.44</v>
      </c>
    </row>
    <row r="1982" spans="1:13" x14ac:dyDescent="0.25">
      <c r="A1982">
        <v>1981</v>
      </c>
      <c r="B1982">
        <v>7.5</v>
      </c>
      <c r="C1982">
        <v>2.6</v>
      </c>
      <c r="D1982">
        <v>7.5</v>
      </c>
      <c r="E1982">
        <v>3</v>
      </c>
      <c r="F1982">
        <v>3.4</v>
      </c>
      <c r="G1982">
        <v>3.02</v>
      </c>
      <c r="H1982" t="s">
        <v>8</v>
      </c>
      <c r="I1982">
        <v>16.5</v>
      </c>
      <c r="J1982" t="s">
        <v>15</v>
      </c>
      <c r="K1982">
        <v>2.27</v>
      </c>
      <c r="L1982" t="s">
        <v>52</v>
      </c>
      <c r="M1982" s="8">
        <v>0.45</v>
      </c>
    </row>
    <row r="1983" spans="1:13" x14ac:dyDescent="0.25">
      <c r="A1983">
        <v>1982</v>
      </c>
      <c r="B1983">
        <v>5.8</v>
      </c>
      <c r="C1983">
        <v>0.8</v>
      </c>
      <c r="D1983">
        <v>9.9</v>
      </c>
      <c r="E1983">
        <v>0.9</v>
      </c>
      <c r="F1983">
        <v>6.6</v>
      </c>
      <c r="G1983">
        <v>2.71</v>
      </c>
      <c r="H1983" t="s">
        <v>9</v>
      </c>
      <c r="I1983">
        <v>14.1</v>
      </c>
      <c r="J1983" t="s">
        <v>13</v>
      </c>
      <c r="K1983">
        <v>3.11</v>
      </c>
      <c r="L1983" t="s">
        <v>52</v>
      </c>
      <c r="M1983" s="8">
        <v>0.41</v>
      </c>
    </row>
    <row r="1984" spans="1:13" x14ac:dyDescent="0.25">
      <c r="A1984">
        <v>1983</v>
      </c>
      <c r="B1984">
        <v>6.3</v>
      </c>
      <c r="C1984">
        <v>2.4</v>
      </c>
      <c r="D1984">
        <v>8.1</v>
      </c>
      <c r="E1984">
        <v>0.9</v>
      </c>
      <c r="F1984">
        <v>6.3</v>
      </c>
      <c r="G1984">
        <v>3.07</v>
      </c>
      <c r="H1984" t="s">
        <v>8</v>
      </c>
      <c r="I1984">
        <v>15.899999999999999</v>
      </c>
      <c r="J1984" t="s">
        <v>15</v>
      </c>
      <c r="K1984">
        <v>2.75</v>
      </c>
      <c r="L1984" t="s">
        <v>52</v>
      </c>
      <c r="M1984" s="8">
        <v>0.4</v>
      </c>
    </row>
    <row r="1985" spans="1:13" x14ac:dyDescent="0.25">
      <c r="A1985">
        <v>1984</v>
      </c>
      <c r="B1985">
        <v>6.2</v>
      </c>
      <c r="C1985">
        <v>1.2</v>
      </c>
      <c r="D1985">
        <v>9.6999999999999993</v>
      </c>
      <c r="E1985">
        <v>5</v>
      </c>
      <c r="F1985">
        <v>1.9</v>
      </c>
      <c r="G1985">
        <v>3.06</v>
      </c>
      <c r="H1985" t="s">
        <v>8</v>
      </c>
      <c r="I1985">
        <v>14.3</v>
      </c>
      <c r="J1985" t="s">
        <v>15</v>
      </c>
      <c r="K1985">
        <v>2.41</v>
      </c>
      <c r="L1985" t="s">
        <v>52</v>
      </c>
      <c r="M1985" s="8">
        <v>0.43</v>
      </c>
    </row>
    <row r="1986" spans="1:13" x14ac:dyDescent="0.25">
      <c r="A1986">
        <v>1985</v>
      </c>
      <c r="B1986">
        <v>8.5</v>
      </c>
      <c r="C1986">
        <v>0.3</v>
      </c>
      <c r="D1986">
        <v>7.1</v>
      </c>
      <c r="E1986">
        <v>3.4</v>
      </c>
      <c r="F1986">
        <v>4.7</v>
      </c>
      <c r="G1986">
        <v>3.23</v>
      </c>
      <c r="H1986" t="s">
        <v>10</v>
      </c>
      <c r="I1986">
        <v>16.900000000000002</v>
      </c>
      <c r="J1986" t="s">
        <v>15</v>
      </c>
      <c r="K1986">
        <v>3.4</v>
      </c>
      <c r="L1986" t="s">
        <v>52</v>
      </c>
      <c r="M1986" s="8">
        <v>0.5</v>
      </c>
    </row>
    <row r="1987" spans="1:13" x14ac:dyDescent="0.25">
      <c r="A1987">
        <v>1986</v>
      </c>
      <c r="B1987">
        <v>8</v>
      </c>
      <c r="C1987">
        <v>1.3</v>
      </c>
      <c r="D1987">
        <v>8.9</v>
      </c>
      <c r="E1987">
        <v>4.9000000000000004</v>
      </c>
      <c r="F1987">
        <v>0.9</v>
      </c>
      <c r="G1987">
        <v>2.93</v>
      </c>
      <c r="H1987" t="s">
        <v>8</v>
      </c>
      <c r="I1987">
        <v>15.100000000000001</v>
      </c>
      <c r="J1987" t="s">
        <v>13</v>
      </c>
      <c r="K1987">
        <v>3.34</v>
      </c>
      <c r="L1987" t="s">
        <v>52</v>
      </c>
      <c r="M1987" s="8">
        <v>0.53</v>
      </c>
    </row>
    <row r="1988" spans="1:13" x14ac:dyDescent="0.25">
      <c r="A1988">
        <v>1987</v>
      </c>
      <c r="B1988">
        <v>6.6</v>
      </c>
      <c r="C1988">
        <v>3.4</v>
      </c>
      <c r="D1988">
        <v>5.5</v>
      </c>
      <c r="E1988">
        <v>5</v>
      </c>
      <c r="F1988">
        <v>3.5</v>
      </c>
      <c r="G1988">
        <v>2.9</v>
      </c>
      <c r="H1988" t="s">
        <v>10</v>
      </c>
      <c r="I1988">
        <v>18.5</v>
      </c>
      <c r="J1988" t="s">
        <v>13</v>
      </c>
      <c r="K1988">
        <v>1.51</v>
      </c>
      <c r="L1988" t="s">
        <v>52</v>
      </c>
      <c r="M1988" s="8">
        <v>0.36</v>
      </c>
    </row>
    <row r="1989" spans="1:13" x14ac:dyDescent="0.25">
      <c r="A1989">
        <v>1988</v>
      </c>
      <c r="B1989">
        <v>9.5</v>
      </c>
      <c r="C1989">
        <v>1.5</v>
      </c>
      <c r="D1989">
        <v>6.4</v>
      </c>
      <c r="E1989">
        <v>3</v>
      </c>
      <c r="F1989">
        <v>3.6</v>
      </c>
      <c r="G1989">
        <v>3.86</v>
      </c>
      <c r="H1989" t="s">
        <v>10</v>
      </c>
      <c r="I1989">
        <v>17.600000000000001</v>
      </c>
      <c r="J1989" t="s">
        <v>14</v>
      </c>
      <c r="K1989">
        <v>3.51</v>
      </c>
      <c r="L1989" t="s">
        <v>52</v>
      </c>
      <c r="M1989" s="8">
        <v>0.54</v>
      </c>
    </row>
    <row r="1990" spans="1:13" x14ac:dyDescent="0.25">
      <c r="A1990">
        <v>1989</v>
      </c>
      <c r="B1990">
        <v>7.3</v>
      </c>
      <c r="C1990">
        <v>1.4</v>
      </c>
      <c r="D1990">
        <v>8.5</v>
      </c>
      <c r="E1990">
        <v>4.5999999999999996</v>
      </c>
      <c r="F1990">
        <v>2.2000000000000002</v>
      </c>
      <c r="G1990">
        <v>3.28</v>
      </c>
      <c r="H1990" t="s">
        <v>8</v>
      </c>
      <c r="I1990">
        <v>15.5</v>
      </c>
      <c r="J1990" t="s">
        <v>15</v>
      </c>
      <c r="K1990">
        <v>2.66</v>
      </c>
      <c r="L1990" t="s">
        <v>52</v>
      </c>
      <c r="M1990" s="8">
        <v>0.47</v>
      </c>
    </row>
    <row r="1991" spans="1:13" x14ac:dyDescent="0.25">
      <c r="A1991">
        <v>1990</v>
      </c>
      <c r="B1991">
        <v>7</v>
      </c>
      <c r="C1991">
        <v>2.7</v>
      </c>
      <c r="D1991">
        <v>7.4</v>
      </c>
      <c r="E1991">
        <v>6</v>
      </c>
      <c r="F1991">
        <v>0.9</v>
      </c>
      <c r="G1991">
        <v>2.85</v>
      </c>
      <c r="H1991" t="s">
        <v>8</v>
      </c>
      <c r="I1991">
        <v>16.599999999999998</v>
      </c>
      <c r="J1991" t="s">
        <v>13</v>
      </c>
      <c r="K1991">
        <v>2.84</v>
      </c>
      <c r="L1991" t="s">
        <v>52</v>
      </c>
      <c r="M1991" s="8">
        <v>0.42</v>
      </c>
    </row>
    <row r="1992" spans="1:13" x14ac:dyDescent="0.25">
      <c r="A1992">
        <v>1991</v>
      </c>
      <c r="B1992">
        <v>8.6</v>
      </c>
      <c r="C1992">
        <v>3.8</v>
      </c>
      <c r="D1992">
        <v>9.1999999999999993</v>
      </c>
      <c r="E1992">
        <v>2.2000000000000002</v>
      </c>
      <c r="F1992">
        <v>0.2</v>
      </c>
      <c r="G1992">
        <v>3.26</v>
      </c>
      <c r="H1992" t="s">
        <v>10</v>
      </c>
      <c r="I1992">
        <v>14.799999999999997</v>
      </c>
      <c r="J1992" t="s">
        <v>15</v>
      </c>
      <c r="K1992">
        <v>3.58</v>
      </c>
      <c r="L1992" t="s">
        <v>52</v>
      </c>
      <c r="M1992" s="8">
        <v>0.57999999999999996</v>
      </c>
    </row>
    <row r="1993" spans="1:13" x14ac:dyDescent="0.25">
      <c r="A1993">
        <v>1992</v>
      </c>
      <c r="B1993">
        <v>6.3</v>
      </c>
      <c r="C1993">
        <v>1.5</v>
      </c>
      <c r="D1993">
        <v>5.0999999999999996</v>
      </c>
      <c r="E1993">
        <v>3.1</v>
      </c>
      <c r="F1993">
        <v>8</v>
      </c>
      <c r="G1993">
        <v>3.21</v>
      </c>
      <c r="H1993" t="s">
        <v>10</v>
      </c>
      <c r="I1993">
        <v>18.899999999999999</v>
      </c>
      <c r="J1993" t="s">
        <v>15</v>
      </c>
      <c r="K1993">
        <v>2.96</v>
      </c>
      <c r="L1993" t="s">
        <v>52</v>
      </c>
      <c r="M1993" s="8">
        <v>0.33</v>
      </c>
    </row>
    <row r="1994" spans="1:13" x14ac:dyDescent="0.25">
      <c r="A1994">
        <v>1993</v>
      </c>
      <c r="B1994">
        <v>7.5</v>
      </c>
      <c r="C1994">
        <v>2.1</v>
      </c>
      <c r="D1994">
        <v>9.9</v>
      </c>
      <c r="E1994">
        <v>4.0999999999999996</v>
      </c>
      <c r="F1994">
        <v>0.4</v>
      </c>
      <c r="G1994">
        <v>3.04</v>
      </c>
      <c r="H1994" t="s">
        <v>8</v>
      </c>
      <c r="I1994">
        <v>14.1</v>
      </c>
      <c r="J1994" t="s">
        <v>15</v>
      </c>
      <c r="K1994">
        <v>3.05</v>
      </c>
      <c r="L1994" t="s">
        <v>52</v>
      </c>
      <c r="M1994" s="8">
        <v>0.53</v>
      </c>
    </row>
    <row r="1995" spans="1:13" x14ac:dyDescent="0.25">
      <c r="A1995">
        <v>1994</v>
      </c>
      <c r="B1995">
        <v>7.1</v>
      </c>
      <c r="C1995">
        <v>1.4</v>
      </c>
      <c r="D1995">
        <v>9</v>
      </c>
      <c r="E1995">
        <v>3.1</v>
      </c>
      <c r="F1995">
        <v>3.4</v>
      </c>
      <c r="G1995">
        <v>2.85</v>
      </c>
      <c r="H1995" t="s">
        <v>8</v>
      </c>
      <c r="I1995">
        <v>15</v>
      </c>
      <c r="J1995" t="s">
        <v>13</v>
      </c>
      <c r="K1995">
        <v>2.4</v>
      </c>
      <c r="L1995" t="s">
        <v>52</v>
      </c>
      <c r="M1995" s="8">
        <v>0.47</v>
      </c>
    </row>
    <row r="1996" spans="1:13" x14ac:dyDescent="0.25">
      <c r="A1996">
        <v>1995</v>
      </c>
      <c r="B1996">
        <v>7.9</v>
      </c>
      <c r="C1996">
        <v>3.4</v>
      </c>
      <c r="D1996">
        <v>9</v>
      </c>
      <c r="E1996">
        <v>0.5</v>
      </c>
      <c r="F1996">
        <v>3.2</v>
      </c>
      <c r="G1996">
        <v>3.08</v>
      </c>
      <c r="H1996" t="s">
        <v>8</v>
      </c>
      <c r="I1996">
        <v>15</v>
      </c>
      <c r="J1996" t="s">
        <v>15</v>
      </c>
      <c r="K1996">
        <v>3.07</v>
      </c>
      <c r="L1996" t="s">
        <v>52</v>
      </c>
      <c r="M1996" s="8">
        <v>0.53</v>
      </c>
    </row>
    <row r="1997" spans="1:13" x14ac:dyDescent="0.25">
      <c r="A1997">
        <v>1996</v>
      </c>
      <c r="B1997">
        <v>6.5</v>
      </c>
      <c r="C1997">
        <v>0.2</v>
      </c>
      <c r="D1997">
        <v>7.4</v>
      </c>
      <c r="E1997">
        <v>2.1</v>
      </c>
      <c r="F1997">
        <v>7.8</v>
      </c>
      <c r="G1997">
        <v>3.32</v>
      </c>
      <c r="H1997" t="s">
        <v>8</v>
      </c>
      <c r="I1997">
        <v>16.600000000000001</v>
      </c>
      <c r="J1997" t="s">
        <v>15</v>
      </c>
      <c r="K1997">
        <v>3.59</v>
      </c>
      <c r="L1997" t="s">
        <v>52</v>
      </c>
      <c r="M1997" s="8">
        <v>0.39</v>
      </c>
    </row>
    <row r="1998" spans="1:13" x14ac:dyDescent="0.25">
      <c r="A1998">
        <v>1997</v>
      </c>
      <c r="B1998">
        <v>6.3</v>
      </c>
      <c r="C1998">
        <v>2.8</v>
      </c>
      <c r="D1998">
        <v>8.8000000000000007</v>
      </c>
      <c r="E1998">
        <v>1.5</v>
      </c>
      <c r="F1998">
        <v>4.5999999999999996</v>
      </c>
      <c r="G1998">
        <v>2.65</v>
      </c>
      <c r="H1998" t="s">
        <v>8</v>
      </c>
      <c r="I1998">
        <v>15.2</v>
      </c>
      <c r="J1998" t="s">
        <v>13</v>
      </c>
      <c r="K1998">
        <v>2.1</v>
      </c>
      <c r="L1998" t="s">
        <v>52</v>
      </c>
      <c r="M1998" s="8">
        <v>0.41</v>
      </c>
    </row>
    <row r="1999" spans="1:13" x14ac:dyDescent="0.25">
      <c r="A1999">
        <v>1998</v>
      </c>
      <c r="B1999">
        <v>6.2</v>
      </c>
      <c r="C1999">
        <v>0</v>
      </c>
      <c r="D1999">
        <v>6.2</v>
      </c>
      <c r="E1999">
        <v>0.8</v>
      </c>
      <c r="F1999">
        <v>10.8</v>
      </c>
      <c r="G1999">
        <v>3.14</v>
      </c>
      <c r="H1999" t="s">
        <v>8</v>
      </c>
      <c r="I1999">
        <v>17.8</v>
      </c>
      <c r="J1999" t="s">
        <v>15</v>
      </c>
      <c r="K1999">
        <v>5.05</v>
      </c>
      <c r="L1999" t="s">
        <v>52</v>
      </c>
      <c r="M1999" s="8">
        <v>0.35</v>
      </c>
    </row>
    <row r="2000" spans="1:13" x14ac:dyDescent="0.25">
      <c r="A2000">
        <v>1999</v>
      </c>
      <c r="B2000">
        <v>8.1</v>
      </c>
      <c r="C2000">
        <v>0.7</v>
      </c>
      <c r="D2000">
        <v>7.6</v>
      </c>
      <c r="E2000">
        <v>3.5</v>
      </c>
      <c r="F2000">
        <v>4.0999999999999996</v>
      </c>
      <c r="G2000">
        <v>3.04</v>
      </c>
      <c r="H2000" t="s">
        <v>10</v>
      </c>
      <c r="I2000">
        <v>16.399999999999999</v>
      </c>
      <c r="J2000" t="s">
        <v>15</v>
      </c>
      <c r="K2000">
        <v>3.05</v>
      </c>
      <c r="L2000" t="s">
        <v>52</v>
      </c>
      <c r="M2000" s="8">
        <v>0.49</v>
      </c>
    </row>
    <row r="2001" spans="1:13" x14ac:dyDescent="0.25">
      <c r="A2001">
        <v>2000</v>
      </c>
      <c r="B2001">
        <v>9</v>
      </c>
      <c r="C2001">
        <v>1.7</v>
      </c>
      <c r="D2001">
        <v>7.3</v>
      </c>
      <c r="E2001">
        <v>3.1</v>
      </c>
      <c r="F2001">
        <v>2.9</v>
      </c>
      <c r="G2001">
        <v>3.58</v>
      </c>
      <c r="H2001" t="s">
        <v>10</v>
      </c>
      <c r="I2001">
        <v>16.7</v>
      </c>
      <c r="J2001" t="s">
        <v>14</v>
      </c>
      <c r="K2001">
        <v>3.28</v>
      </c>
      <c r="L2001" t="s">
        <v>52</v>
      </c>
      <c r="M2001" s="8">
        <v>0.54</v>
      </c>
    </row>
  </sheetData>
  <phoneticPr fontId="5"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5AD70-54EF-4010-B961-5CA15FCA4911}">
  <dimension ref="A2:BF30"/>
  <sheetViews>
    <sheetView topLeftCell="AW1" zoomScale="80" zoomScaleNormal="80" workbookViewId="0">
      <selection activeCell="BM31" sqref="BM31"/>
    </sheetView>
  </sheetViews>
  <sheetFormatPr defaultRowHeight="15" x14ac:dyDescent="0.25"/>
  <cols>
    <col min="1" max="1" width="16.28515625" bestFit="1" customWidth="1"/>
    <col min="2" max="2" width="21.5703125" bestFit="1" customWidth="1"/>
    <col min="3" max="3" width="3.85546875" customWidth="1"/>
    <col min="4" max="4" width="4.5703125" style="6" customWidth="1"/>
    <col min="5" max="5" width="3.5703125" customWidth="1"/>
    <col min="6" max="6" width="24.28515625" bestFit="1" customWidth="1"/>
    <col min="7" max="7" width="15.28515625" bestFit="1" customWidth="1"/>
    <col min="9" max="9" width="24.140625" bestFit="1" customWidth="1"/>
    <col min="10" max="10" width="15.28515625" bestFit="1" customWidth="1"/>
    <col min="11" max="11" width="12.5703125" customWidth="1"/>
    <col min="12" max="12" width="17.140625" customWidth="1"/>
    <col min="13" max="13" width="4.85546875" customWidth="1"/>
    <col min="14" max="14" width="4.7109375" style="6" customWidth="1"/>
    <col min="15" max="15" width="4" customWidth="1"/>
    <col min="16" max="16" width="24.28515625" bestFit="1" customWidth="1"/>
    <col min="17" max="17" width="15.28515625" bestFit="1" customWidth="1"/>
    <col min="18" max="18" width="15.140625" bestFit="1" customWidth="1"/>
    <col min="20" max="20" width="4.140625" style="6" customWidth="1"/>
    <col min="21" max="21" width="4.42578125" customWidth="1"/>
    <col min="22" max="22" width="34.5703125" bestFit="1" customWidth="1"/>
    <col min="23" max="23" width="15.28515625" bestFit="1" customWidth="1"/>
    <col min="24" max="24" width="15.140625" bestFit="1" customWidth="1"/>
    <col min="25" max="25" width="5.85546875" customWidth="1"/>
    <col min="26" max="26" width="5.85546875" style="6" customWidth="1"/>
    <col min="28" max="28" width="15.140625" bestFit="1" customWidth="1"/>
    <col min="29" max="29" width="18.7109375" bestFit="1" customWidth="1"/>
    <col min="30" max="30" width="15.140625" bestFit="1" customWidth="1"/>
    <col min="31" max="31" width="9.85546875" customWidth="1"/>
    <col min="36" max="36" width="4" customWidth="1"/>
    <col min="37" max="37" width="4.28515625" style="11" customWidth="1"/>
    <col min="39" max="39" width="24.42578125" bestFit="1" customWidth="1"/>
    <col min="40" max="40" width="15.28515625" bestFit="1" customWidth="1"/>
    <col min="41" max="41" width="9.85546875" customWidth="1"/>
    <col min="42" max="42" width="14.42578125" bestFit="1" customWidth="1"/>
    <col min="43" max="43" width="14.7109375" bestFit="1" customWidth="1"/>
    <col min="44" max="44" width="5.42578125" customWidth="1"/>
    <col min="45" max="45" width="6.28515625" style="11" customWidth="1"/>
    <col min="46" max="46" width="16.42578125" customWidth="1"/>
    <col min="47" max="47" width="19.85546875" bestFit="1" customWidth="1"/>
    <col min="48" max="48" width="19.5703125" bestFit="1" customWidth="1"/>
    <col min="49" max="49" width="13.5703125" bestFit="1" customWidth="1"/>
    <col min="50" max="50" width="6" customWidth="1"/>
    <col min="51" max="51" width="6.28515625" style="11" customWidth="1"/>
    <col min="52" max="52" width="4" customWidth="1"/>
    <col min="53" max="53" width="15.140625" bestFit="1" customWidth="1"/>
    <col min="54" max="54" width="16.7109375" bestFit="1" customWidth="1"/>
    <col min="55" max="55" width="28.85546875" bestFit="1" customWidth="1"/>
    <col min="56" max="56" width="20.5703125" bestFit="1" customWidth="1"/>
    <col min="57" max="57" width="20" bestFit="1" customWidth="1"/>
    <col min="58" max="58" width="31" bestFit="1" customWidth="1"/>
  </cols>
  <sheetData>
    <row r="2" spans="1:58" ht="18" x14ac:dyDescent="0.25">
      <c r="A2" s="1" t="s">
        <v>17</v>
      </c>
    </row>
    <row r="3" spans="1:58" x14ac:dyDescent="0.25">
      <c r="A3" s="2" t="s">
        <v>18</v>
      </c>
      <c r="B3" s="2">
        <f>GETPIVOTDATA("Student_ID",$A$10)</f>
        <v>2000</v>
      </c>
    </row>
    <row r="4" spans="1:58" x14ac:dyDescent="0.25">
      <c r="A4" s="2" t="s">
        <v>19</v>
      </c>
      <c r="B4" s="3">
        <f>GETPIVOTDATA("GPA",$A$13)</f>
        <v>3.1159599999999981</v>
      </c>
    </row>
    <row r="5" spans="1:58" x14ac:dyDescent="0.25">
      <c r="A5" s="2" t="s">
        <v>20</v>
      </c>
      <c r="B5" s="4">
        <f>GETPIVOTDATA("Study_Hours_Per_Day",$A$16)</f>
        <v>7.475800000000004</v>
      </c>
    </row>
    <row r="6" spans="1:58" x14ac:dyDescent="0.25">
      <c r="A6" s="2" t="s">
        <v>21</v>
      </c>
      <c r="B6" s="5">
        <f>COUNTIF(student_lifestyle_dataset__WORKING_COPY[Stress_Level], "High")/COUNTA(student_lifestyle_dataset__WORKING_COPY[Stress_Level])</f>
        <v>0.51449999999999996</v>
      </c>
    </row>
    <row r="7" spans="1:58" x14ac:dyDescent="0.25">
      <c r="A7" s="2" t="s">
        <v>22</v>
      </c>
      <c r="B7" s="15">
        <f>B27</f>
        <v>221</v>
      </c>
      <c r="F7" s="7" t="s">
        <v>1</v>
      </c>
      <c r="G7" t="s">
        <v>23</v>
      </c>
      <c r="I7" s="7" t="s">
        <v>4</v>
      </c>
      <c r="J7" t="s">
        <v>23</v>
      </c>
      <c r="P7" s="7" t="s">
        <v>1</v>
      </c>
      <c r="Q7" t="s">
        <v>23</v>
      </c>
      <c r="R7" t="s">
        <v>44</v>
      </c>
      <c r="V7" s="7" t="s">
        <v>5</v>
      </c>
      <c r="W7" t="s">
        <v>23</v>
      </c>
      <c r="X7" t="s">
        <v>44</v>
      </c>
      <c r="AB7" s="7" t="s">
        <v>7</v>
      </c>
      <c r="AC7" t="s">
        <v>23</v>
      </c>
      <c r="AD7" t="s">
        <v>44</v>
      </c>
      <c r="AF7" t="str">
        <f>AB7</f>
        <v>Stress_Level</v>
      </c>
      <c r="AG7" t="str">
        <f t="shared" ref="AG7:AH7" si="0">AC7</f>
        <v>Average of GPA</v>
      </c>
      <c r="AH7" t="str">
        <f t="shared" si="0"/>
        <v>Number of Stds</v>
      </c>
      <c r="AM7" s="7" t="s">
        <v>4</v>
      </c>
      <c r="AN7" t="s">
        <v>23</v>
      </c>
      <c r="AP7" t="str">
        <f>AM7</f>
        <v>Social_Hours_Per_Day</v>
      </c>
      <c r="AQ7" t="str">
        <f>AN7</f>
        <v>Average of GPA</v>
      </c>
      <c r="AT7" t="s">
        <v>56</v>
      </c>
      <c r="AU7" t="s">
        <v>57</v>
      </c>
      <c r="BA7" s="7" t="s">
        <v>7</v>
      </c>
      <c r="BB7" t="s">
        <v>58</v>
      </c>
      <c r="BC7" t="s">
        <v>59</v>
      </c>
      <c r="BD7" t="s">
        <v>60</v>
      </c>
      <c r="BE7" t="s">
        <v>61</v>
      </c>
      <c r="BF7" t="s">
        <v>62</v>
      </c>
    </row>
    <row r="8" spans="1:58" x14ac:dyDescent="0.25">
      <c r="F8" t="s">
        <v>24</v>
      </c>
      <c r="G8" s="8">
        <v>2.8141046831955934</v>
      </c>
      <c r="I8" t="s">
        <v>29</v>
      </c>
      <c r="J8" s="8">
        <v>3.1375526315789442</v>
      </c>
      <c r="P8" t="s">
        <v>24</v>
      </c>
      <c r="Q8" s="8">
        <v>2.8141046831955934</v>
      </c>
      <c r="R8">
        <v>363</v>
      </c>
      <c r="V8" t="s">
        <v>29</v>
      </c>
      <c r="W8" s="8">
        <v>3.271849710982659</v>
      </c>
      <c r="X8">
        <v>173</v>
      </c>
      <c r="AB8" t="s">
        <v>10</v>
      </c>
      <c r="AC8" s="8">
        <v>3.2619727891156454</v>
      </c>
      <c r="AD8">
        <v>1029</v>
      </c>
      <c r="AE8" s="10"/>
      <c r="AF8" t="str">
        <f>AB8</f>
        <v>High</v>
      </c>
      <c r="AG8" s="8">
        <f t="shared" ref="AG8:AH10" si="1">AC8</f>
        <v>3.2619727891156454</v>
      </c>
      <c r="AH8">
        <f t="shared" si="1"/>
        <v>1029</v>
      </c>
      <c r="AI8" s="10">
        <f>AH8/SUM($AH$8:$AH$10)</f>
        <v>0.51449999999999996</v>
      </c>
      <c r="AM8" t="s">
        <v>29</v>
      </c>
      <c r="AN8" s="8">
        <v>3.1375526315789442</v>
      </c>
      <c r="AO8" s="8"/>
      <c r="AP8" t="str">
        <f>IF(AM8=0, "-", AM8) &amp; " hrs"</f>
        <v>0-1 hrs</v>
      </c>
      <c r="AQ8" s="8">
        <f>IF(AN8=0, NA(), AN8)</f>
        <v>3.1375526315789442</v>
      </c>
      <c r="AU8" s="7" t="s">
        <v>53</v>
      </c>
      <c r="AV8" s="7" t="s">
        <v>50</v>
      </c>
      <c r="BA8" t="s">
        <v>10</v>
      </c>
      <c r="BB8" s="8">
        <v>8.3850340136054449</v>
      </c>
      <c r="BC8" s="8">
        <v>1.9797862001943627</v>
      </c>
      <c r="BD8" s="8">
        <v>7.0464528668610322</v>
      </c>
      <c r="BE8" s="8">
        <v>2.6277939747327483</v>
      </c>
      <c r="BF8" s="8">
        <v>3.9609329446064168</v>
      </c>
    </row>
    <row r="9" spans="1:58" x14ac:dyDescent="0.25">
      <c r="F9" t="s">
        <v>25</v>
      </c>
      <c r="G9" s="8">
        <v>2.9523041474654366</v>
      </c>
      <c r="I9" t="s">
        <v>30</v>
      </c>
      <c r="J9" s="8">
        <v>3.1354408060453398</v>
      </c>
      <c r="P9" t="s">
        <v>25</v>
      </c>
      <c r="Q9" s="8">
        <v>2.9523041474654366</v>
      </c>
      <c r="R9">
        <v>434</v>
      </c>
      <c r="V9" t="s">
        <v>30</v>
      </c>
      <c r="W9" s="8">
        <v>3.2465610859728504</v>
      </c>
      <c r="X9">
        <v>221</v>
      </c>
      <c r="AB9" t="s">
        <v>8</v>
      </c>
      <c r="AC9" s="8">
        <v>3.024836795252225</v>
      </c>
      <c r="AD9">
        <v>674</v>
      </c>
      <c r="AE9" s="10"/>
      <c r="AF9" t="str">
        <f>AB9</f>
        <v>Moderate</v>
      </c>
      <c r="AG9" s="8">
        <f t="shared" si="1"/>
        <v>3.024836795252225</v>
      </c>
      <c r="AH9">
        <f t="shared" si="1"/>
        <v>674</v>
      </c>
      <c r="AI9" s="10">
        <f t="shared" ref="AI9:AI10" si="2">AH9/SUM($AH$8:$AH$10)</f>
        <v>0.33700000000000002</v>
      </c>
      <c r="AM9" t="s">
        <v>30</v>
      </c>
      <c r="AN9" s="8">
        <v>3.1354408060453398</v>
      </c>
      <c r="AO9" s="8"/>
      <c r="AP9" t="str">
        <f t="shared" ref="AP9:AP13" si="3">IF(AM9=0, "-", AM9) &amp; " hrs"</f>
        <v>1-2 hrs</v>
      </c>
      <c r="AQ9" s="8">
        <f t="shared" ref="AQ9:AQ13" si="4">IF(AN9=0, NA(), AN9)</f>
        <v>3.1354408060453398</v>
      </c>
      <c r="AU9" s="7" t="s">
        <v>12</v>
      </c>
      <c r="AV9" t="s">
        <v>51</v>
      </c>
      <c r="AW9" t="s">
        <v>52</v>
      </c>
      <c r="BA9" t="s">
        <v>8</v>
      </c>
      <c r="BB9" s="8">
        <v>6.9695845697329339</v>
      </c>
      <c r="BC9" s="8">
        <v>2.0063798219584554</v>
      </c>
      <c r="BD9" s="8">
        <v>7.9476261127596413</v>
      </c>
      <c r="BE9" s="8">
        <v>2.7396142433234423</v>
      </c>
      <c r="BF9" s="8">
        <v>4.3367952522255244</v>
      </c>
    </row>
    <row r="10" spans="1:58" x14ac:dyDescent="0.25">
      <c r="A10" t="s">
        <v>65</v>
      </c>
      <c r="F10" t="s">
        <v>26</v>
      </c>
      <c r="G10" s="8">
        <v>3.104812030075184</v>
      </c>
      <c r="I10" t="s">
        <v>31</v>
      </c>
      <c r="J10" s="8">
        <v>3.1391740412979332</v>
      </c>
      <c r="P10" t="s">
        <v>26</v>
      </c>
      <c r="Q10" s="8">
        <v>3.104812030075184</v>
      </c>
      <c r="R10">
        <v>399</v>
      </c>
      <c r="V10" t="s">
        <v>31</v>
      </c>
      <c r="W10" s="8">
        <v>3.1911111111111099</v>
      </c>
      <c r="X10">
        <v>270</v>
      </c>
      <c r="AB10" t="s">
        <v>9</v>
      </c>
      <c r="AC10" s="8">
        <v>2.8168686868686872</v>
      </c>
      <c r="AD10">
        <v>297</v>
      </c>
      <c r="AE10" s="10"/>
      <c r="AF10" t="str">
        <f>AB10</f>
        <v>Low</v>
      </c>
      <c r="AG10" s="8">
        <f t="shared" si="1"/>
        <v>2.8168686868686872</v>
      </c>
      <c r="AH10">
        <f t="shared" si="1"/>
        <v>297</v>
      </c>
      <c r="AI10" s="10">
        <f t="shared" si="2"/>
        <v>0.14849999999999999</v>
      </c>
      <c r="AM10" t="s">
        <v>31</v>
      </c>
      <c r="AN10" s="8">
        <v>3.1391740412979332</v>
      </c>
      <c r="AO10" s="8"/>
      <c r="AP10" t="str">
        <f t="shared" si="3"/>
        <v>2-3 hrs</v>
      </c>
      <c r="AQ10" s="8">
        <f t="shared" si="4"/>
        <v>3.1391740412979332</v>
      </c>
      <c r="AU10" t="s">
        <v>16</v>
      </c>
      <c r="AV10">
        <v>2</v>
      </c>
      <c r="AW10">
        <v>29</v>
      </c>
      <c r="BA10" t="s">
        <v>9</v>
      </c>
      <c r="BB10" s="8">
        <v>5.4744107744107744</v>
      </c>
      <c r="BC10" s="8">
        <v>1.9888888888888892</v>
      </c>
      <c r="BD10" s="8">
        <v>8.0639730639730676</v>
      </c>
      <c r="BE10" s="8">
        <v>2.890909090909092</v>
      </c>
      <c r="BF10" s="8">
        <v>5.581818181818182</v>
      </c>
    </row>
    <row r="11" spans="1:58" x14ac:dyDescent="0.25">
      <c r="A11">
        <v>2000</v>
      </c>
      <c r="F11" t="s">
        <v>27</v>
      </c>
      <c r="G11" s="8">
        <v>3.2681188118811879</v>
      </c>
      <c r="I11" t="s">
        <v>32</v>
      </c>
      <c r="J11" s="8">
        <v>3.1176506024096362</v>
      </c>
      <c r="P11" t="s">
        <v>27</v>
      </c>
      <c r="Q11" s="8">
        <v>3.2681188118811879</v>
      </c>
      <c r="R11">
        <v>404</v>
      </c>
      <c r="V11" t="s">
        <v>32</v>
      </c>
      <c r="W11" s="8">
        <v>3.1458214285714274</v>
      </c>
      <c r="X11">
        <v>280</v>
      </c>
      <c r="AM11" t="s">
        <v>32</v>
      </c>
      <c r="AN11" s="8">
        <v>3.1176506024096362</v>
      </c>
      <c r="AO11" s="8"/>
      <c r="AP11" t="str">
        <f t="shared" si="3"/>
        <v>3-4 hrs</v>
      </c>
      <c r="AQ11" s="8">
        <f t="shared" si="4"/>
        <v>3.1176506024096362</v>
      </c>
      <c r="AU11" t="s">
        <v>13</v>
      </c>
      <c r="AV11">
        <v>67</v>
      </c>
      <c r="AW11">
        <v>614</v>
      </c>
    </row>
    <row r="12" spans="1:58" x14ac:dyDescent="0.25">
      <c r="F12" t="s">
        <v>28</v>
      </c>
      <c r="G12" s="8">
        <v>3.4248999999999952</v>
      </c>
      <c r="I12" t="s">
        <v>33</v>
      </c>
      <c r="J12" s="8">
        <v>3.0696428571428567</v>
      </c>
      <c r="P12" t="s">
        <v>28</v>
      </c>
      <c r="Q12" s="8">
        <v>3.4248999999999952</v>
      </c>
      <c r="R12">
        <v>400</v>
      </c>
      <c r="V12" t="s">
        <v>33</v>
      </c>
      <c r="W12" s="8">
        <v>3.0948409893992905</v>
      </c>
      <c r="X12">
        <v>283</v>
      </c>
      <c r="AB12" s="7" t="s">
        <v>12</v>
      </c>
      <c r="AC12" t="s">
        <v>14</v>
      </c>
      <c r="AM12" t="s">
        <v>33</v>
      </c>
      <c r="AN12" s="8">
        <v>3.0696428571428567</v>
      </c>
      <c r="AO12" s="8"/>
      <c r="AP12" t="str">
        <f t="shared" si="3"/>
        <v>4-5 hrs</v>
      </c>
      <c r="AQ12" s="8">
        <f t="shared" si="4"/>
        <v>3.0696428571428567</v>
      </c>
      <c r="AU12" t="s">
        <v>15</v>
      </c>
      <c r="AV12">
        <v>13</v>
      </c>
      <c r="AW12">
        <v>1054</v>
      </c>
      <c r="BA12" t="str">
        <f>BA7</f>
        <v>Stress_Level</v>
      </c>
      <c r="BB12" t="str">
        <f t="shared" ref="BB12:BF12" si="5">BB7</f>
        <v>Average Study_Hours</v>
      </c>
      <c r="BC12" t="str">
        <f t="shared" si="5"/>
        <v>Average Extracurricular_Hours</v>
      </c>
      <c r="BD12" t="str">
        <f t="shared" si="5"/>
        <v>Average Sleep_Hours</v>
      </c>
      <c r="BE12" t="str">
        <f t="shared" si="5"/>
        <v>Average Social_Hour</v>
      </c>
      <c r="BF12" t="str">
        <f t="shared" si="5"/>
        <v>Average Physical_Activity_Hours</v>
      </c>
    </row>
    <row r="13" spans="1:58" x14ac:dyDescent="0.25">
      <c r="A13" t="s">
        <v>23</v>
      </c>
      <c r="I13" t="s">
        <v>24</v>
      </c>
      <c r="J13" s="8">
        <v>3.0745491803278671</v>
      </c>
      <c r="V13" t="s">
        <v>24</v>
      </c>
      <c r="W13" s="8">
        <v>3.0759770114942513</v>
      </c>
      <c r="X13">
        <v>261</v>
      </c>
      <c r="AM13" t="s">
        <v>24</v>
      </c>
      <c r="AN13" s="8">
        <v>3.0745491803278671</v>
      </c>
      <c r="AO13" s="8"/>
      <c r="AP13" t="str">
        <f t="shared" si="3"/>
        <v>5-6 hrs</v>
      </c>
      <c r="AQ13" s="8">
        <f t="shared" si="4"/>
        <v>3.0745491803278671</v>
      </c>
      <c r="AU13" t="s">
        <v>14</v>
      </c>
      <c r="AW13">
        <v>221</v>
      </c>
      <c r="BA13" t="str">
        <f t="shared" ref="BA13:BF13" si="6">BA8</f>
        <v>High</v>
      </c>
      <c r="BB13" s="8">
        <f t="shared" si="6"/>
        <v>8.3850340136054449</v>
      </c>
      <c r="BC13" s="8">
        <f t="shared" si="6"/>
        <v>1.9797862001943627</v>
      </c>
      <c r="BD13" s="8">
        <f t="shared" si="6"/>
        <v>7.0464528668610322</v>
      </c>
      <c r="BE13" s="8">
        <f t="shared" si="6"/>
        <v>2.6277939747327483</v>
      </c>
      <c r="BF13" s="8">
        <f t="shared" si="6"/>
        <v>3.9609329446064168</v>
      </c>
    </row>
    <row r="14" spans="1:58" x14ac:dyDescent="0.25">
      <c r="A14" s="8">
        <v>3.1159599999999981</v>
      </c>
      <c r="P14" t="str">
        <f>P7</f>
        <v>Study_Hours_Per_Day</v>
      </c>
      <c r="Q14" t="str">
        <f t="shared" ref="Q14" si="7">Q7</f>
        <v>Average of GPA</v>
      </c>
      <c r="V14" t="s">
        <v>34</v>
      </c>
      <c r="W14" s="8">
        <v>2.9830078125000004</v>
      </c>
      <c r="X14">
        <v>512</v>
      </c>
      <c r="AB14" s="7" t="s">
        <v>7</v>
      </c>
      <c r="AC14" t="s">
        <v>45</v>
      </c>
      <c r="AE14" t="str">
        <f t="shared" ref="AE14:AF17" si="8">AB14</f>
        <v>Stress_Level</v>
      </c>
      <c r="AF14" t="str">
        <f t="shared" si="8"/>
        <v>High Performers</v>
      </c>
      <c r="BA14" t="str">
        <f t="shared" ref="BA14:BF14" si="9">BA9</f>
        <v>Moderate</v>
      </c>
      <c r="BB14" s="8">
        <f t="shared" si="9"/>
        <v>6.9695845697329339</v>
      </c>
      <c r="BC14" s="8">
        <f t="shared" si="9"/>
        <v>2.0063798219584554</v>
      </c>
      <c r="BD14" s="8">
        <f t="shared" si="9"/>
        <v>7.9476261127596413</v>
      </c>
      <c r="BE14" s="8">
        <f t="shared" si="9"/>
        <v>2.7396142433234423</v>
      </c>
      <c r="BF14" s="8">
        <f t="shared" si="9"/>
        <v>4.3367952522255244</v>
      </c>
    </row>
    <row r="15" spans="1:58" x14ac:dyDescent="0.25">
      <c r="P15" t="str">
        <f>IF(P8=0, "-", P8) &amp; " hrs"</f>
        <v>5-6 hrs</v>
      </c>
      <c r="Q15" s="8">
        <f>IF(Q8=0, NA(), Q8)</f>
        <v>2.8141046831955934</v>
      </c>
      <c r="AB15" t="s">
        <v>10</v>
      </c>
      <c r="AC15">
        <v>214</v>
      </c>
      <c r="AE15" t="str">
        <f t="shared" si="8"/>
        <v>High</v>
      </c>
      <c r="AF15">
        <f t="shared" si="8"/>
        <v>214</v>
      </c>
      <c r="AG15" s="10">
        <f>AF15/SUM($AF$15:$AF$17)</f>
        <v>0.96832579185520362</v>
      </c>
      <c r="AU15" t="str">
        <f>AU8</f>
        <v xml:space="preserve">Number of Students </v>
      </c>
      <c r="AV15" t="str">
        <f t="shared" ref="AV15" si="10">AV8</f>
        <v xml:space="preserve">Balanced_Profile </v>
      </c>
      <c r="BA15" t="str">
        <f t="shared" ref="BA15:BF15" si="11">BA10</f>
        <v>Low</v>
      </c>
      <c r="BB15" s="8">
        <f t="shared" si="11"/>
        <v>5.4744107744107744</v>
      </c>
      <c r="BC15" s="8">
        <f t="shared" si="11"/>
        <v>1.9888888888888892</v>
      </c>
      <c r="BD15" s="8">
        <f t="shared" si="11"/>
        <v>8.0639730639730676</v>
      </c>
      <c r="BE15" s="8">
        <f t="shared" si="11"/>
        <v>2.890909090909092</v>
      </c>
      <c r="BF15" s="8">
        <f t="shared" si="11"/>
        <v>5.581818181818182</v>
      </c>
    </row>
    <row r="16" spans="1:58" x14ac:dyDescent="0.25">
      <c r="A16" t="s">
        <v>66</v>
      </c>
      <c r="F16" s="7" t="s">
        <v>5</v>
      </c>
      <c r="G16" t="s">
        <v>23</v>
      </c>
      <c r="I16" s="7" t="s">
        <v>3</v>
      </c>
      <c r="J16" t="s">
        <v>23</v>
      </c>
      <c r="P16" t="str">
        <f t="shared" ref="P16:P19" si="12">IF(P9=0, "-", P9) &amp; " hrs"</f>
        <v>6-7 hrs</v>
      </c>
      <c r="Q16" s="8">
        <f t="shared" ref="Q16:Q19" si="13">IF(Q9=0, NA(), Q9)</f>
        <v>2.9523041474654366</v>
      </c>
      <c r="V16" t="str">
        <f>V7</f>
        <v>Physical_Activity_Hours_Per_Day</v>
      </c>
      <c r="W16" t="str">
        <f t="shared" ref="W16" si="14">W7</f>
        <v>Average of GPA</v>
      </c>
      <c r="AB16" t="s">
        <v>8</v>
      </c>
      <c r="AC16">
        <v>6</v>
      </c>
      <c r="AE16" t="str">
        <f t="shared" si="8"/>
        <v>Moderate</v>
      </c>
      <c r="AF16">
        <f t="shared" si="8"/>
        <v>6</v>
      </c>
      <c r="AG16" s="10">
        <f>AF16/SUM($AF$15:$AF$17)</f>
        <v>2.7149321266968326E-2</v>
      </c>
      <c r="AU16" t="str">
        <f t="shared" ref="AU16:AW16" si="15">AU9</f>
        <v>GPA Category</v>
      </c>
      <c r="AV16" t="str">
        <f t="shared" si="15"/>
        <v xml:space="preserve">Balanced </v>
      </c>
      <c r="AW16" t="str">
        <f t="shared" si="15"/>
        <v xml:space="preserve">Concentrated </v>
      </c>
    </row>
    <row r="17" spans="1:55" x14ac:dyDescent="0.25">
      <c r="A17" s="13">
        <v>7.475800000000004</v>
      </c>
      <c r="F17" t="s">
        <v>29</v>
      </c>
      <c r="G17" s="8">
        <v>3.271849710982659</v>
      </c>
      <c r="I17" t="s">
        <v>24</v>
      </c>
      <c r="J17" s="8">
        <v>3.1118905472636809</v>
      </c>
      <c r="P17" t="str">
        <f t="shared" si="12"/>
        <v>7-8 hrs</v>
      </c>
      <c r="Q17" s="8">
        <f t="shared" si="13"/>
        <v>3.104812030075184</v>
      </c>
      <c r="V17" t="str">
        <f>IF(V8=0, "-", V8) &amp; " hrs"</f>
        <v>0-1 hrs</v>
      </c>
      <c r="W17" s="8">
        <f>IF(W8=0, NA(), W8)</f>
        <v>3.271849710982659</v>
      </c>
      <c r="AB17" t="s">
        <v>9</v>
      </c>
      <c r="AC17">
        <v>1</v>
      </c>
      <c r="AE17" t="str">
        <f t="shared" si="8"/>
        <v>Low</v>
      </c>
      <c r="AF17">
        <f t="shared" si="8"/>
        <v>1</v>
      </c>
      <c r="AG17" s="10">
        <f>AF17/SUM($AF$15:$AF$17)</f>
        <v>4.5248868778280547E-3</v>
      </c>
      <c r="AU17" t="str">
        <f t="shared" ref="AU17:AW17" si="16">AU10</f>
        <v>Below Average</v>
      </c>
      <c r="AV17">
        <f t="shared" si="16"/>
        <v>2</v>
      </c>
      <c r="AW17">
        <f t="shared" si="16"/>
        <v>29</v>
      </c>
    </row>
    <row r="18" spans="1:55" x14ac:dyDescent="0.25">
      <c r="F18" t="s">
        <v>30</v>
      </c>
      <c r="G18" s="8">
        <v>3.2465610859728504</v>
      </c>
      <c r="I18" t="s">
        <v>25</v>
      </c>
      <c r="J18" s="8">
        <v>3.1087700534759342</v>
      </c>
      <c r="P18" t="str">
        <f t="shared" si="12"/>
        <v>8-9 hrs</v>
      </c>
      <c r="Q18" s="8">
        <f t="shared" si="13"/>
        <v>3.2681188118811879</v>
      </c>
      <c r="V18" t="str">
        <f t="shared" ref="V18:V23" si="17">IF(V9=0, "-", V9) &amp; " hrs"</f>
        <v>1-2 hrs</v>
      </c>
      <c r="W18" s="8">
        <f t="shared" ref="W18:W23" si="18">IF(W9=0, NA(), W9)</f>
        <v>3.2465610859728504</v>
      </c>
      <c r="AU18" t="str">
        <f t="shared" ref="AU18:AW18" si="19">AU11</f>
        <v>Average</v>
      </c>
      <c r="AV18">
        <f t="shared" si="19"/>
        <v>67</v>
      </c>
      <c r="AW18">
        <f t="shared" si="19"/>
        <v>614</v>
      </c>
      <c r="AX18" s="10"/>
    </row>
    <row r="19" spans="1:55" x14ac:dyDescent="0.25">
      <c r="F19" t="s">
        <v>31</v>
      </c>
      <c r="G19" s="8">
        <v>3.1911111111111099</v>
      </c>
      <c r="I19" t="s">
        <v>26</v>
      </c>
      <c r="J19" s="8">
        <v>3.1287022900763315</v>
      </c>
      <c r="P19" t="str">
        <f t="shared" si="12"/>
        <v>9-10 hrs</v>
      </c>
      <c r="Q19" s="8">
        <f t="shared" si="13"/>
        <v>3.4248999999999952</v>
      </c>
      <c r="V19" t="str">
        <f t="shared" si="17"/>
        <v>2-3 hrs</v>
      </c>
      <c r="W19" s="8">
        <f t="shared" si="18"/>
        <v>3.1911111111111099</v>
      </c>
      <c r="AU19" t="str">
        <f t="shared" ref="AU19:AW19" si="20">AU12</f>
        <v>Above Average</v>
      </c>
      <c r="AV19">
        <f t="shared" si="20"/>
        <v>13</v>
      </c>
      <c r="AW19">
        <f t="shared" si="20"/>
        <v>1054</v>
      </c>
      <c r="AX19" s="10"/>
      <c r="BC19" s="10"/>
    </row>
    <row r="20" spans="1:55" x14ac:dyDescent="0.25">
      <c r="F20" t="s">
        <v>32</v>
      </c>
      <c r="G20" s="8">
        <v>3.1458214285714274</v>
      </c>
      <c r="I20" t="s">
        <v>27</v>
      </c>
      <c r="J20" s="8">
        <v>3.1328217821782176</v>
      </c>
      <c r="V20" t="str">
        <f t="shared" si="17"/>
        <v>3-4 hrs</v>
      </c>
      <c r="W20" s="8">
        <f t="shared" si="18"/>
        <v>3.1458214285714274</v>
      </c>
      <c r="AU20" t="str">
        <f t="shared" ref="AU20:AW20" si="21">AU13</f>
        <v>High Performer</v>
      </c>
      <c r="AV20">
        <f t="shared" si="21"/>
        <v>0</v>
      </c>
      <c r="AW20">
        <f t="shared" si="21"/>
        <v>221</v>
      </c>
      <c r="AX20" s="10"/>
      <c r="BC20" s="10"/>
    </row>
    <row r="21" spans="1:55" x14ac:dyDescent="0.25">
      <c r="F21" t="s">
        <v>33</v>
      </c>
      <c r="G21" s="8">
        <v>3.0948409893992905</v>
      </c>
      <c r="I21" t="s">
        <v>28</v>
      </c>
      <c r="J21" s="8">
        <v>3.0984074941452002</v>
      </c>
      <c r="V21" t="str">
        <f t="shared" si="17"/>
        <v>4-5 hrs</v>
      </c>
      <c r="W21" s="8">
        <f t="shared" si="18"/>
        <v>3.0948409893992905</v>
      </c>
      <c r="AB21" t="s">
        <v>46</v>
      </c>
      <c r="AC21" t="s">
        <v>47</v>
      </c>
      <c r="AD21" t="s">
        <v>48</v>
      </c>
      <c r="AX21" s="10"/>
      <c r="BA21" s="7" t="s">
        <v>7</v>
      </c>
      <c r="BB21" t="s">
        <v>64</v>
      </c>
    </row>
    <row r="22" spans="1:55" x14ac:dyDescent="0.25">
      <c r="F22" t="s">
        <v>24</v>
      </c>
      <c r="G22" s="8">
        <v>3.0759770114942513</v>
      </c>
      <c r="V22" t="str">
        <f t="shared" si="17"/>
        <v>5-6 hrs</v>
      </c>
      <c r="W22" s="8">
        <f t="shared" si="18"/>
        <v>3.0759770114942513</v>
      </c>
      <c r="AB22" t="s">
        <v>10</v>
      </c>
      <c r="AC22" s="10">
        <f>AI8</f>
        <v>0.51449999999999996</v>
      </c>
      <c r="AD22" s="10">
        <f>AG15</f>
        <v>0.96832579185520362</v>
      </c>
      <c r="BA22" t="s">
        <v>10</v>
      </c>
      <c r="BB22" s="10">
        <v>0.5024392614188532</v>
      </c>
    </row>
    <row r="23" spans="1:55" x14ac:dyDescent="0.25">
      <c r="A23" s="7" t="s">
        <v>12</v>
      </c>
      <c r="B23" t="s">
        <v>67</v>
      </c>
      <c r="F23" t="s">
        <v>34</v>
      </c>
      <c r="G23" s="8">
        <v>2.9830078125000004</v>
      </c>
      <c r="V23" t="str">
        <f t="shared" si="17"/>
        <v>&gt;6 hrs</v>
      </c>
      <c r="W23" s="8">
        <f t="shared" si="18"/>
        <v>2.9830078125000004</v>
      </c>
      <c r="AB23" t="s">
        <v>8</v>
      </c>
      <c r="AC23" s="10">
        <f>AI9</f>
        <v>0.33700000000000002</v>
      </c>
      <c r="AD23" s="10">
        <f>AG16</f>
        <v>2.7149321266968326E-2</v>
      </c>
      <c r="AU23" t="s">
        <v>12</v>
      </c>
      <c r="AV23" t="s">
        <v>54</v>
      </c>
      <c r="AW23" t="s">
        <v>55</v>
      </c>
      <c r="BA23" t="s">
        <v>8</v>
      </c>
      <c r="BB23" s="10">
        <v>0.4362908011869428</v>
      </c>
    </row>
    <row r="24" spans="1:55" x14ac:dyDescent="0.25">
      <c r="A24" t="s">
        <v>15</v>
      </c>
      <c r="B24" s="14">
        <v>1067</v>
      </c>
      <c r="AB24" t="s">
        <v>9</v>
      </c>
      <c r="AC24" s="10">
        <f>AI10</f>
        <v>0.14849999999999999</v>
      </c>
      <c r="AD24" s="10">
        <f>AG17</f>
        <v>4.5248868778280547E-3</v>
      </c>
      <c r="AU24" t="s">
        <v>16</v>
      </c>
      <c r="AV24" s="10">
        <f>AV17/SUM($AV$17:$AW$17)</f>
        <v>6.4516129032258063E-2</v>
      </c>
      <c r="AW24" s="10">
        <f>AW17/SUM($AV$17:$AW$17)</f>
        <v>0.93548387096774188</v>
      </c>
      <c r="BA24" t="s">
        <v>9</v>
      </c>
      <c r="BB24" s="10">
        <v>0.3457239057239056</v>
      </c>
    </row>
    <row r="25" spans="1:55" x14ac:dyDescent="0.25">
      <c r="A25" t="s">
        <v>13</v>
      </c>
      <c r="B25" s="14">
        <v>681</v>
      </c>
      <c r="F25" s="7" t="s">
        <v>2</v>
      </c>
      <c r="G25" t="s">
        <v>23</v>
      </c>
      <c r="I25" s="9" t="s">
        <v>35</v>
      </c>
      <c r="J25" s="9" t="s">
        <v>36</v>
      </c>
      <c r="K25" s="9" t="s">
        <v>37</v>
      </c>
      <c r="L25" s="9" t="s">
        <v>38</v>
      </c>
      <c r="AU25" t="s">
        <v>13</v>
      </c>
      <c r="AV25" s="10">
        <f>AV18/SUM($AV$18:$AW$18)</f>
        <v>9.8384728340675479E-2</v>
      </c>
      <c r="AW25" s="10">
        <f>AW18/SUM($AV$18:$AW$18)</f>
        <v>0.90161527165932454</v>
      </c>
    </row>
    <row r="26" spans="1:55" x14ac:dyDescent="0.25">
      <c r="A26" t="s">
        <v>16</v>
      </c>
      <c r="B26" s="14">
        <v>31</v>
      </c>
      <c r="F26" t="s">
        <v>29</v>
      </c>
      <c r="G26" s="8">
        <v>3.1275157894736814</v>
      </c>
      <c r="I26" t="s">
        <v>39</v>
      </c>
      <c r="J26" s="8">
        <f>G8</f>
        <v>2.8141046831955934</v>
      </c>
      <c r="K26" s="8">
        <f>G12</f>
        <v>3.4248999999999952</v>
      </c>
      <c r="L26" s="8">
        <f>K26-J26</f>
        <v>0.6107953168044018</v>
      </c>
      <c r="AU26" t="s">
        <v>15</v>
      </c>
      <c r="AV26" s="10">
        <f>AV19/SUM($AV$19:$AW$19)</f>
        <v>1.2183692596063731E-2</v>
      </c>
      <c r="AW26" s="10">
        <f>AW19/SUM($AV$19:$AW$19)</f>
        <v>0.98781630740393622</v>
      </c>
      <c r="BA26" t="str">
        <f t="shared" ref="BA26:BB29" si="22">BA21</f>
        <v>Stress_Level</v>
      </c>
      <c r="BB26" t="str">
        <f t="shared" si="22"/>
        <v xml:space="preserve"> Study_Share_Pct</v>
      </c>
    </row>
    <row r="27" spans="1:55" x14ac:dyDescent="0.25">
      <c r="A27" t="s">
        <v>14</v>
      </c>
      <c r="B27" s="14">
        <v>221</v>
      </c>
      <c r="F27" t="s">
        <v>30</v>
      </c>
      <c r="G27" s="8">
        <v>3.1224850894632197</v>
      </c>
      <c r="I27" t="s">
        <v>42</v>
      </c>
      <c r="J27" s="8">
        <f>J17</f>
        <v>3.1118905472636809</v>
      </c>
      <c r="K27" s="8">
        <f>J21</f>
        <v>3.0984074941452002</v>
      </c>
      <c r="L27" s="8">
        <f>K27-J27</f>
        <v>-1.3483053118480637E-2</v>
      </c>
      <c r="AU27" t="s">
        <v>14</v>
      </c>
      <c r="AV27" s="10">
        <f>AV20/SUM($AV$20:$AW$20)</f>
        <v>0</v>
      </c>
      <c r="AW27" s="10">
        <f>AW20/SUM($AV$20:$AW$20)</f>
        <v>1</v>
      </c>
      <c r="BA27" t="str">
        <f t="shared" si="22"/>
        <v>High</v>
      </c>
      <c r="BB27" s="10">
        <f t="shared" si="22"/>
        <v>0.5024392614188532</v>
      </c>
    </row>
    <row r="28" spans="1:55" x14ac:dyDescent="0.25">
      <c r="A28" t="s">
        <v>68</v>
      </c>
      <c r="B28" s="14">
        <v>2000</v>
      </c>
      <c r="F28" t="s">
        <v>31</v>
      </c>
      <c r="G28" s="8">
        <v>3.109542743538765</v>
      </c>
      <c r="I28" t="s">
        <v>41</v>
      </c>
      <c r="J28" s="8">
        <f>J8</f>
        <v>3.1375526315789442</v>
      </c>
      <c r="K28" s="8">
        <f>J13</f>
        <v>3.0745491803278671</v>
      </c>
      <c r="L28" s="8">
        <f>K28-J28</f>
        <v>-6.3003451251077092E-2</v>
      </c>
      <c r="AC28" s="10"/>
      <c r="BA28" t="str">
        <f t="shared" si="22"/>
        <v>Moderate</v>
      </c>
      <c r="BB28" s="10">
        <f t="shared" si="22"/>
        <v>0.4362908011869428</v>
      </c>
    </row>
    <row r="29" spans="1:55" x14ac:dyDescent="0.25">
      <c r="F29" t="s">
        <v>32</v>
      </c>
      <c r="G29" s="8">
        <v>3.1086144578313246</v>
      </c>
      <c r="I29" t="s">
        <v>43</v>
      </c>
      <c r="J29" s="8">
        <f>G26</f>
        <v>3.1275157894736814</v>
      </c>
      <c r="K29" s="8">
        <f>G30</f>
        <v>3.0261904761904765</v>
      </c>
      <c r="L29" s="8">
        <f>K29-J29</f>
        <v>-0.10132531328320482</v>
      </c>
      <c r="AC29" s="10"/>
      <c r="AV29" s="10"/>
      <c r="BA29" t="str">
        <f t="shared" si="22"/>
        <v>Low</v>
      </c>
      <c r="BB29" s="10">
        <f t="shared" si="22"/>
        <v>0.3457239057239056</v>
      </c>
    </row>
    <row r="30" spans="1:55" x14ac:dyDescent="0.25">
      <c r="F30" t="s">
        <v>33</v>
      </c>
      <c r="G30" s="8">
        <v>3.0261904761904765</v>
      </c>
      <c r="I30" t="s">
        <v>40</v>
      </c>
      <c r="J30" s="8">
        <f>G17</f>
        <v>3.271849710982659</v>
      </c>
      <c r="K30" s="8">
        <f>G23</f>
        <v>2.9830078125000004</v>
      </c>
      <c r="L30" s="8">
        <f>K30-J30</f>
        <v>-0.28884189848265862</v>
      </c>
    </row>
  </sheetData>
  <pageMargins left="0.7" right="0.7" top="0.75" bottom="0.75" header="0.3" footer="0.3"/>
  <drawing r:id="rId1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DF695-45A5-42A8-BF39-80BB75E5F5E8}">
  <dimension ref="A1"/>
  <sheetViews>
    <sheetView showGridLines="0" tabSelected="1" zoomScale="78" zoomScaleNormal="78" workbookViewId="0">
      <selection activeCell="AA3" sqref="AA3"/>
    </sheetView>
  </sheetViews>
  <sheetFormatPr defaultRowHeight="15" x14ac:dyDescent="0.25"/>
  <cols>
    <col min="1" max="16384" width="9.140625" style="12"/>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627C51-85A8-4B75-BC01-56069E4D932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student_lifestyle_dataset</vt:lpstr>
      <vt:lpstr>student_lifestyle_dataset (WORK</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princessokere2@gmail.com</dc:creator>
  <cp:lastModifiedBy>princessokere2@gmail.com</cp:lastModifiedBy>
  <dcterms:created xsi:type="dcterms:W3CDTF">2026-06-14T17:29:24Z</dcterms:created>
  <dcterms:modified xsi:type="dcterms:W3CDTF">2026-06-29T08:38:42Z</dcterms:modified>
</cp:coreProperties>
</file>